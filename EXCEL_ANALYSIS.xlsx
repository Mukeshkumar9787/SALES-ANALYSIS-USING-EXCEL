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E39BAB5E-99CA-4CFC-AE3E-63B5A6B9F74B}" xr6:coauthVersionLast="45" xr6:coauthVersionMax="45" xr10:uidLastSave="{00000000-0000-0000-0000-000000000000}"/>
  <bookViews>
    <workbookView xWindow="-120" yWindow="-120" windowWidth="20730" windowHeight="11760" activeTab="4" xr2:uid="{00000000-000D-0000-FFFF-FFFF00000000}"/>
  </bookViews>
  <sheets>
    <sheet name="online-retail" sheetId="1" r:id="rId1"/>
    <sheet name="TABLE" sheetId="2" r:id="rId2"/>
    <sheet name="QUICK STATISTICS" sheetId="4" r:id="rId3"/>
    <sheet name="EDA" sheetId="5" r:id="rId4"/>
    <sheet name="SALES ANALYSIS BY COUNTRY" sheetId="6" r:id="rId5"/>
  </sheets>
  <definedNames>
    <definedName name="Slicer_Descripti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2" i="5" l="1"/>
  <c r="K32" i="5" s="1"/>
  <c r="J386" i="5"/>
  <c r="K386" i="5" s="1"/>
  <c r="J836" i="5"/>
  <c r="K836" i="5" s="1"/>
  <c r="J512" i="5"/>
  <c r="K512" i="5" s="1"/>
  <c r="J724" i="5"/>
  <c r="K724" i="5" s="1"/>
  <c r="J990" i="5"/>
  <c r="K990" i="5" s="1"/>
  <c r="J656" i="5"/>
  <c r="K656" i="5" s="1"/>
  <c r="J445" i="5"/>
  <c r="K445" i="5" s="1"/>
  <c r="J552" i="5"/>
  <c r="K552" i="5" s="1"/>
  <c r="J857" i="5"/>
  <c r="K857" i="5" s="1"/>
  <c r="J493" i="5"/>
  <c r="K493" i="5" s="1"/>
  <c r="J1010" i="5"/>
  <c r="K1010" i="5" s="1"/>
  <c r="J835" i="5"/>
  <c r="K835" i="5" s="1"/>
  <c r="J834" i="5"/>
  <c r="K834" i="5" s="1"/>
  <c r="J833" i="5"/>
  <c r="K833" i="5" s="1"/>
  <c r="J832" i="5"/>
  <c r="K832" i="5" s="1"/>
  <c r="J799" i="5"/>
  <c r="K799" i="5" s="1"/>
  <c r="J444" i="5"/>
  <c r="K444" i="5" s="1"/>
  <c r="J831" i="5"/>
  <c r="K831" i="5" s="1"/>
  <c r="J830" i="5"/>
  <c r="K830" i="5" s="1"/>
  <c r="J686" i="5"/>
  <c r="K686" i="5" s="1"/>
  <c r="J829" i="5"/>
  <c r="K829" i="5" s="1"/>
  <c r="J903" i="5"/>
  <c r="K903" i="5" s="1"/>
  <c r="J346" i="5"/>
  <c r="K346" i="5" s="1"/>
  <c r="J333" i="5"/>
  <c r="K333" i="5" s="1"/>
  <c r="J798" i="5"/>
  <c r="K798" i="5" s="1"/>
  <c r="J432" i="5"/>
  <c r="K432" i="5" s="1"/>
  <c r="J436" i="5"/>
  <c r="K436" i="5" s="1"/>
  <c r="J492" i="5"/>
  <c r="K492" i="5" s="1"/>
  <c r="J491" i="5"/>
  <c r="K491" i="5" s="1"/>
  <c r="J511" i="5"/>
  <c r="K511" i="5" s="1"/>
  <c r="J989" i="5"/>
  <c r="K989" i="5" s="1"/>
  <c r="J431" i="5"/>
  <c r="K431" i="5" s="1"/>
  <c r="J606" i="5"/>
  <c r="K606" i="5" s="1"/>
  <c r="J244" i="5"/>
  <c r="K244" i="5" s="1"/>
  <c r="J551" i="5"/>
  <c r="K551" i="5" s="1"/>
  <c r="J332" i="5"/>
  <c r="K332" i="5" s="1"/>
  <c r="J939" i="5"/>
  <c r="K939" i="5" s="1"/>
  <c r="J937" i="5"/>
  <c r="K937" i="5" s="1"/>
  <c r="J936" i="5"/>
  <c r="K936" i="5" s="1"/>
  <c r="J934" i="5"/>
  <c r="K934" i="5" s="1"/>
  <c r="J938" i="5"/>
  <c r="K938" i="5" s="1"/>
  <c r="J935" i="5"/>
  <c r="K935" i="5" s="1"/>
  <c r="J532" i="5"/>
  <c r="K532" i="5" s="1"/>
  <c r="J529" i="5"/>
  <c r="K529" i="5" s="1"/>
  <c r="J919" i="5"/>
  <c r="K919" i="5" s="1"/>
  <c r="J620" i="5"/>
  <c r="K620" i="5" s="1"/>
  <c r="J655" i="5"/>
  <c r="K655" i="5" s="1"/>
  <c r="J550" i="5"/>
  <c r="K550" i="5" s="1"/>
  <c r="J685" i="5"/>
  <c r="K685" i="5" s="1"/>
  <c r="J684" i="5"/>
  <c r="K684" i="5" s="1"/>
  <c r="J797" i="5"/>
  <c r="K797" i="5" s="1"/>
  <c r="J430" i="5"/>
  <c r="K430" i="5" s="1"/>
  <c r="J428" i="5"/>
  <c r="K428" i="5" s="1"/>
  <c r="J427" i="5"/>
  <c r="K427" i="5" s="1"/>
  <c r="J981" i="5"/>
  <c r="K981" i="5" s="1"/>
  <c r="J261" i="5"/>
  <c r="K261" i="5" s="1"/>
  <c r="J385" i="5"/>
  <c r="K385" i="5" s="1"/>
  <c r="J253" i="5"/>
  <c r="K253" i="5" s="1"/>
  <c r="J17" i="5"/>
  <c r="K17" i="5" s="1"/>
  <c r="J828" i="5"/>
  <c r="K828" i="5" s="1"/>
  <c r="J827" i="5"/>
  <c r="K827" i="5" s="1"/>
  <c r="J482" i="5"/>
  <c r="K482" i="5" s="1"/>
  <c r="J476" i="5"/>
  <c r="K476" i="5" s="1"/>
  <c r="J384" i="5"/>
  <c r="K384" i="5" s="1"/>
  <c r="J866" i="5"/>
  <c r="K866" i="5" s="1"/>
  <c r="J435" i="5"/>
  <c r="K435" i="5" s="1"/>
  <c r="J111" i="5"/>
  <c r="K111" i="5" s="1"/>
  <c r="J510" i="5"/>
  <c r="K510" i="5" s="1"/>
  <c r="J826" i="5"/>
  <c r="K826" i="5" s="1"/>
  <c r="J75" i="5"/>
  <c r="K75" i="5" s="1"/>
  <c r="J452" i="5"/>
  <c r="K452" i="5" s="1"/>
  <c r="J451" i="5"/>
  <c r="K451" i="5" s="1"/>
  <c r="J316" i="5"/>
  <c r="K316" i="5" s="1"/>
  <c r="J14" i="5"/>
  <c r="K14" i="5" s="1"/>
  <c r="J450" i="5"/>
  <c r="K450" i="5" s="1"/>
  <c r="J179" i="5"/>
  <c r="K179" i="5" s="1"/>
  <c r="J943" i="5"/>
  <c r="K943" i="5" s="1"/>
  <c r="J838" i="5"/>
  <c r="K838" i="5" s="1"/>
  <c r="J16" i="5"/>
  <c r="K16" i="5" s="1"/>
  <c r="J315" i="5"/>
  <c r="K315" i="5" s="1"/>
  <c r="J879" i="5"/>
  <c r="K879" i="5" s="1"/>
  <c r="J139" i="5"/>
  <c r="K139" i="5" s="1"/>
  <c r="J574" i="5"/>
  <c r="K574" i="5" s="1"/>
  <c r="J85" i="5"/>
  <c r="K85" i="5" s="1"/>
  <c r="J84" i="5"/>
  <c r="K84" i="5" s="1"/>
  <c r="J331" i="5"/>
  <c r="K331" i="5" s="1"/>
  <c r="K330" i="5"/>
  <c r="J330" i="5"/>
  <c r="K302" i="5"/>
  <c r="J302" i="5"/>
  <c r="K206" i="5"/>
  <c r="J206" i="5"/>
  <c r="K252" i="5"/>
  <c r="J252" i="5"/>
  <c r="K243" i="5"/>
  <c r="J243" i="5"/>
  <c r="J988" i="5"/>
  <c r="K988" i="5" s="1"/>
  <c r="J987" i="5"/>
  <c r="K987" i="5" s="1"/>
  <c r="J986" i="5"/>
  <c r="K986" i="5" s="1"/>
  <c r="J1009" i="5"/>
  <c r="K1009" i="5" s="1"/>
  <c r="J536" i="5"/>
  <c r="K536" i="5" s="1"/>
  <c r="J687" i="5"/>
  <c r="K687" i="5" s="1"/>
  <c r="J117" i="5"/>
  <c r="K117" i="5" s="1"/>
  <c r="J490" i="5"/>
  <c r="K490" i="5" s="1"/>
  <c r="J489" i="5"/>
  <c r="K489" i="5" s="1"/>
  <c r="J549" i="5"/>
  <c r="K549" i="5" s="1"/>
  <c r="J429" i="5"/>
  <c r="K429" i="5" s="1"/>
  <c r="J683" i="5"/>
  <c r="K683" i="5" s="1"/>
  <c r="J199" i="5"/>
  <c r="K199" i="5" s="1"/>
  <c r="J642" i="5"/>
  <c r="K642" i="5" s="1"/>
  <c r="J786" i="5"/>
  <c r="K786" i="5" s="1"/>
  <c r="J682" i="5"/>
  <c r="K682" i="5" s="1"/>
  <c r="J509" i="5"/>
  <c r="K509" i="5" s="1"/>
  <c r="J508" i="5"/>
  <c r="K508" i="5" s="1"/>
  <c r="J198" i="5"/>
  <c r="K198" i="5" s="1"/>
  <c r="J859" i="5"/>
  <c r="K859" i="5" s="1"/>
  <c r="J74" i="5"/>
  <c r="K74" i="5" s="1"/>
  <c r="J197" i="5"/>
  <c r="K197" i="5" s="1"/>
  <c r="J723" i="5"/>
  <c r="K723" i="5" s="1"/>
  <c r="J196" i="5"/>
  <c r="K196" i="5" s="1"/>
  <c r="J443" i="5"/>
  <c r="K443" i="5" s="1"/>
  <c r="J80" i="5"/>
  <c r="K80" i="5" s="1"/>
  <c r="J383" i="5"/>
  <c r="K383" i="5" s="1"/>
  <c r="J985" i="5"/>
  <c r="K985" i="5" s="1"/>
  <c r="J908" i="5"/>
  <c r="K908" i="5" s="1"/>
  <c r="J382" i="5"/>
  <c r="K382" i="5" s="1"/>
  <c r="J918" i="5"/>
  <c r="K918" i="5" s="1"/>
  <c r="J446" i="5"/>
  <c r="K446" i="5" s="1"/>
  <c r="J442" i="5"/>
  <c r="K442" i="5" s="1"/>
  <c r="J441" i="5"/>
  <c r="K441" i="5" s="1"/>
  <c r="J796" i="5"/>
  <c r="K796" i="5" s="1"/>
  <c r="J825" i="5"/>
  <c r="K825" i="5" s="1"/>
  <c r="J381" i="5"/>
  <c r="K381" i="5" s="1"/>
  <c r="J260" i="5"/>
  <c r="K260" i="5" s="1"/>
  <c r="J628" i="5"/>
  <c r="K628" i="5" s="1"/>
  <c r="J169" i="5"/>
  <c r="K169" i="5" s="1"/>
  <c r="J43" i="5"/>
  <c r="K43" i="5" s="1"/>
  <c r="J627" i="5"/>
  <c r="K627" i="5" s="1"/>
  <c r="J526" i="5"/>
  <c r="K526" i="5" s="1"/>
  <c r="J19" i="5"/>
  <c r="K19" i="5" s="1"/>
  <c r="J461" i="5"/>
  <c r="K461" i="5" s="1"/>
  <c r="J460" i="5"/>
  <c r="K460" i="5" s="1"/>
  <c r="J921" i="5"/>
  <c r="K921" i="5" s="1"/>
  <c r="J920" i="5"/>
  <c r="K920" i="5" s="1"/>
  <c r="J923" i="5"/>
  <c r="K923" i="5" s="1"/>
  <c r="J240" i="5"/>
  <c r="K240" i="5" s="1"/>
  <c r="J742" i="5"/>
  <c r="K742" i="5" s="1"/>
  <c r="J741" i="5"/>
  <c r="K741" i="5" s="1"/>
  <c r="J449" i="5"/>
  <c r="K449" i="5" s="1"/>
  <c r="J266" i="5"/>
  <c r="K266" i="5" s="1"/>
  <c r="J270" i="5"/>
  <c r="K270" i="5" s="1"/>
  <c r="J559" i="5"/>
  <c r="K559" i="5" s="1"/>
  <c r="J707" i="5"/>
  <c r="K707" i="5" s="1"/>
  <c r="J178" i="5"/>
  <c r="K178" i="5" s="1"/>
  <c r="J548" i="5"/>
  <c r="K548" i="5" s="1"/>
  <c r="J890" i="5"/>
  <c r="K890" i="5" s="1"/>
  <c r="J380" i="5"/>
  <c r="K380" i="5" s="1"/>
  <c r="J507" i="5"/>
  <c r="K507" i="5" s="1"/>
  <c r="J708" i="5"/>
  <c r="K708" i="5" s="1"/>
  <c r="J917" i="5"/>
  <c r="K917" i="5" s="1"/>
  <c r="J506" i="5"/>
  <c r="K506" i="5" s="1"/>
  <c r="J907" i="5"/>
  <c r="K907" i="5" s="1"/>
  <c r="J916" i="5"/>
  <c r="K916" i="5" s="1"/>
  <c r="J195" i="5"/>
  <c r="K195" i="5" s="1"/>
  <c r="J547" i="5"/>
  <c r="K547" i="5" s="1"/>
  <c r="J55" i="5"/>
  <c r="K55" i="5" s="1"/>
  <c r="J379" i="5"/>
  <c r="K379" i="5" s="1"/>
  <c r="J378" i="5"/>
  <c r="K378" i="5" s="1"/>
  <c r="J681" i="5"/>
  <c r="K681" i="5" s="1"/>
  <c r="J680" i="5"/>
  <c r="K680" i="5" s="1"/>
  <c r="J679" i="5"/>
  <c r="K679" i="5" s="1"/>
  <c r="J377" i="5"/>
  <c r="K377" i="5" s="1"/>
  <c r="J144" i="5"/>
  <c r="K144" i="5" s="1"/>
  <c r="J626" i="5"/>
  <c r="K626" i="5" s="1"/>
  <c r="J896" i="5"/>
  <c r="K896" i="5" s="1"/>
  <c r="J902" i="5"/>
  <c r="K902" i="5" s="1"/>
  <c r="J722" i="5"/>
  <c r="K722" i="5" s="1"/>
  <c r="J678" i="5"/>
  <c r="K678" i="5" s="1"/>
  <c r="J824" i="5"/>
  <c r="K824" i="5" s="1"/>
  <c r="J823" i="5"/>
  <c r="K823" i="5" s="1"/>
  <c r="J785" i="5"/>
  <c r="K785" i="5" s="1"/>
  <c r="J966" i="5"/>
  <c r="K966" i="5" s="1"/>
  <c r="J970" i="5"/>
  <c r="K970" i="5" s="1"/>
  <c r="J440" i="5"/>
  <c r="K440" i="5" s="1"/>
  <c r="J889" i="5"/>
  <c r="K889" i="5" s="1"/>
  <c r="K505" i="5"/>
  <c r="J505" i="5"/>
  <c r="K688" i="5"/>
  <c r="J688" i="5"/>
  <c r="K481" i="5"/>
  <c r="J481" i="5"/>
  <c r="K504" i="5"/>
  <c r="J504" i="5"/>
  <c r="K795" i="5"/>
  <c r="J795" i="5"/>
  <c r="K503" i="5"/>
  <c r="J503" i="5"/>
  <c r="J677" i="5"/>
  <c r="K677" i="5" s="1"/>
  <c r="J676" i="5"/>
  <c r="K676" i="5" s="1"/>
  <c r="J675" i="5"/>
  <c r="K675" i="5" s="1"/>
  <c r="J546" i="5"/>
  <c r="K546" i="5" s="1"/>
  <c r="J822" i="5"/>
  <c r="K822" i="5" s="1"/>
  <c r="K821" i="5"/>
  <c r="J821" i="5"/>
  <c r="K376" i="5"/>
  <c r="J376" i="5"/>
  <c r="K906" i="5"/>
  <c r="J906" i="5"/>
  <c r="K915" i="5"/>
  <c r="J915" i="5"/>
  <c r="K914" i="5"/>
  <c r="J914" i="5"/>
  <c r="K375" i="5"/>
  <c r="J375" i="5"/>
  <c r="K905" i="5"/>
  <c r="J905" i="5"/>
  <c r="K719" i="5"/>
  <c r="J719" i="5"/>
  <c r="K712" i="5"/>
  <c r="J712" i="5"/>
  <c r="K718" i="5"/>
  <c r="J718" i="5"/>
  <c r="K888" i="5"/>
  <c r="J888" i="5"/>
  <c r="K965" i="5"/>
  <c r="J965" i="5"/>
  <c r="K654" i="5"/>
  <c r="J654" i="5"/>
  <c r="K820" i="5"/>
  <c r="J820" i="5"/>
  <c r="K374" i="5"/>
  <c r="J374" i="5"/>
  <c r="K373" i="5"/>
  <c r="J373" i="5"/>
  <c r="K999" i="5"/>
  <c r="J999" i="5"/>
  <c r="K259" i="5"/>
  <c r="J259" i="5"/>
  <c r="K969" i="5"/>
  <c r="J969" i="5"/>
  <c r="K895" i="5"/>
  <c r="J895" i="5"/>
  <c r="K528" i="5"/>
  <c r="J528" i="5"/>
  <c r="K535" i="5"/>
  <c r="J535" i="5"/>
  <c r="K674" i="5"/>
  <c r="J674" i="5"/>
  <c r="K819" i="5"/>
  <c r="J819" i="5"/>
  <c r="K818" i="5"/>
  <c r="J818" i="5"/>
  <c r="K817" i="5"/>
  <c r="J817" i="5"/>
  <c r="K1012" i="5"/>
  <c r="J1012" i="5"/>
  <c r="K1011" i="5"/>
  <c r="J1011" i="5"/>
  <c r="K345" i="5"/>
  <c r="J345" i="5"/>
  <c r="K292" i="5"/>
  <c r="J292" i="5"/>
  <c r="K673" i="5"/>
  <c r="J673" i="5"/>
  <c r="K372" i="5"/>
  <c r="J372" i="5"/>
  <c r="K577" i="5"/>
  <c r="J577" i="5"/>
  <c r="K545" i="5"/>
  <c r="J545" i="5"/>
  <c r="K544" i="5"/>
  <c r="J544" i="5"/>
  <c r="K194" i="5"/>
  <c r="J194" i="5"/>
  <c r="K185" i="5"/>
  <c r="J185" i="5"/>
  <c r="K193" i="5"/>
  <c r="J193" i="5"/>
  <c r="K672" i="5"/>
  <c r="J672" i="5"/>
  <c r="K641" i="5"/>
  <c r="J641" i="5"/>
  <c r="K188" i="5"/>
  <c r="J188" i="5"/>
  <c r="K653" i="5"/>
  <c r="J653" i="5"/>
  <c r="K187" i="5"/>
  <c r="J187" i="5"/>
  <c r="K706" i="5"/>
  <c r="J706" i="5"/>
  <c r="K740" i="5"/>
  <c r="J740" i="5"/>
  <c r="K50" i="5"/>
  <c r="J50" i="5"/>
  <c r="K104" i="5"/>
  <c r="J104" i="5"/>
  <c r="K265" i="5"/>
  <c r="J265" i="5"/>
  <c r="K128" i="5"/>
  <c r="J128" i="5"/>
  <c r="K957" i="5"/>
  <c r="J957" i="5"/>
  <c r="K103" i="5"/>
  <c r="J103" i="5"/>
  <c r="K87" i="5"/>
  <c r="J87" i="5"/>
  <c r="K102" i="5"/>
  <c r="J102" i="5"/>
  <c r="K575" i="5"/>
  <c r="J575" i="5"/>
  <c r="K572" i="5"/>
  <c r="J572" i="5"/>
  <c r="K956" i="5"/>
  <c r="J956" i="5"/>
  <c r="K405" i="5"/>
  <c r="J405" i="5"/>
  <c r="K776" i="5"/>
  <c r="J776" i="5"/>
  <c r="K739" i="5"/>
  <c r="J739" i="5"/>
  <c r="K980" i="5"/>
  <c r="J980" i="5"/>
  <c r="K979" i="5"/>
  <c r="J979" i="5"/>
  <c r="K426" i="5"/>
  <c r="J426" i="5"/>
  <c r="K425" i="5"/>
  <c r="J425" i="5"/>
  <c r="K30" i="5"/>
  <c r="J30" i="5"/>
  <c r="K299" i="5"/>
  <c r="J299" i="5"/>
  <c r="K619" i="5"/>
  <c r="J619" i="5"/>
  <c r="K618" i="5"/>
  <c r="J618" i="5"/>
  <c r="K531" i="5"/>
  <c r="J531" i="5"/>
  <c r="K738" i="5"/>
  <c r="J738" i="5"/>
  <c r="K404" i="5"/>
  <c r="J404" i="5"/>
  <c r="K780" i="5"/>
  <c r="J780" i="5"/>
  <c r="K225" i="5"/>
  <c r="J225" i="5"/>
  <c r="K794" i="5"/>
  <c r="J794" i="5"/>
  <c r="K344" i="5"/>
  <c r="J344" i="5"/>
  <c r="K991" i="5"/>
  <c r="J991" i="5"/>
  <c r="K881" i="5"/>
  <c r="J881" i="5"/>
  <c r="K652" i="5"/>
  <c r="J652" i="5"/>
  <c r="K651" i="5"/>
  <c r="J651" i="5"/>
  <c r="K650" i="5"/>
  <c r="J650" i="5"/>
  <c r="K775" i="5"/>
  <c r="J775" i="5"/>
  <c r="K737" i="5"/>
  <c r="J737" i="5"/>
  <c r="K423" i="5"/>
  <c r="J423" i="5"/>
  <c r="K894" i="5"/>
  <c r="J894" i="5"/>
  <c r="K543" i="5"/>
  <c r="J543" i="5"/>
  <c r="K732" i="5"/>
  <c r="J732" i="5"/>
  <c r="K774" i="5"/>
  <c r="J774" i="5"/>
  <c r="K779" i="5"/>
  <c r="J779" i="5"/>
  <c r="K488" i="5"/>
  <c r="J488" i="5"/>
  <c r="K717" i="5"/>
  <c r="J717" i="5"/>
  <c r="K972" i="5"/>
  <c r="J972" i="5"/>
  <c r="K731" i="5"/>
  <c r="J731" i="5"/>
  <c r="K268" i="5"/>
  <c r="J268" i="5"/>
  <c r="K730" i="5"/>
  <c r="J730" i="5"/>
  <c r="K1013" i="5"/>
  <c r="J1013" i="5"/>
  <c r="K267" i="5"/>
  <c r="J267" i="5"/>
  <c r="K837" i="5"/>
  <c r="J837" i="5"/>
  <c r="K705" i="5"/>
  <c r="J705" i="5"/>
  <c r="K29" i="5"/>
  <c r="J29" i="5"/>
  <c r="K28" i="5"/>
  <c r="J28" i="5"/>
  <c r="K290" i="5"/>
  <c r="J290" i="5"/>
  <c r="K289" i="5"/>
  <c r="J289" i="5"/>
  <c r="K239" i="5"/>
  <c r="J239" i="5"/>
  <c r="K184" i="5"/>
  <c r="J184" i="5"/>
  <c r="K224" i="5"/>
  <c r="J224" i="5"/>
  <c r="K704" i="5"/>
  <c r="J704" i="5"/>
  <c r="K703" i="5"/>
  <c r="J703" i="5"/>
  <c r="K702" i="5"/>
  <c r="J702" i="5"/>
  <c r="K701" i="5"/>
  <c r="J701" i="5"/>
  <c r="K422" i="5"/>
  <c r="J422" i="5"/>
  <c r="K403" i="5"/>
  <c r="J403" i="5"/>
  <c r="K122" i="5"/>
  <c r="J122" i="5"/>
  <c r="K773" i="5"/>
  <c r="J773" i="5"/>
  <c r="K161" i="5"/>
  <c r="J161" i="5"/>
  <c r="K223" i="5"/>
  <c r="J223" i="5"/>
  <c r="K115" i="5"/>
  <c r="J115" i="5"/>
  <c r="K222" i="5"/>
  <c r="J222" i="5"/>
  <c r="K121" i="5"/>
  <c r="J121" i="5"/>
  <c r="K221" i="5"/>
  <c r="J221" i="5"/>
  <c r="K160" i="5"/>
  <c r="J160" i="5"/>
  <c r="K459" i="5"/>
  <c r="J459" i="5"/>
  <c r="K314" i="5"/>
  <c r="J314" i="5"/>
  <c r="K238" i="5"/>
  <c r="J238" i="5"/>
  <c r="K700" i="5"/>
  <c r="J700" i="5"/>
  <c r="K313" i="5"/>
  <c r="J313" i="5"/>
  <c r="K181" i="5"/>
  <c r="J181" i="5"/>
  <c r="K312" i="5"/>
  <c r="J312" i="5"/>
  <c r="K421" i="5"/>
  <c r="J421" i="5"/>
  <c r="K138" i="5"/>
  <c r="J138" i="5"/>
  <c r="K237" i="5"/>
  <c r="J237" i="5"/>
  <c r="K410" i="5"/>
  <c r="J410" i="5"/>
  <c r="K409" i="5"/>
  <c r="J409" i="5"/>
  <c r="K772" i="5"/>
  <c r="J772" i="5"/>
  <c r="K311" i="5"/>
  <c r="J311" i="5"/>
  <c r="K771" i="5"/>
  <c r="J771" i="5"/>
  <c r="K770" i="5"/>
  <c r="J770" i="5"/>
  <c r="K769" i="5"/>
  <c r="J769" i="5"/>
  <c r="K310" i="5"/>
  <c r="J310" i="5"/>
  <c r="K25" i="5"/>
  <c r="J25" i="5"/>
  <c r="K24" i="5"/>
  <c r="J24" i="5"/>
  <c r="K518" i="5"/>
  <c r="J518" i="5"/>
  <c r="K727" i="5"/>
  <c r="J727" i="5"/>
  <c r="K768" i="5"/>
  <c r="J768" i="5"/>
  <c r="K297" i="5"/>
  <c r="J297" i="5"/>
  <c r="K251" i="5"/>
  <c r="J251" i="5"/>
  <c r="K793" i="5"/>
  <c r="J793" i="5"/>
  <c r="K163" i="5"/>
  <c r="J163" i="5"/>
  <c r="K329" i="5"/>
  <c r="J329" i="5"/>
  <c r="K996" i="5"/>
  <c r="J996" i="5"/>
  <c r="K995" i="5"/>
  <c r="J995" i="5"/>
  <c r="K994" i="5"/>
  <c r="J994" i="5"/>
  <c r="K993" i="5"/>
  <c r="J993" i="5"/>
  <c r="K640" i="5"/>
  <c r="J640" i="5"/>
  <c r="K639" i="5"/>
  <c r="J639" i="5"/>
  <c r="K638" i="5"/>
  <c r="J638" i="5"/>
  <c r="K143" i="5"/>
  <c r="J143" i="5"/>
  <c r="K901" i="5"/>
  <c r="J901" i="5"/>
  <c r="K900" i="5"/>
  <c r="J900" i="5"/>
  <c r="K898" i="5"/>
  <c r="J898" i="5"/>
  <c r="K997" i="5"/>
  <c r="J997" i="5"/>
  <c r="K480" i="5"/>
  <c r="J480" i="5"/>
  <c r="K479" i="5"/>
  <c r="J479" i="5"/>
  <c r="K478" i="5"/>
  <c r="J478" i="5"/>
  <c r="K477" i="5"/>
  <c r="J477" i="5"/>
  <c r="K960" i="5"/>
  <c r="J960" i="5"/>
  <c r="K964" i="5"/>
  <c r="J964" i="5"/>
  <c r="K963" i="5"/>
  <c r="J963" i="5"/>
  <c r="K962" i="5"/>
  <c r="J962" i="5"/>
  <c r="K186" i="5"/>
  <c r="J186" i="5"/>
  <c r="K309" i="5"/>
  <c r="J309" i="5"/>
  <c r="K37" i="5"/>
  <c r="J37" i="5"/>
  <c r="K36" i="5"/>
  <c r="J36" i="5"/>
  <c r="K530" i="5"/>
  <c r="J530" i="5"/>
  <c r="K487" i="5"/>
  <c r="J487" i="5"/>
  <c r="K816" i="5"/>
  <c r="J816" i="5"/>
  <c r="K1008" i="5"/>
  <c r="J1008" i="5"/>
  <c r="K250" i="5"/>
  <c r="J250" i="5"/>
  <c r="K1007" i="5"/>
  <c r="J1007" i="5"/>
  <c r="K887" i="5"/>
  <c r="J887" i="5"/>
  <c r="K897" i="5"/>
  <c r="J897" i="5"/>
  <c r="K893" i="5"/>
  <c r="J893" i="5"/>
  <c r="K878" i="5"/>
  <c r="J878" i="5"/>
  <c r="K716" i="5"/>
  <c r="J716" i="5"/>
  <c r="K328" i="5"/>
  <c r="J328" i="5"/>
  <c r="K475" i="5"/>
  <c r="J475" i="5"/>
  <c r="K899" i="5"/>
  <c r="J899" i="5"/>
  <c r="K474" i="5"/>
  <c r="J474" i="5"/>
  <c r="K784" i="5"/>
  <c r="J784" i="5"/>
  <c r="K886" i="5"/>
  <c r="J886" i="5"/>
  <c r="K711" i="5"/>
  <c r="J711" i="5"/>
  <c r="K625" i="5"/>
  <c r="J625" i="5"/>
  <c r="K110" i="5"/>
  <c r="J110" i="5"/>
  <c r="K371" i="5"/>
  <c r="J371" i="5"/>
  <c r="K715" i="5"/>
  <c r="J715" i="5"/>
  <c r="K319" i="5"/>
  <c r="J319" i="5"/>
  <c r="K792" i="5"/>
  <c r="J792" i="5"/>
  <c r="K892" i="5"/>
  <c r="J892" i="5"/>
  <c r="K637" i="5"/>
  <c r="J637" i="5"/>
  <c r="K636" i="5"/>
  <c r="J636" i="5"/>
  <c r="K635" i="5"/>
  <c r="J635" i="5"/>
  <c r="K318" i="5"/>
  <c r="J318" i="5"/>
  <c r="K958" i="5"/>
  <c r="J958" i="5"/>
  <c r="K1018" i="5"/>
  <c r="J1018" i="5"/>
  <c r="K54" i="5"/>
  <c r="J54" i="5"/>
  <c r="K370" i="5"/>
  <c r="J370" i="5"/>
  <c r="K778" i="5"/>
  <c r="J778" i="5"/>
  <c r="K156" i="5"/>
  <c r="J156" i="5"/>
  <c r="K343" i="5"/>
  <c r="J343" i="5"/>
  <c r="K155" i="5"/>
  <c r="J155" i="5"/>
  <c r="K369" i="5"/>
  <c r="J369" i="5"/>
  <c r="K671" i="5"/>
  <c r="J671" i="5"/>
  <c r="K71" i="5"/>
  <c r="J71" i="5"/>
  <c r="K154" i="5"/>
  <c r="J154" i="5"/>
  <c r="K342" i="5"/>
  <c r="J342" i="5"/>
  <c r="K891" i="5"/>
  <c r="J891" i="5"/>
  <c r="K70" i="5"/>
  <c r="J70" i="5"/>
  <c r="K153" i="5"/>
  <c r="J153" i="5"/>
  <c r="K152" i="5"/>
  <c r="J152" i="5"/>
  <c r="K151" i="5"/>
  <c r="J151" i="5"/>
  <c r="K465" i="5"/>
  <c r="J465" i="5"/>
  <c r="K649" i="5"/>
  <c r="J649" i="5"/>
  <c r="K464" i="5"/>
  <c r="J464" i="5"/>
  <c r="K23" i="5"/>
  <c r="J23" i="5"/>
  <c r="K648" i="5"/>
  <c r="J648" i="5"/>
  <c r="K249" i="5"/>
  <c r="J249" i="5"/>
  <c r="K368" i="5"/>
  <c r="J368" i="5"/>
  <c r="K670" i="5"/>
  <c r="J670" i="5"/>
  <c r="K248" i="5"/>
  <c r="J248" i="5"/>
  <c r="K242" i="5"/>
  <c r="J242" i="5"/>
  <c r="K502" i="5"/>
  <c r="J502" i="5"/>
  <c r="K501" i="5"/>
  <c r="J501" i="5"/>
  <c r="K241" i="5"/>
  <c r="J241" i="5"/>
  <c r="K341" i="5"/>
  <c r="J341" i="5"/>
  <c r="K858" i="5"/>
  <c r="J858" i="5"/>
  <c r="K247" i="5"/>
  <c r="J247" i="5"/>
  <c r="K258" i="5"/>
  <c r="J258" i="5"/>
  <c r="K340" i="5"/>
  <c r="J340" i="5"/>
  <c r="K367" i="5"/>
  <c r="J367" i="5"/>
  <c r="K339" i="5"/>
  <c r="J339" i="5"/>
  <c r="K317" i="5"/>
  <c r="J317" i="5"/>
  <c r="K338" i="5"/>
  <c r="J338" i="5"/>
  <c r="K669" i="5"/>
  <c r="J669" i="5"/>
  <c r="K624" i="5"/>
  <c r="J624" i="5"/>
  <c r="K767" i="5"/>
  <c r="J767" i="5"/>
  <c r="K623" i="5"/>
  <c r="J623" i="5"/>
  <c r="K622" i="5"/>
  <c r="J622" i="5"/>
  <c r="K668" i="5"/>
  <c r="J668" i="5"/>
  <c r="K614" i="5"/>
  <c r="J614" i="5"/>
  <c r="K634" i="5"/>
  <c r="J634" i="5"/>
  <c r="K486" i="5"/>
  <c r="J486" i="5"/>
  <c r="K500" i="5"/>
  <c r="J500" i="5"/>
  <c r="K617" i="5"/>
  <c r="J617" i="5"/>
  <c r="K815" i="5"/>
  <c r="J815" i="5"/>
  <c r="K337" i="5"/>
  <c r="J337" i="5"/>
  <c r="K647" i="5"/>
  <c r="J647" i="5"/>
  <c r="K257" i="5"/>
  <c r="J257" i="5"/>
  <c r="K192" i="5"/>
  <c r="J192" i="5"/>
  <c r="K246" i="5"/>
  <c r="J246" i="5"/>
  <c r="K162" i="5"/>
  <c r="J162" i="5"/>
  <c r="K646" i="5"/>
  <c r="J646" i="5"/>
  <c r="K694" i="5"/>
  <c r="J694" i="5"/>
  <c r="K783" i="5"/>
  <c r="J783" i="5"/>
  <c r="K667" i="5"/>
  <c r="J667" i="5"/>
  <c r="K366" i="5"/>
  <c r="J366" i="5"/>
  <c r="K933" i="5"/>
  <c r="J933" i="5"/>
  <c r="K666" i="5"/>
  <c r="J666" i="5"/>
  <c r="K621" i="5"/>
  <c r="J621" i="5"/>
  <c r="K183" i="5"/>
  <c r="J183" i="5"/>
  <c r="K365" i="5"/>
  <c r="J365" i="5"/>
  <c r="K364" i="5"/>
  <c r="J364" i="5"/>
  <c r="K583" i="5"/>
  <c r="J583" i="5"/>
  <c r="K582" i="5"/>
  <c r="J582" i="5"/>
  <c r="K581" i="5"/>
  <c r="J581" i="5"/>
  <c r="K580" i="5"/>
  <c r="J580" i="5"/>
  <c r="K542" i="5"/>
  <c r="J542" i="5"/>
  <c r="K541" i="5"/>
  <c r="J541" i="5"/>
  <c r="K363" i="5"/>
  <c r="J363" i="5"/>
  <c r="K362" i="5"/>
  <c r="J362" i="5"/>
  <c r="K633" i="5"/>
  <c r="J633" i="5"/>
  <c r="K632" i="5"/>
  <c r="J632" i="5"/>
  <c r="K629" i="5"/>
  <c r="J629" i="5"/>
  <c r="K361" i="5"/>
  <c r="J361" i="5"/>
  <c r="K631" i="5"/>
  <c r="J631" i="5"/>
  <c r="K630" i="5"/>
  <c r="J630" i="5"/>
  <c r="K150" i="5"/>
  <c r="J150" i="5"/>
  <c r="K149" i="5"/>
  <c r="J149" i="5"/>
  <c r="K1006" i="5"/>
  <c r="J1006" i="5"/>
  <c r="K360" i="5"/>
  <c r="J360" i="5"/>
  <c r="K913" i="5"/>
  <c r="J913" i="5"/>
  <c r="K814" i="5"/>
  <c r="J814" i="5"/>
  <c r="K540" i="5"/>
  <c r="J540" i="5"/>
  <c r="K534" i="5"/>
  <c r="J534" i="5"/>
  <c r="K904" i="5"/>
  <c r="J904" i="5"/>
  <c r="K992" i="5"/>
  <c r="J992" i="5"/>
  <c r="K714" i="5"/>
  <c r="J714" i="5"/>
  <c r="K713" i="5"/>
  <c r="J713" i="5"/>
  <c r="K665" i="5"/>
  <c r="J665" i="5"/>
  <c r="K499" i="5"/>
  <c r="J499" i="5"/>
  <c r="K498" i="5"/>
  <c r="J498" i="5"/>
  <c r="K79" i="5"/>
  <c r="J79" i="5"/>
  <c r="K148" i="5"/>
  <c r="J148" i="5"/>
  <c r="K791" i="5"/>
  <c r="J791" i="5"/>
  <c r="K539" i="5"/>
  <c r="J539" i="5"/>
  <c r="K359" i="5"/>
  <c r="J359" i="5"/>
  <c r="K664" i="5"/>
  <c r="J664" i="5"/>
  <c r="K109" i="5"/>
  <c r="J109" i="5"/>
  <c r="K932" i="5"/>
  <c r="J932" i="5"/>
  <c r="K813" i="5"/>
  <c r="J813" i="5"/>
  <c r="K663" i="5"/>
  <c r="J663" i="5"/>
  <c r="K812" i="5"/>
  <c r="J812" i="5"/>
  <c r="J108" i="5"/>
  <c r="K108" i="5" s="1"/>
  <c r="J1016" i="5"/>
  <c r="K1016" i="5" s="1"/>
  <c r="J1015" i="5"/>
  <c r="K1015" i="5" s="1"/>
  <c r="J766" i="5"/>
  <c r="K766" i="5" s="1"/>
  <c r="J533" i="5"/>
  <c r="K533" i="5" s="1"/>
  <c r="J327" i="5"/>
  <c r="K327" i="5" s="1"/>
  <c r="J358" i="5"/>
  <c r="K358" i="5" s="1"/>
  <c r="J885" i="5"/>
  <c r="K885" i="5" s="1"/>
  <c r="J884" i="5"/>
  <c r="K884" i="5" s="1"/>
  <c r="J73" i="5"/>
  <c r="K73" i="5" s="1"/>
  <c r="J811" i="5"/>
  <c r="K811" i="5" s="1"/>
  <c r="J998" i="5"/>
  <c r="K998" i="5" s="1"/>
  <c r="J473" i="5"/>
  <c r="K473" i="5" s="1"/>
  <c r="J256" i="5"/>
  <c r="K256" i="5" s="1"/>
  <c r="J191" i="5"/>
  <c r="K191" i="5" s="1"/>
  <c r="J53" i="5"/>
  <c r="K53" i="5" s="1"/>
  <c r="J81" i="5"/>
  <c r="K81" i="5" s="1"/>
  <c r="J357" i="5"/>
  <c r="K357" i="5" s="1"/>
  <c r="J356" i="5"/>
  <c r="K356" i="5" s="1"/>
  <c r="J810" i="5"/>
  <c r="K810" i="5" s="1"/>
  <c r="J809" i="5"/>
  <c r="K809" i="5" s="1"/>
  <c r="J355" i="5"/>
  <c r="K355" i="5" s="1"/>
  <c r="J497" i="5"/>
  <c r="K497" i="5" s="1"/>
  <c r="J496" i="5"/>
  <c r="K496" i="5" s="1"/>
  <c r="J255" i="5"/>
  <c r="K255" i="5" s="1"/>
  <c r="J495" i="5"/>
  <c r="K495" i="5" s="1"/>
  <c r="J662" i="5"/>
  <c r="K662" i="5" s="1"/>
  <c r="J808" i="5"/>
  <c r="K808" i="5" s="1"/>
  <c r="J72" i="5"/>
  <c r="K72" i="5" s="1"/>
  <c r="J147" i="5"/>
  <c r="K147" i="5" s="1"/>
  <c r="J254" i="5"/>
  <c r="K254" i="5" s="1"/>
  <c r="J78" i="5"/>
  <c r="K78" i="5" s="1"/>
  <c r="J605" i="5"/>
  <c r="K605" i="5" s="1"/>
  <c r="J236" i="5"/>
  <c r="K236" i="5" s="1"/>
  <c r="J765" i="5"/>
  <c r="K765" i="5" s="1"/>
  <c r="J929" i="5"/>
  <c r="K929" i="5" s="1"/>
  <c r="J613" i="5"/>
  <c r="K613" i="5" s="1"/>
  <c r="J402" i="5"/>
  <c r="K402" i="5" s="1"/>
  <c r="J420" i="5"/>
  <c r="K420" i="5" s="1"/>
  <c r="J517" i="5"/>
  <c r="K517" i="5" s="1"/>
  <c r="J984" i="5"/>
  <c r="K984" i="5" s="1"/>
  <c r="J1014" i="5"/>
  <c r="K1014" i="5" s="1"/>
  <c r="J604" i="5"/>
  <c r="K604" i="5" s="1"/>
  <c r="J137" i="5"/>
  <c r="K137" i="5" s="1"/>
  <c r="J699" i="5"/>
  <c r="K699" i="5" s="1"/>
  <c r="J955" i="5"/>
  <c r="K955" i="5" s="1"/>
  <c r="J227" i="5"/>
  <c r="K227" i="5" s="1"/>
  <c r="J98" i="5"/>
  <c r="K98" i="5" s="1"/>
  <c r="J97" i="5"/>
  <c r="K97" i="5" s="1"/>
  <c r="J180" i="5"/>
  <c r="K180" i="5" s="1"/>
  <c r="J973" i="5"/>
  <c r="K973" i="5" s="1"/>
  <c r="J983" i="5"/>
  <c r="K983" i="5" s="1"/>
  <c r="J862" i="5"/>
  <c r="K862" i="5" s="1"/>
  <c r="J301" i="5"/>
  <c r="K301" i="5" s="1"/>
  <c r="J96" i="5"/>
  <c r="K96" i="5" s="1"/>
  <c r="J95" i="5"/>
  <c r="K95" i="5" s="1"/>
  <c r="J576" i="5"/>
  <c r="K576" i="5" s="1"/>
  <c r="J877" i="5"/>
  <c r="K877" i="5" s="1"/>
  <c r="J603" i="5"/>
  <c r="K603" i="5" s="1"/>
  <c r="J49" i="5"/>
  <c r="K49" i="5" s="1"/>
  <c r="J48" i="5"/>
  <c r="K48" i="5" s="1"/>
  <c r="J616" i="5"/>
  <c r="K616" i="5" s="1"/>
  <c r="J602" i="5"/>
  <c r="K602" i="5" s="1"/>
  <c r="J308" i="5"/>
  <c r="K308" i="5" s="1"/>
  <c r="J856" i="5"/>
  <c r="K856" i="5" s="1"/>
  <c r="J764" i="5"/>
  <c r="K764" i="5" s="1"/>
  <c r="J864" i="5"/>
  <c r="K864" i="5" s="1"/>
  <c r="J458" i="5"/>
  <c r="K458" i="5" s="1"/>
  <c r="J472" i="5"/>
  <c r="K472" i="5" s="1"/>
  <c r="J235" i="5"/>
  <c r="K235" i="5" s="1"/>
  <c r="J234" i="5"/>
  <c r="K234" i="5" s="1"/>
  <c r="J204" i="5"/>
  <c r="K204" i="5" s="1"/>
  <c r="J516" i="5"/>
  <c r="K516" i="5" s="1"/>
  <c r="J876" i="5"/>
  <c r="K876" i="5" s="1"/>
  <c r="J763" i="5"/>
  <c r="K763" i="5" s="1"/>
  <c r="J762" i="5"/>
  <c r="K762" i="5" s="1"/>
  <c r="J601" i="5"/>
  <c r="K601" i="5" s="1"/>
  <c r="J875" i="5"/>
  <c r="K875" i="5" s="1"/>
  <c r="J978" i="5"/>
  <c r="K978" i="5" s="1"/>
  <c r="J977" i="5"/>
  <c r="K977" i="5" s="1"/>
  <c r="J569" i="5"/>
  <c r="K569" i="5" s="1"/>
  <c r="J568" i="5"/>
  <c r="K568" i="5" s="1"/>
  <c r="J177" i="5"/>
  <c r="K177" i="5" s="1"/>
  <c r="J5" i="5"/>
  <c r="K5" i="5" s="1"/>
  <c r="J60" i="5"/>
  <c r="K60" i="5" s="1"/>
  <c r="J285" i="5"/>
  <c r="K285" i="5" s="1"/>
  <c r="K284" i="5"/>
  <c r="J284" i="5"/>
  <c r="K419" i="5"/>
  <c r="J419" i="5"/>
  <c r="K471" i="5"/>
  <c r="J471" i="5"/>
  <c r="K65" i="5"/>
  <c r="J65" i="5"/>
  <c r="K130" i="5"/>
  <c r="J130" i="5"/>
  <c r="K855" i="5"/>
  <c r="J855" i="5"/>
  <c r="K854" i="5"/>
  <c r="J854" i="5"/>
  <c r="K853" i="5"/>
  <c r="J853" i="5"/>
  <c r="K852" i="5"/>
  <c r="J852" i="5"/>
  <c r="K127" i="5"/>
  <c r="J127" i="5"/>
  <c r="K391" i="5"/>
  <c r="J391" i="5"/>
  <c r="K271" i="5"/>
  <c r="J271" i="5"/>
  <c r="K408" i="5"/>
  <c r="J408" i="5"/>
  <c r="K392" i="5"/>
  <c r="J392" i="5"/>
  <c r="K590" i="5"/>
  <c r="J590" i="5"/>
  <c r="K612" i="5"/>
  <c r="J612" i="5"/>
  <c r="K611" i="5"/>
  <c r="J611" i="5"/>
  <c r="K610" i="5"/>
  <c r="J610" i="5"/>
  <c r="K954" i="5"/>
  <c r="J954" i="5"/>
  <c r="K953" i="5"/>
  <c r="J953" i="5"/>
  <c r="K952" i="5"/>
  <c r="J952" i="5"/>
  <c r="K951" i="5"/>
  <c r="J951" i="5"/>
  <c r="K950" i="5"/>
  <c r="J950" i="5"/>
  <c r="K457" i="5"/>
  <c r="J457" i="5"/>
  <c r="K761" i="5"/>
  <c r="J761" i="5"/>
  <c r="K760" i="5"/>
  <c r="J760" i="5"/>
  <c r="K874" i="5"/>
  <c r="J874" i="5"/>
  <c r="K873" i="5"/>
  <c r="J873" i="5"/>
  <c r="K872" i="5"/>
  <c r="J872" i="5"/>
  <c r="K759" i="5"/>
  <c r="J759" i="5"/>
  <c r="K758" i="5"/>
  <c r="J758" i="5"/>
  <c r="K757" i="5"/>
  <c r="J757" i="5"/>
  <c r="K756" i="5"/>
  <c r="J756" i="5"/>
  <c r="K755" i="5"/>
  <c r="J755" i="5"/>
  <c r="K754" i="5"/>
  <c r="J754" i="5"/>
  <c r="K861" i="5"/>
  <c r="J861" i="5"/>
  <c r="K600" i="5"/>
  <c r="J600" i="5"/>
  <c r="K753" i="5"/>
  <c r="J753" i="5"/>
  <c r="K752" i="5"/>
  <c r="J752" i="5"/>
  <c r="K751" i="5"/>
  <c r="J751" i="5"/>
  <c r="K750" i="5"/>
  <c r="J750" i="5"/>
  <c r="K736" i="5"/>
  <c r="J736" i="5"/>
  <c r="K11" i="5"/>
  <c r="J11" i="5"/>
  <c r="K557" i="5"/>
  <c r="J557" i="5"/>
  <c r="K165" i="5"/>
  <c r="J165" i="5"/>
  <c r="K399" i="5"/>
  <c r="J399" i="5"/>
  <c r="K398" i="5"/>
  <c r="J398" i="5"/>
  <c r="K101" i="5"/>
  <c r="J101" i="5"/>
  <c r="K66" i="5"/>
  <c r="J66" i="5"/>
  <c r="K190" i="5"/>
  <c r="J190" i="5"/>
  <c r="K21" i="5"/>
  <c r="J21" i="5"/>
  <c r="K323" i="5"/>
  <c r="J323" i="5"/>
  <c r="K10" i="5"/>
  <c r="J10" i="5"/>
  <c r="K406" i="5"/>
  <c r="J406" i="5"/>
  <c r="K326" i="5"/>
  <c r="J326" i="5"/>
  <c r="K325" i="5"/>
  <c r="J325" i="5"/>
  <c r="K424" i="5"/>
  <c r="J424" i="5"/>
  <c r="K661" i="5"/>
  <c r="J661" i="5"/>
  <c r="K660" i="5"/>
  <c r="J660" i="5"/>
  <c r="K645" i="5"/>
  <c r="J645" i="5"/>
  <c r="K659" i="5"/>
  <c r="J659" i="5"/>
  <c r="K52" i="5"/>
  <c r="J52" i="5"/>
  <c r="K107" i="5"/>
  <c r="J107" i="5"/>
  <c r="K324" i="5"/>
  <c r="J324" i="5"/>
  <c r="K322" i="5"/>
  <c r="J322" i="5"/>
  <c r="K658" i="5"/>
  <c r="J658" i="5"/>
  <c r="K882" i="5"/>
  <c r="J882" i="5"/>
  <c r="K434" i="5"/>
  <c r="J434" i="5"/>
  <c r="K807" i="5"/>
  <c r="J807" i="5"/>
  <c r="K106" i="5"/>
  <c r="J106" i="5"/>
  <c r="K336" i="5"/>
  <c r="J336" i="5"/>
  <c r="K335" i="5"/>
  <c r="J335" i="5"/>
  <c r="K644" i="5"/>
  <c r="J644" i="5"/>
  <c r="K806" i="5"/>
  <c r="J806" i="5"/>
  <c r="K805" i="5"/>
  <c r="J805" i="5"/>
  <c r="K782" i="5"/>
  <c r="J782" i="5"/>
  <c r="K790" i="5"/>
  <c r="J790" i="5"/>
  <c r="K354" i="5"/>
  <c r="J354" i="5"/>
  <c r="K353" i="5"/>
  <c r="J353" i="5"/>
  <c r="K959" i="5"/>
  <c r="J959" i="5"/>
  <c r="K912" i="5"/>
  <c r="J912" i="5"/>
  <c r="K804" i="5"/>
  <c r="J804" i="5"/>
  <c r="K494" i="5"/>
  <c r="J494" i="5"/>
  <c r="K485" i="5"/>
  <c r="J485" i="5"/>
  <c r="K321" i="5"/>
  <c r="J321" i="5"/>
  <c r="K961" i="5"/>
  <c r="J961" i="5"/>
  <c r="K968" i="5"/>
  <c r="J968" i="5"/>
  <c r="K967" i="5"/>
  <c r="J967" i="5"/>
  <c r="K51" i="5"/>
  <c r="J51" i="5"/>
  <c r="K579" i="5"/>
  <c r="J579" i="5"/>
  <c r="K352" i="5"/>
  <c r="J352" i="5"/>
  <c r="K439" i="5"/>
  <c r="J439" i="5"/>
  <c r="K136" i="5"/>
  <c r="J136" i="5"/>
  <c r="K189" i="5"/>
  <c r="J189" i="5"/>
  <c r="K105" i="5"/>
  <c r="J105" i="5"/>
  <c r="K31" i="5"/>
  <c r="J31" i="5"/>
  <c r="K27" i="5"/>
  <c r="J27" i="5"/>
  <c r="K789" i="5"/>
  <c r="J789" i="5"/>
  <c r="K245" i="5"/>
  <c r="J245" i="5"/>
  <c r="K146" i="5"/>
  <c r="J146" i="5"/>
  <c r="K803" i="5"/>
  <c r="J803" i="5"/>
  <c r="K710" i="5"/>
  <c r="J710" i="5"/>
  <c r="K657" i="5"/>
  <c r="J657" i="5"/>
  <c r="K788" i="5"/>
  <c r="J788" i="5"/>
  <c r="K802" i="5"/>
  <c r="J802" i="5"/>
  <c r="K721" i="5"/>
  <c r="J721" i="5"/>
  <c r="K291" i="5"/>
  <c r="J291" i="5"/>
  <c r="K351" i="5"/>
  <c r="J351" i="5"/>
  <c r="K787" i="5"/>
  <c r="J787" i="5"/>
  <c r="K801" i="5"/>
  <c r="J801" i="5"/>
  <c r="K438" i="5"/>
  <c r="J438" i="5"/>
  <c r="K698" i="5"/>
  <c r="J698" i="5"/>
  <c r="K567" i="5"/>
  <c r="J567" i="5"/>
  <c r="K566" i="5"/>
  <c r="J566" i="5"/>
  <c r="K119" i="5"/>
  <c r="J119" i="5"/>
  <c r="K233" i="5"/>
  <c r="J233" i="5"/>
  <c r="K118" i="5"/>
  <c r="J118" i="5"/>
  <c r="K159" i="5"/>
  <c r="J159" i="5"/>
  <c r="K203" i="5"/>
  <c r="J203" i="5"/>
  <c r="K288" i="5"/>
  <c r="J288" i="5"/>
  <c r="K599" i="5"/>
  <c r="J599" i="5"/>
  <c r="K749" i="5"/>
  <c r="J749" i="5"/>
  <c r="K456" i="5"/>
  <c r="J456" i="5"/>
  <c r="K455" i="5"/>
  <c r="J455" i="5"/>
  <c r="K454" i="5"/>
  <c r="J454" i="5"/>
  <c r="K47" i="5"/>
  <c r="J47" i="5"/>
  <c r="K35" i="5"/>
  <c r="J35" i="5"/>
  <c r="K407" i="5"/>
  <c r="J407" i="5"/>
  <c r="K69" i="5"/>
  <c r="J69" i="5"/>
  <c r="K307" i="5"/>
  <c r="J307" i="5"/>
  <c r="J1005" i="5"/>
  <c r="K1005" i="5" s="1"/>
  <c r="J157" i="5"/>
  <c r="K157" i="5" s="1"/>
  <c r="J158" i="5"/>
  <c r="K158" i="5" s="1"/>
  <c r="J176" i="5"/>
  <c r="K176" i="5" s="1"/>
  <c r="J4" i="5"/>
  <c r="K4" i="5" s="1"/>
  <c r="J59" i="5"/>
  <c r="K59" i="5" s="1"/>
  <c r="J283" i="5"/>
  <c r="K283" i="5" s="1"/>
  <c r="J282" i="5"/>
  <c r="K282" i="5" s="1"/>
  <c r="J401" i="5"/>
  <c r="K401" i="5" s="1"/>
  <c r="J470" i="5"/>
  <c r="K470" i="5" s="1"/>
  <c r="J64" i="5"/>
  <c r="K64" i="5" s="1"/>
  <c r="J142" i="5"/>
  <c r="K142" i="5" s="1"/>
  <c r="J851" i="5"/>
  <c r="K851" i="5" s="1"/>
  <c r="J850" i="5"/>
  <c r="K850" i="5" s="1"/>
  <c r="J849" i="5"/>
  <c r="K849" i="5" s="1"/>
  <c r="J848" i="5"/>
  <c r="K848" i="5" s="1"/>
  <c r="J126" i="5"/>
  <c r="K126" i="5" s="1"/>
  <c r="J125" i="5"/>
  <c r="K125" i="5" s="1"/>
  <c r="J390" i="5"/>
  <c r="K390" i="5" s="1"/>
  <c r="J281" i="5"/>
  <c r="K281" i="5" s="1"/>
  <c r="J418" i="5"/>
  <c r="K418" i="5" s="1"/>
  <c r="J448" i="5"/>
  <c r="K448" i="5" s="1"/>
  <c r="J447" i="5"/>
  <c r="K447" i="5" s="1"/>
  <c r="J201" i="5"/>
  <c r="K201" i="5" s="1"/>
  <c r="J220" i="5"/>
  <c r="K220" i="5" s="1"/>
  <c r="J219" i="5"/>
  <c r="K219" i="5" s="1"/>
  <c r="J218" i="5"/>
  <c r="K218" i="5" s="1"/>
  <c r="J232" i="5"/>
  <c r="K232" i="5" s="1"/>
  <c r="J463" i="5"/>
  <c r="K463" i="5" s="1"/>
  <c r="J264" i="5"/>
  <c r="K264" i="5" s="1"/>
  <c r="J949" i="5"/>
  <c r="K949" i="5" s="1"/>
  <c r="J948" i="5"/>
  <c r="K948" i="5" s="1"/>
  <c r="J947" i="5"/>
  <c r="K947" i="5" s="1"/>
  <c r="J571" i="5"/>
  <c r="K571" i="5" s="1"/>
  <c r="J200" i="5"/>
  <c r="K200" i="5" s="1"/>
  <c r="J591" i="5"/>
  <c r="K591" i="5" s="1"/>
  <c r="J400" i="5"/>
  <c r="K400" i="5" s="1"/>
  <c r="J453" i="5"/>
  <c r="K453" i="5" s="1"/>
  <c r="J729" i="5"/>
  <c r="K729" i="5" s="1"/>
  <c r="J215" i="5"/>
  <c r="K215" i="5" s="1"/>
  <c r="J116" i="5"/>
  <c r="K116" i="5" s="1"/>
  <c r="J556" i="5"/>
  <c r="K556" i="5" s="1"/>
  <c r="J555" i="5"/>
  <c r="K555" i="5" s="1"/>
  <c r="J554" i="5"/>
  <c r="K554" i="5" s="1"/>
  <c r="J553" i="5"/>
  <c r="K553" i="5" s="1"/>
  <c r="J976" i="5"/>
  <c r="K976" i="5" s="1"/>
  <c r="J22" i="5"/>
  <c r="K22" i="5" s="1"/>
  <c r="J931" i="5"/>
  <c r="K931" i="5" s="1"/>
  <c r="J573" i="5"/>
  <c r="K573" i="5" s="1"/>
  <c r="J86" i="5"/>
  <c r="K86" i="5" s="1"/>
  <c r="J748" i="5"/>
  <c r="K748" i="5" s="1"/>
  <c r="J747" i="5"/>
  <c r="K747" i="5" s="1"/>
  <c r="J3" i="5"/>
  <c r="K3" i="5" s="1"/>
  <c r="J746" i="5"/>
  <c r="K746" i="5" s="1"/>
  <c r="J745" i="5"/>
  <c r="K745" i="5" s="1"/>
  <c r="J231" i="5"/>
  <c r="K231" i="5" s="1"/>
  <c r="J527" i="5"/>
  <c r="K527" i="5" s="1"/>
  <c r="J589" i="5"/>
  <c r="K589" i="5" s="1"/>
  <c r="J598" i="5"/>
  <c r="K598" i="5" s="1"/>
  <c r="J263" i="5"/>
  <c r="K263" i="5" s="1"/>
  <c r="J1004" i="5"/>
  <c r="K1004" i="5" s="1"/>
  <c r="J1003" i="5"/>
  <c r="K1003" i="5" s="1"/>
  <c r="J1002" i="5"/>
  <c r="K1002" i="5" s="1"/>
  <c r="J597" i="5"/>
  <c r="K597" i="5" s="1"/>
  <c r="J586" i="5"/>
  <c r="K586" i="5" s="1"/>
  <c r="J726" i="5"/>
  <c r="K726" i="5" s="1"/>
  <c r="J689" i="5"/>
  <c r="K689" i="5" s="1"/>
  <c r="J210" i="5"/>
  <c r="K210" i="5" s="1"/>
  <c r="J269" i="5"/>
  <c r="K269" i="5" s="1"/>
  <c r="J166" i="5"/>
  <c r="K166" i="5" s="1"/>
  <c r="J113" i="5"/>
  <c r="K113" i="5" s="1"/>
  <c r="J1001" i="5"/>
  <c r="K1001" i="5" s="1"/>
  <c r="J927" i="5"/>
  <c r="K927" i="5" s="1"/>
  <c r="J942" i="5"/>
  <c r="K942" i="5" s="1"/>
  <c r="J941" i="5"/>
  <c r="K941" i="5" s="1"/>
  <c r="J168" i="5"/>
  <c r="K168" i="5" s="1"/>
  <c r="J691" i="5"/>
  <c r="K691" i="5" s="1"/>
  <c r="J922" i="5"/>
  <c r="K922" i="5" s="1"/>
  <c r="J395" i="5"/>
  <c r="K395" i="5" s="1"/>
  <c r="J1017" i="5"/>
  <c r="K1017" i="5" s="1"/>
  <c r="J397" i="5"/>
  <c r="K397" i="5" s="1"/>
  <c r="J940" i="5"/>
  <c r="K940" i="5" s="1"/>
  <c r="J33" i="5"/>
  <c r="K33" i="5" s="1"/>
  <c r="J925" i="5"/>
  <c r="K925" i="5" s="1"/>
  <c r="K924" i="5"/>
  <c r="J924" i="5"/>
  <c r="K697" i="5"/>
  <c r="J697" i="5"/>
  <c r="K214" i="5"/>
  <c r="J214" i="5"/>
  <c r="K42" i="5"/>
  <c r="J42" i="5"/>
  <c r="K863" i="5"/>
  <c r="J863" i="5"/>
  <c r="K588" i="5"/>
  <c r="J588" i="5"/>
  <c r="K41" i="5"/>
  <c r="J41" i="5"/>
  <c r="K40" i="5"/>
  <c r="J40" i="5"/>
  <c r="K230" i="5"/>
  <c r="J230" i="5"/>
  <c r="K229" i="5"/>
  <c r="J229" i="5"/>
  <c r="K39" i="5"/>
  <c r="J39" i="5"/>
  <c r="K94" i="5"/>
  <c r="J94" i="5"/>
  <c r="K83" i="5"/>
  <c r="J83" i="5"/>
  <c r="K77" i="5"/>
  <c r="J77" i="5"/>
  <c r="K112" i="5"/>
  <c r="J112" i="5"/>
  <c r="K744" i="5"/>
  <c r="J744" i="5"/>
  <c r="K120" i="5"/>
  <c r="J120" i="5"/>
  <c r="K34" i="5"/>
  <c r="J34" i="5"/>
  <c r="K596" i="5"/>
  <c r="J596" i="5"/>
  <c r="K595" i="5"/>
  <c r="J595" i="5"/>
  <c r="K68" i="5"/>
  <c r="J68" i="5"/>
  <c r="K871" i="5"/>
  <c r="J871" i="5"/>
  <c r="K696" i="5"/>
  <c r="J696" i="5"/>
  <c r="K870" i="5"/>
  <c r="J870" i="5"/>
  <c r="K982" i="5"/>
  <c r="J982" i="5"/>
  <c r="K594" i="5"/>
  <c r="J594" i="5"/>
  <c r="K306" i="5"/>
  <c r="J306" i="5"/>
  <c r="K182" i="5"/>
  <c r="J182" i="5"/>
  <c r="K135" i="5"/>
  <c r="J135" i="5"/>
  <c r="K46" i="5"/>
  <c r="J46" i="5"/>
  <c r="K93" i="5"/>
  <c r="J93" i="5"/>
  <c r="K92" i="5"/>
  <c r="J92" i="5"/>
  <c r="K725" i="5"/>
  <c r="J725" i="5"/>
  <c r="K690" i="5"/>
  <c r="J690" i="5"/>
  <c r="K287" i="5"/>
  <c r="J287" i="5"/>
  <c r="K286" i="5"/>
  <c r="J286" i="5"/>
  <c r="K207" i="5"/>
  <c r="J207" i="5"/>
  <c r="K585" i="5"/>
  <c r="J585" i="5"/>
  <c r="K584" i="5"/>
  <c r="J584" i="5"/>
  <c r="K114" i="5"/>
  <c r="J114" i="5"/>
  <c r="K609" i="5"/>
  <c r="J609" i="5"/>
  <c r="K38" i="5"/>
  <c r="J38" i="5"/>
  <c r="K743" i="5"/>
  <c r="J743" i="5"/>
  <c r="K525" i="5"/>
  <c r="J525" i="5"/>
  <c r="K175" i="5"/>
  <c r="J175" i="5"/>
  <c r="K695" i="5"/>
  <c r="J695" i="5"/>
  <c r="K7" i="5"/>
  <c r="J7" i="5"/>
  <c r="K20" i="5"/>
  <c r="J20" i="5"/>
  <c r="K61" i="5"/>
  <c r="J61" i="5"/>
  <c r="K91" i="5"/>
  <c r="J91" i="5"/>
  <c r="K202" i="5"/>
  <c r="J202" i="5"/>
  <c r="K15" i="5"/>
  <c r="J15" i="5"/>
  <c r="K305" i="5"/>
  <c r="J305" i="5"/>
  <c r="K396" i="5"/>
  <c r="J396" i="5"/>
  <c r="K692" i="5"/>
  <c r="J692" i="5"/>
  <c r="K296" i="5"/>
  <c r="J296" i="5"/>
  <c r="K304" i="5"/>
  <c r="J304" i="5"/>
  <c r="K593" i="5"/>
  <c r="J593" i="5"/>
  <c r="K926" i="5"/>
  <c r="J926" i="5"/>
  <c r="K76" i="5"/>
  <c r="J76" i="5"/>
  <c r="K164" i="5"/>
  <c r="J164" i="5"/>
  <c r="K9" i="5"/>
  <c r="J9" i="5"/>
  <c r="K13" i="5"/>
  <c r="J13" i="5"/>
  <c r="K12" i="5"/>
  <c r="J12" i="5"/>
  <c r="K82" i="5"/>
  <c r="J82" i="5"/>
  <c r="K228" i="5"/>
  <c r="J228" i="5"/>
  <c r="K300" i="5"/>
  <c r="J300" i="5"/>
  <c r="K558" i="5"/>
  <c r="J558" i="5"/>
  <c r="K462" i="5"/>
  <c r="J462" i="5"/>
  <c r="K524" i="5"/>
  <c r="J524" i="5"/>
  <c r="K592" i="5"/>
  <c r="J592" i="5"/>
  <c r="K217" i="5"/>
  <c r="J217" i="5"/>
  <c r="K869" i="5"/>
  <c r="J869" i="5"/>
  <c r="K6" i="5"/>
  <c r="J6" i="5"/>
  <c r="K67" i="5"/>
  <c r="J67" i="5"/>
  <c r="K839" i="5"/>
  <c r="J839" i="5"/>
  <c r="K205" i="5"/>
  <c r="J205" i="5"/>
  <c r="K643" i="5"/>
  <c r="J643" i="5"/>
  <c r="K538" i="5"/>
  <c r="J538" i="5"/>
  <c r="K350" i="5"/>
  <c r="J350" i="5"/>
  <c r="K709" i="5"/>
  <c r="J709" i="5"/>
  <c r="K100" i="5"/>
  <c r="J100" i="5"/>
  <c r="K99" i="5"/>
  <c r="J99" i="5"/>
  <c r="K334" i="5"/>
  <c r="J334" i="5"/>
  <c r="K145" i="5"/>
  <c r="J145" i="5"/>
  <c r="K720" i="5"/>
  <c r="J720" i="5"/>
  <c r="K911" i="5"/>
  <c r="J911" i="5"/>
  <c r="K910" i="5"/>
  <c r="J910" i="5"/>
  <c r="K433" i="5"/>
  <c r="J433" i="5"/>
  <c r="K781" i="5"/>
  <c r="J781" i="5"/>
  <c r="K883" i="5"/>
  <c r="J883" i="5"/>
  <c r="K349" i="5"/>
  <c r="J349" i="5"/>
  <c r="K320" i="5"/>
  <c r="J320" i="5"/>
  <c r="K348" i="5"/>
  <c r="J348" i="5"/>
  <c r="K347" i="5"/>
  <c r="J347" i="5"/>
  <c r="K484" i="5"/>
  <c r="J484" i="5"/>
  <c r="K537" i="5"/>
  <c r="J537" i="5"/>
  <c r="K578" i="5"/>
  <c r="J578" i="5"/>
  <c r="K608" i="5"/>
  <c r="J608" i="5"/>
  <c r="K437" i="5"/>
  <c r="J437" i="5"/>
  <c r="K909" i="5"/>
  <c r="J909" i="5"/>
  <c r="K800" i="5"/>
  <c r="J800" i="5"/>
  <c r="K735" i="5"/>
  <c r="J735" i="5"/>
  <c r="K734" i="5"/>
  <c r="J734" i="5"/>
  <c r="K777" i="5"/>
  <c r="J777" i="5"/>
  <c r="K483" i="5"/>
  <c r="J483" i="5"/>
  <c r="K523" i="5"/>
  <c r="J523" i="5"/>
  <c r="K129" i="5"/>
  <c r="J129" i="5"/>
  <c r="K167" i="5"/>
  <c r="J167" i="5"/>
  <c r="K693" i="5"/>
  <c r="J693" i="5"/>
  <c r="K522" i="5"/>
  <c r="J522" i="5"/>
  <c r="K521" i="5"/>
  <c r="J521" i="5"/>
  <c r="K1000" i="5"/>
  <c r="J1000" i="5"/>
  <c r="K728" i="5"/>
  <c r="J728" i="5"/>
  <c r="K303" i="5"/>
  <c r="J303" i="5"/>
  <c r="K946" i="5"/>
  <c r="J946" i="5"/>
  <c r="K945" i="5"/>
  <c r="J945" i="5"/>
  <c r="K944" i="5"/>
  <c r="J944" i="5"/>
  <c r="K971" i="5"/>
  <c r="J971" i="5"/>
  <c r="K417" i="5"/>
  <c r="J417" i="5"/>
  <c r="K416" i="5"/>
  <c r="J416" i="5"/>
  <c r="K607" i="5"/>
  <c r="J607" i="5"/>
  <c r="K868" i="5"/>
  <c r="J868" i="5"/>
  <c r="K226" i="5"/>
  <c r="J226" i="5"/>
  <c r="K213" i="5"/>
  <c r="J213" i="5"/>
  <c r="K880" i="5"/>
  <c r="J880" i="5"/>
  <c r="K298" i="5"/>
  <c r="J298" i="5"/>
  <c r="K520" i="5"/>
  <c r="J520" i="5"/>
  <c r="K519" i="5"/>
  <c r="J519" i="5"/>
  <c r="K565" i="5"/>
  <c r="J565" i="5"/>
  <c r="K564" i="5"/>
  <c r="J564" i="5"/>
  <c r="K394" i="5"/>
  <c r="J394" i="5"/>
  <c r="K262" i="5"/>
  <c r="J262" i="5"/>
  <c r="K174" i="5"/>
  <c r="J174" i="5"/>
  <c r="K58" i="5"/>
  <c r="J58" i="5"/>
  <c r="K280" i="5"/>
  <c r="J280" i="5"/>
  <c r="K279" i="5"/>
  <c r="J279" i="5"/>
  <c r="K415" i="5"/>
  <c r="J415" i="5"/>
  <c r="K469" i="5"/>
  <c r="J469" i="5"/>
  <c r="K63" i="5"/>
  <c r="J63" i="5"/>
  <c r="K141" i="5"/>
  <c r="J141" i="5"/>
  <c r="K847" i="5"/>
  <c r="J847" i="5"/>
  <c r="K846" i="5"/>
  <c r="J846" i="5"/>
  <c r="K845" i="5"/>
  <c r="J845" i="5"/>
  <c r="K844" i="5"/>
  <c r="J844" i="5"/>
  <c r="K124" i="5"/>
  <c r="J124" i="5"/>
  <c r="K389" i="5"/>
  <c r="J389" i="5"/>
  <c r="K278" i="5"/>
  <c r="J278" i="5"/>
  <c r="K414" i="5"/>
  <c r="J414" i="5"/>
  <c r="K18" i="5"/>
  <c r="J18" i="5"/>
  <c r="K173" i="5"/>
  <c r="J173" i="5"/>
  <c r="K57" i="5"/>
  <c r="J57" i="5"/>
  <c r="K277" i="5"/>
  <c r="J277" i="5"/>
  <c r="K276" i="5"/>
  <c r="J276" i="5"/>
  <c r="K413" i="5"/>
  <c r="J413" i="5"/>
  <c r="K468" i="5"/>
  <c r="J468" i="5"/>
  <c r="K62" i="5"/>
  <c r="J62" i="5"/>
  <c r="K140" i="5"/>
  <c r="J140" i="5"/>
  <c r="K843" i="5"/>
  <c r="J843" i="5"/>
  <c r="K842" i="5"/>
  <c r="J842" i="5"/>
  <c r="K841" i="5"/>
  <c r="J841" i="5"/>
  <c r="K840" i="5"/>
  <c r="J840" i="5"/>
  <c r="K123" i="5"/>
  <c r="J123" i="5"/>
  <c r="K388" i="5"/>
  <c r="J388" i="5"/>
  <c r="K275" i="5"/>
  <c r="J275" i="5"/>
  <c r="K412" i="5"/>
  <c r="J412" i="5"/>
  <c r="K563" i="5"/>
  <c r="J563" i="5"/>
  <c r="K562" i="5"/>
  <c r="J562" i="5"/>
  <c r="K393" i="5"/>
  <c r="J393" i="5"/>
  <c r="K8" i="5"/>
  <c r="J8" i="5"/>
  <c r="K928" i="5"/>
  <c r="J928" i="5"/>
  <c r="K975" i="5"/>
  <c r="J975" i="5"/>
  <c r="K974" i="5"/>
  <c r="J974" i="5"/>
  <c r="K212" i="5"/>
  <c r="J212" i="5"/>
  <c r="K294" i="5"/>
  <c r="J294" i="5"/>
  <c r="K587" i="5"/>
  <c r="J587" i="5"/>
  <c r="K865" i="5"/>
  <c r="J865" i="5"/>
  <c r="K515" i="5"/>
  <c r="J515" i="5"/>
  <c r="K514" i="5"/>
  <c r="J514" i="5"/>
  <c r="K513" i="5"/>
  <c r="J513" i="5"/>
  <c r="K293" i="5"/>
  <c r="J293" i="5"/>
  <c r="K295" i="5"/>
  <c r="J295" i="5"/>
  <c r="K733" i="5"/>
  <c r="J733" i="5"/>
  <c r="K860" i="5"/>
  <c r="J860" i="5"/>
  <c r="K930" i="5"/>
  <c r="J930" i="5"/>
  <c r="K867" i="5"/>
  <c r="J867" i="5"/>
  <c r="K211" i="5"/>
  <c r="J211" i="5"/>
  <c r="K209" i="5"/>
  <c r="J209" i="5"/>
  <c r="K208" i="5"/>
  <c r="J208" i="5"/>
  <c r="K90" i="5"/>
  <c r="J90" i="5"/>
  <c r="K134" i="5"/>
  <c r="J134" i="5"/>
  <c r="K133" i="5"/>
  <c r="J133" i="5"/>
  <c r="K132" i="5"/>
  <c r="J132" i="5"/>
  <c r="K172" i="5"/>
  <c r="J172" i="5"/>
  <c r="K45" i="5"/>
  <c r="J45" i="5"/>
  <c r="K44" i="5"/>
  <c r="J44" i="5"/>
  <c r="K89" i="5"/>
  <c r="J89" i="5"/>
  <c r="K88" i="5"/>
  <c r="J88" i="5"/>
  <c r="K26" i="5"/>
  <c r="J26" i="5"/>
  <c r="K131" i="5"/>
  <c r="J131" i="5"/>
  <c r="K171" i="5"/>
  <c r="J171" i="5"/>
  <c r="K615" i="5"/>
  <c r="J615" i="5"/>
  <c r="K216" i="5"/>
  <c r="J216" i="5"/>
  <c r="K467" i="5"/>
  <c r="J467" i="5"/>
  <c r="K466" i="5"/>
  <c r="J466" i="5"/>
  <c r="K570" i="5"/>
  <c r="J570" i="5"/>
  <c r="K561" i="5"/>
  <c r="J561" i="5"/>
  <c r="K560" i="5"/>
  <c r="J560" i="5"/>
  <c r="K170" i="5"/>
  <c r="J170" i="5"/>
  <c r="K56" i="5"/>
  <c r="J56" i="5"/>
  <c r="K274" i="5"/>
  <c r="J274" i="5"/>
  <c r="K273" i="5"/>
  <c r="J273" i="5"/>
  <c r="K387" i="5"/>
  <c r="J387" i="5"/>
  <c r="K272" i="5"/>
  <c r="J272" i="5"/>
  <c r="K411" i="5"/>
  <c r="J411" i="5"/>
  <c r="H8" i="4" l="1"/>
  <c r="H7" i="4"/>
  <c r="H6" i="4"/>
  <c r="G6" i="4"/>
  <c r="H5" i="4"/>
  <c r="H4" i="4"/>
  <c r="H3" i="4"/>
  <c r="I2" i="2"/>
  <c r="J2" i="2" s="1"/>
  <c r="G8" i="4" s="1"/>
  <c r="I3" i="2"/>
  <c r="J3" i="2" s="1"/>
  <c r="I4" i="2"/>
  <c r="J4" i="2" s="1"/>
  <c r="I5" i="2"/>
  <c r="J5" i="2" s="1"/>
  <c r="I6" i="2"/>
  <c r="J6" i="2" s="1"/>
  <c r="I7" i="2"/>
  <c r="J7" i="2" s="1"/>
  <c r="I8" i="2"/>
  <c r="J8" i="2" s="1"/>
  <c r="I9" i="2"/>
  <c r="J9" i="2" s="1"/>
  <c r="I10" i="2"/>
  <c r="J10" i="2" s="1"/>
  <c r="I11" i="2"/>
  <c r="J11" i="2" s="1"/>
  <c r="I12" i="2"/>
  <c r="J12" i="2" s="1"/>
  <c r="I13" i="2"/>
  <c r="J13" i="2" s="1"/>
  <c r="I14" i="2"/>
  <c r="J14" i="2" s="1"/>
  <c r="I15" i="2"/>
  <c r="J15" i="2" s="1"/>
  <c r="I16" i="2"/>
  <c r="J16" i="2" s="1"/>
  <c r="I17" i="2"/>
  <c r="J17" i="2" s="1"/>
  <c r="I18" i="2"/>
  <c r="J18" i="2" s="1"/>
  <c r="I19" i="2"/>
  <c r="J19" i="2" s="1"/>
  <c r="I20" i="2"/>
  <c r="J20" i="2" s="1"/>
  <c r="I21" i="2"/>
  <c r="J21" i="2" s="1"/>
  <c r="I22" i="2"/>
  <c r="J22" i="2" s="1"/>
  <c r="I23" i="2"/>
  <c r="J23" i="2" s="1"/>
  <c r="I24" i="2"/>
  <c r="J24" i="2" s="1"/>
  <c r="I25" i="2"/>
  <c r="J25" i="2" s="1"/>
  <c r="I26" i="2"/>
  <c r="J26" i="2" s="1"/>
  <c r="I27" i="2"/>
  <c r="J27" i="2" s="1"/>
  <c r="I28" i="2"/>
  <c r="J28" i="2" s="1"/>
  <c r="I29" i="2"/>
  <c r="J29" i="2" s="1"/>
  <c r="I30" i="2"/>
  <c r="J30" i="2" s="1"/>
  <c r="I31" i="2"/>
  <c r="J31" i="2" s="1"/>
  <c r="I32" i="2"/>
  <c r="J32" i="2" s="1"/>
  <c r="I33" i="2"/>
  <c r="J33" i="2" s="1"/>
  <c r="I34" i="2"/>
  <c r="J34" i="2" s="1"/>
  <c r="I35" i="2"/>
  <c r="J35" i="2" s="1"/>
  <c r="I36" i="2"/>
  <c r="J36" i="2" s="1"/>
  <c r="I37" i="2"/>
  <c r="J37" i="2" s="1"/>
  <c r="I38" i="2"/>
  <c r="J38" i="2" s="1"/>
  <c r="I39" i="2"/>
  <c r="J39" i="2" s="1"/>
  <c r="I40" i="2"/>
  <c r="J40" i="2" s="1"/>
  <c r="I41" i="2"/>
  <c r="J41" i="2" s="1"/>
  <c r="I42" i="2"/>
  <c r="J42" i="2" s="1"/>
  <c r="I43" i="2"/>
  <c r="J43" i="2" s="1"/>
  <c r="I44" i="2"/>
  <c r="J44" i="2" s="1"/>
  <c r="I45" i="2"/>
  <c r="J45" i="2" s="1"/>
  <c r="I46" i="2"/>
  <c r="J46" i="2" s="1"/>
  <c r="I47" i="2"/>
  <c r="J47" i="2" s="1"/>
  <c r="I48" i="2"/>
  <c r="J48" i="2" s="1"/>
  <c r="I49" i="2"/>
  <c r="J49" i="2" s="1"/>
  <c r="I50" i="2"/>
  <c r="J50" i="2" s="1"/>
  <c r="I51" i="2"/>
  <c r="J51" i="2" s="1"/>
  <c r="I52" i="2"/>
  <c r="J52" i="2" s="1"/>
  <c r="I53" i="2"/>
  <c r="J53" i="2" s="1"/>
  <c r="I54" i="2"/>
  <c r="J54" i="2" s="1"/>
  <c r="I55" i="2"/>
  <c r="J55" i="2" s="1"/>
  <c r="I56" i="2"/>
  <c r="J56" i="2" s="1"/>
  <c r="I57" i="2"/>
  <c r="J57" i="2" s="1"/>
  <c r="I58" i="2"/>
  <c r="J58" i="2" s="1"/>
  <c r="I59" i="2"/>
  <c r="J59" i="2" s="1"/>
  <c r="I60" i="2"/>
  <c r="J60" i="2" s="1"/>
  <c r="I61" i="2"/>
  <c r="J61" i="2" s="1"/>
  <c r="I62" i="2"/>
  <c r="J62" i="2" s="1"/>
  <c r="I63" i="2"/>
  <c r="J63" i="2" s="1"/>
  <c r="I64" i="2"/>
  <c r="J64" i="2" s="1"/>
  <c r="I65" i="2"/>
  <c r="J65" i="2" s="1"/>
  <c r="I66" i="2"/>
  <c r="J66" i="2" s="1"/>
  <c r="I67" i="2"/>
  <c r="J67" i="2" s="1"/>
  <c r="I68" i="2"/>
  <c r="J68" i="2" s="1"/>
  <c r="I69" i="2"/>
  <c r="J69" i="2" s="1"/>
  <c r="I70" i="2"/>
  <c r="J70" i="2" s="1"/>
  <c r="I71" i="2"/>
  <c r="J71" i="2" s="1"/>
  <c r="I72" i="2"/>
  <c r="J72" i="2" s="1"/>
  <c r="I73" i="2"/>
  <c r="J73" i="2" s="1"/>
  <c r="I74" i="2"/>
  <c r="J74" i="2" s="1"/>
  <c r="I75" i="2"/>
  <c r="J75" i="2" s="1"/>
  <c r="I76" i="2"/>
  <c r="J76" i="2" s="1"/>
  <c r="I77" i="2"/>
  <c r="J77" i="2" s="1"/>
  <c r="I78" i="2"/>
  <c r="J78" i="2" s="1"/>
  <c r="I79" i="2"/>
  <c r="J79" i="2" s="1"/>
  <c r="I80" i="2"/>
  <c r="J80" i="2" s="1"/>
  <c r="I81" i="2"/>
  <c r="J81" i="2" s="1"/>
  <c r="I82" i="2"/>
  <c r="J82" i="2" s="1"/>
  <c r="I83" i="2"/>
  <c r="J83" i="2" s="1"/>
  <c r="I84" i="2"/>
  <c r="J84" i="2" s="1"/>
  <c r="I85" i="2"/>
  <c r="J85" i="2" s="1"/>
  <c r="I86" i="2"/>
  <c r="J86" i="2" s="1"/>
  <c r="I87" i="2"/>
  <c r="J87" i="2" s="1"/>
  <c r="I88" i="2"/>
  <c r="J88" i="2" s="1"/>
  <c r="I89" i="2"/>
  <c r="J89" i="2" s="1"/>
  <c r="I90" i="2"/>
  <c r="J90" i="2" s="1"/>
  <c r="I91" i="2"/>
  <c r="J91" i="2" s="1"/>
  <c r="I92" i="2"/>
  <c r="J92" i="2" s="1"/>
  <c r="I93" i="2"/>
  <c r="J93" i="2" s="1"/>
  <c r="I94" i="2"/>
  <c r="J94" i="2" s="1"/>
  <c r="I95" i="2"/>
  <c r="J95" i="2" s="1"/>
  <c r="I96" i="2"/>
  <c r="J96" i="2" s="1"/>
  <c r="I97" i="2"/>
  <c r="J97" i="2" s="1"/>
  <c r="I98" i="2"/>
  <c r="J98" i="2" s="1"/>
  <c r="I99" i="2"/>
  <c r="J99" i="2" s="1"/>
  <c r="I100" i="2"/>
  <c r="J100" i="2" s="1"/>
  <c r="I101" i="2"/>
  <c r="J101" i="2" s="1"/>
  <c r="I102" i="2"/>
  <c r="J102" i="2" s="1"/>
  <c r="I103" i="2"/>
  <c r="J103" i="2" s="1"/>
  <c r="I104" i="2"/>
  <c r="J104" i="2" s="1"/>
  <c r="I105" i="2"/>
  <c r="J105" i="2" s="1"/>
  <c r="I106" i="2"/>
  <c r="J106" i="2" s="1"/>
  <c r="I107" i="2"/>
  <c r="J107" i="2" s="1"/>
  <c r="I108" i="2"/>
  <c r="J108" i="2" s="1"/>
  <c r="I109" i="2"/>
  <c r="J109" i="2" s="1"/>
  <c r="I110" i="2"/>
  <c r="J110" i="2" s="1"/>
  <c r="I111" i="2"/>
  <c r="J111" i="2" s="1"/>
  <c r="I112" i="2"/>
  <c r="J112" i="2" s="1"/>
  <c r="I113" i="2"/>
  <c r="J113" i="2" s="1"/>
  <c r="I114" i="2"/>
  <c r="J114" i="2" s="1"/>
  <c r="I115" i="2"/>
  <c r="J115" i="2" s="1"/>
  <c r="I116" i="2"/>
  <c r="J116" i="2" s="1"/>
  <c r="I117" i="2"/>
  <c r="J117" i="2" s="1"/>
  <c r="I118" i="2"/>
  <c r="J118" i="2" s="1"/>
  <c r="I119" i="2"/>
  <c r="J119" i="2" s="1"/>
  <c r="I120" i="2"/>
  <c r="J120" i="2" s="1"/>
  <c r="I121" i="2"/>
  <c r="J121" i="2" s="1"/>
  <c r="I122" i="2"/>
  <c r="J122" i="2" s="1"/>
  <c r="I123" i="2"/>
  <c r="J123" i="2" s="1"/>
  <c r="I124" i="2"/>
  <c r="J124" i="2" s="1"/>
  <c r="I125" i="2"/>
  <c r="J125" i="2" s="1"/>
  <c r="I126" i="2"/>
  <c r="J126" i="2" s="1"/>
  <c r="I127" i="2"/>
  <c r="J127" i="2" s="1"/>
  <c r="I128" i="2"/>
  <c r="J128" i="2" s="1"/>
  <c r="I129" i="2"/>
  <c r="J129" i="2" s="1"/>
  <c r="I130" i="2"/>
  <c r="J130" i="2" s="1"/>
  <c r="I131" i="2"/>
  <c r="J131" i="2" s="1"/>
  <c r="I132" i="2"/>
  <c r="J132" i="2" s="1"/>
  <c r="I133" i="2"/>
  <c r="J133" i="2" s="1"/>
  <c r="I134" i="2"/>
  <c r="J134" i="2" s="1"/>
  <c r="I135" i="2"/>
  <c r="J135" i="2" s="1"/>
  <c r="I136" i="2"/>
  <c r="J136" i="2" s="1"/>
  <c r="I137" i="2"/>
  <c r="J137" i="2" s="1"/>
  <c r="I138" i="2"/>
  <c r="J138" i="2" s="1"/>
  <c r="I139" i="2"/>
  <c r="J139" i="2" s="1"/>
  <c r="I140" i="2"/>
  <c r="J140" i="2" s="1"/>
  <c r="I141" i="2"/>
  <c r="J141" i="2" s="1"/>
  <c r="I142" i="2"/>
  <c r="J142" i="2" s="1"/>
  <c r="I143" i="2"/>
  <c r="J143" i="2" s="1"/>
  <c r="I144" i="2"/>
  <c r="J144" i="2" s="1"/>
  <c r="I145" i="2"/>
  <c r="J145" i="2" s="1"/>
  <c r="I146" i="2"/>
  <c r="J146" i="2" s="1"/>
  <c r="I147" i="2"/>
  <c r="J147" i="2" s="1"/>
  <c r="I148" i="2"/>
  <c r="J148" i="2" s="1"/>
  <c r="I149" i="2"/>
  <c r="J149" i="2" s="1"/>
  <c r="I150" i="2"/>
  <c r="J150" i="2" s="1"/>
  <c r="I151" i="2"/>
  <c r="J151" i="2" s="1"/>
  <c r="I152" i="2"/>
  <c r="J152" i="2" s="1"/>
  <c r="I153" i="2"/>
  <c r="J153" i="2" s="1"/>
  <c r="I154" i="2"/>
  <c r="J154" i="2" s="1"/>
  <c r="I155" i="2"/>
  <c r="J155" i="2" s="1"/>
  <c r="I156" i="2"/>
  <c r="J156" i="2" s="1"/>
  <c r="I157" i="2"/>
  <c r="J157" i="2" s="1"/>
  <c r="I158" i="2"/>
  <c r="J158" i="2" s="1"/>
  <c r="I159" i="2"/>
  <c r="J159" i="2" s="1"/>
  <c r="I160" i="2"/>
  <c r="J160" i="2" s="1"/>
  <c r="I161" i="2"/>
  <c r="J161" i="2" s="1"/>
  <c r="I162" i="2"/>
  <c r="J162" i="2" s="1"/>
  <c r="I163" i="2"/>
  <c r="J163" i="2" s="1"/>
  <c r="I164" i="2"/>
  <c r="J164" i="2" s="1"/>
  <c r="I165" i="2"/>
  <c r="J165" i="2" s="1"/>
  <c r="I166" i="2"/>
  <c r="J166" i="2" s="1"/>
  <c r="I167" i="2"/>
  <c r="J167" i="2" s="1"/>
  <c r="I168" i="2"/>
  <c r="J168" i="2" s="1"/>
  <c r="I169" i="2"/>
  <c r="J169" i="2" s="1"/>
  <c r="I170" i="2"/>
  <c r="J170" i="2" s="1"/>
  <c r="I171" i="2"/>
  <c r="J171" i="2" s="1"/>
  <c r="I172" i="2"/>
  <c r="J172" i="2" s="1"/>
  <c r="I173" i="2"/>
  <c r="J173" i="2" s="1"/>
  <c r="I174" i="2"/>
  <c r="J174" i="2" s="1"/>
  <c r="I175" i="2"/>
  <c r="J175" i="2" s="1"/>
  <c r="I176" i="2"/>
  <c r="J176" i="2" s="1"/>
  <c r="I177" i="2"/>
  <c r="J177" i="2" s="1"/>
  <c r="I178" i="2"/>
  <c r="J178" i="2" s="1"/>
  <c r="I179" i="2"/>
  <c r="J179" i="2" s="1"/>
  <c r="I180" i="2"/>
  <c r="J180" i="2" s="1"/>
  <c r="I181" i="2"/>
  <c r="J181" i="2" s="1"/>
  <c r="I182" i="2"/>
  <c r="J182" i="2" s="1"/>
  <c r="I183" i="2"/>
  <c r="J183" i="2" s="1"/>
  <c r="I184" i="2"/>
  <c r="J184" i="2" s="1"/>
  <c r="I185" i="2"/>
  <c r="J185" i="2" s="1"/>
  <c r="I186" i="2"/>
  <c r="J186" i="2" s="1"/>
  <c r="I187" i="2"/>
  <c r="J187" i="2" s="1"/>
  <c r="I188" i="2"/>
  <c r="J188" i="2" s="1"/>
  <c r="I189" i="2"/>
  <c r="J189" i="2" s="1"/>
  <c r="I190" i="2"/>
  <c r="J190" i="2" s="1"/>
  <c r="I191" i="2"/>
  <c r="J191" i="2" s="1"/>
  <c r="I192" i="2"/>
  <c r="J192" i="2" s="1"/>
  <c r="I193" i="2"/>
  <c r="J193" i="2" s="1"/>
  <c r="I194" i="2"/>
  <c r="J194" i="2" s="1"/>
  <c r="I195" i="2"/>
  <c r="J195" i="2" s="1"/>
  <c r="I196" i="2"/>
  <c r="J196" i="2" s="1"/>
  <c r="I197" i="2"/>
  <c r="J197" i="2" s="1"/>
  <c r="I198" i="2"/>
  <c r="J198" i="2" s="1"/>
  <c r="I199" i="2"/>
  <c r="J199" i="2" s="1"/>
  <c r="I200" i="2"/>
  <c r="J200" i="2" s="1"/>
  <c r="I201" i="2"/>
  <c r="J201" i="2" s="1"/>
  <c r="I202" i="2"/>
  <c r="J202" i="2" s="1"/>
  <c r="I203" i="2"/>
  <c r="J203" i="2" s="1"/>
  <c r="I204" i="2"/>
  <c r="J204" i="2" s="1"/>
  <c r="I205" i="2"/>
  <c r="J205" i="2" s="1"/>
  <c r="I206" i="2"/>
  <c r="J206" i="2" s="1"/>
  <c r="I207" i="2"/>
  <c r="J207" i="2" s="1"/>
  <c r="I208" i="2"/>
  <c r="J208" i="2" s="1"/>
  <c r="I209" i="2"/>
  <c r="J209" i="2" s="1"/>
  <c r="I210" i="2"/>
  <c r="J210" i="2" s="1"/>
  <c r="I211" i="2"/>
  <c r="J211" i="2" s="1"/>
  <c r="I212" i="2"/>
  <c r="J212" i="2" s="1"/>
  <c r="I213" i="2"/>
  <c r="J213" i="2" s="1"/>
  <c r="I214" i="2"/>
  <c r="J214" i="2" s="1"/>
  <c r="I215" i="2"/>
  <c r="J215" i="2" s="1"/>
  <c r="I216" i="2"/>
  <c r="J216" i="2" s="1"/>
  <c r="I217" i="2"/>
  <c r="J217" i="2" s="1"/>
  <c r="I218" i="2"/>
  <c r="J218" i="2" s="1"/>
  <c r="I219" i="2"/>
  <c r="J219" i="2" s="1"/>
  <c r="I220" i="2"/>
  <c r="J220" i="2" s="1"/>
  <c r="I221" i="2"/>
  <c r="J221" i="2" s="1"/>
  <c r="I222" i="2"/>
  <c r="J222" i="2" s="1"/>
  <c r="I223" i="2"/>
  <c r="J223" i="2" s="1"/>
  <c r="I224" i="2"/>
  <c r="J224" i="2" s="1"/>
  <c r="I225" i="2"/>
  <c r="J225" i="2" s="1"/>
  <c r="I226" i="2"/>
  <c r="J226" i="2" s="1"/>
  <c r="I227" i="2"/>
  <c r="J227" i="2" s="1"/>
  <c r="I228" i="2"/>
  <c r="J228" i="2" s="1"/>
  <c r="I229" i="2"/>
  <c r="J229" i="2" s="1"/>
  <c r="I230" i="2"/>
  <c r="J230" i="2" s="1"/>
  <c r="I231" i="2"/>
  <c r="J231" i="2" s="1"/>
  <c r="I232" i="2"/>
  <c r="J232" i="2" s="1"/>
  <c r="I233" i="2"/>
  <c r="J233" i="2" s="1"/>
  <c r="I234" i="2"/>
  <c r="J234" i="2" s="1"/>
  <c r="I235" i="2"/>
  <c r="J235" i="2" s="1"/>
  <c r="I236" i="2"/>
  <c r="J236" i="2" s="1"/>
  <c r="I237" i="2"/>
  <c r="J237" i="2" s="1"/>
  <c r="I238" i="2"/>
  <c r="J238" i="2" s="1"/>
  <c r="I239" i="2"/>
  <c r="J239" i="2" s="1"/>
  <c r="I240" i="2"/>
  <c r="J240" i="2" s="1"/>
  <c r="I241" i="2"/>
  <c r="J241" i="2" s="1"/>
  <c r="I242" i="2"/>
  <c r="J242" i="2" s="1"/>
  <c r="I243" i="2"/>
  <c r="J243" i="2" s="1"/>
  <c r="I244" i="2"/>
  <c r="J244" i="2" s="1"/>
  <c r="I245" i="2"/>
  <c r="J245" i="2" s="1"/>
  <c r="I246" i="2"/>
  <c r="J246" i="2" s="1"/>
  <c r="I247" i="2"/>
  <c r="J247" i="2" s="1"/>
  <c r="I248" i="2"/>
  <c r="J248" i="2" s="1"/>
  <c r="I249" i="2"/>
  <c r="J249" i="2" s="1"/>
  <c r="I250" i="2"/>
  <c r="J250" i="2" s="1"/>
  <c r="I251" i="2"/>
  <c r="J251" i="2" s="1"/>
  <c r="I252" i="2"/>
  <c r="J252" i="2" s="1"/>
  <c r="I253" i="2"/>
  <c r="J253" i="2" s="1"/>
  <c r="I254" i="2"/>
  <c r="J254" i="2" s="1"/>
  <c r="I255" i="2"/>
  <c r="J255" i="2" s="1"/>
  <c r="I256" i="2"/>
  <c r="J256" i="2" s="1"/>
  <c r="I257" i="2"/>
  <c r="J257" i="2" s="1"/>
  <c r="I258" i="2"/>
  <c r="J258" i="2" s="1"/>
  <c r="I259" i="2"/>
  <c r="J259" i="2" s="1"/>
  <c r="I260" i="2"/>
  <c r="J260" i="2" s="1"/>
  <c r="I261" i="2"/>
  <c r="J261" i="2" s="1"/>
  <c r="I262" i="2"/>
  <c r="J262" i="2" s="1"/>
  <c r="I263" i="2"/>
  <c r="J263" i="2" s="1"/>
  <c r="I264" i="2"/>
  <c r="J264" i="2" s="1"/>
  <c r="I265" i="2"/>
  <c r="J265" i="2" s="1"/>
  <c r="I266" i="2"/>
  <c r="J266" i="2" s="1"/>
  <c r="I267" i="2"/>
  <c r="J267" i="2" s="1"/>
  <c r="I268" i="2"/>
  <c r="J268" i="2" s="1"/>
  <c r="I269" i="2"/>
  <c r="J269" i="2" s="1"/>
  <c r="I270" i="2"/>
  <c r="J270" i="2" s="1"/>
  <c r="I271" i="2"/>
  <c r="J271" i="2" s="1"/>
  <c r="I272" i="2"/>
  <c r="J272" i="2" s="1"/>
  <c r="I273" i="2"/>
  <c r="J273" i="2" s="1"/>
  <c r="I274" i="2"/>
  <c r="J274" i="2" s="1"/>
  <c r="I275" i="2"/>
  <c r="J275" i="2" s="1"/>
  <c r="I276" i="2"/>
  <c r="J276" i="2" s="1"/>
  <c r="I277" i="2"/>
  <c r="J277" i="2" s="1"/>
  <c r="I278" i="2"/>
  <c r="J278" i="2" s="1"/>
  <c r="I279" i="2"/>
  <c r="J279" i="2" s="1"/>
  <c r="I280" i="2"/>
  <c r="J280" i="2" s="1"/>
  <c r="I281" i="2"/>
  <c r="J281" i="2" s="1"/>
  <c r="I282" i="2"/>
  <c r="J282" i="2" s="1"/>
  <c r="I283" i="2"/>
  <c r="J283" i="2" s="1"/>
  <c r="I284" i="2"/>
  <c r="J284" i="2" s="1"/>
  <c r="I285" i="2"/>
  <c r="J285" i="2" s="1"/>
  <c r="I286" i="2"/>
  <c r="J286" i="2" s="1"/>
  <c r="I287" i="2"/>
  <c r="J287" i="2" s="1"/>
  <c r="I288" i="2"/>
  <c r="J288" i="2" s="1"/>
  <c r="I289" i="2"/>
  <c r="J289" i="2" s="1"/>
  <c r="I290" i="2"/>
  <c r="J290" i="2" s="1"/>
  <c r="I291" i="2"/>
  <c r="J291" i="2" s="1"/>
  <c r="I292" i="2"/>
  <c r="J292" i="2" s="1"/>
  <c r="I293" i="2"/>
  <c r="J293" i="2" s="1"/>
  <c r="I294" i="2"/>
  <c r="J294" i="2" s="1"/>
  <c r="I295" i="2"/>
  <c r="J295" i="2" s="1"/>
  <c r="I296" i="2"/>
  <c r="J296" i="2" s="1"/>
  <c r="I297" i="2"/>
  <c r="J297" i="2" s="1"/>
  <c r="I298" i="2"/>
  <c r="J298" i="2" s="1"/>
  <c r="I299" i="2"/>
  <c r="J299" i="2" s="1"/>
  <c r="I300" i="2"/>
  <c r="J300" i="2" s="1"/>
  <c r="I301" i="2"/>
  <c r="J301" i="2" s="1"/>
  <c r="I302" i="2"/>
  <c r="J302" i="2" s="1"/>
  <c r="I303" i="2"/>
  <c r="J303" i="2" s="1"/>
  <c r="I304" i="2"/>
  <c r="J304" i="2" s="1"/>
  <c r="I305" i="2"/>
  <c r="J305" i="2" s="1"/>
  <c r="I306" i="2"/>
  <c r="J306" i="2" s="1"/>
  <c r="I307" i="2"/>
  <c r="J307" i="2" s="1"/>
  <c r="I308" i="2"/>
  <c r="J308" i="2" s="1"/>
  <c r="I309" i="2"/>
  <c r="J309" i="2" s="1"/>
  <c r="I310" i="2"/>
  <c r="J310" i="2" s="1"/>
  <c r="I311" i="2"/>
  <c r="J311" i="2" s="1"/>
  <c r="I312" i="2"/>
  <c r="J312" i="2" s="1"/>
  <c r="I313" i="2"/>
  <c r="J313" i="2" s="1"/>
  <c r="I314" i="2"/>
  <c r="J314" i="2" s="1"/>
  <c r="I315" i="2"/>
  <c r="J315" i="2" s="1"/>
  <c r="I316" i="2"/>
  <c r="J316" i="2" s="1"/>
  <c r="I317" i="2"/>
  <c r="J317" i="2" s="1"/>
  <c r="I318" i="2"/>
  <c r="J318" i="2" s="1"/>
  <c r="I319" i="2"/>
  <c r="J319" i="2" s="1"/>
  <c r="I320" i="2"/>
  <c r="J320" i="2" s="1"/>
  <c r="I321" i="2"/>
  <c r="J321" i="2" s="1"/>
  <c r="I322" i="2"/>
  <c r="J322" i="2" s="1"/>
  <c r="I323" i="2"/>
  <c r="J323" i="2" s="1"/>
  <c r="I324" i="2"/>
  <c r="J324" i="2" s="1"/>
  <c r="I325" i="2"/>
  <c r="J325" i="2" s="1"/>
  <c r="I326" i="2"/>
  <c r="J326" i="2" s="1"/>
  <c r="I327" i="2"/>
  <c r="J327" i="2" s="1"/>
  <c r="I328" i="2"/>
  <c r="J328" i="2" s="1"/>
  <c r="I329" i="2"/>
  <c r="J329" i="2" s="1"/>
  <c r="I330" i="2"/>
  <c r="J330" i="2" s="1"/>
  <c r="I331" i="2"/>
  <c r="J331" i="2" s="1"/>
  <c r="I332" i="2"/>
  <c r="J332" i="2" s="1"/>
  <c r="I333" i="2"/>
  <c r="J333" i="2" s="1"/>
  <c r="I334" i="2"/>
  <c r="J334" i="2" s="1"/>
  <c r="I335" i="2"/>
  <c r="J335" i="2" s="1"/>
  <c r="I336" i="2"/>
  <c r="J336" i="2" s="1"/>
  <c r="I337" i="2"/>
  <c r="J337" i="2" s="1"/>
  <c r="I338" i="2"/>
  <c r="J338" i="2" s="1"/>
  <c r="I339" i="2"/>
  <c r="J339" i="2" s="1"/>
  <c r="I340" i="2"/>
  <c r="J340" i="2" s="1"/>
  <c r="I341" i="2"/>
  <c r="J341" i="2" s="1"/>
  <c r="I342" i="2"/>
  <c r="J342" i="2" s="1"/>
  <c r="I343" i="2"/>
  <c r="J343" i="2" s="1"/>
  <c r="I344" i="2"/>
  <c r="J344" i="2" s="1"/>
  <c r="I345" i="2"/>
  <c r="J345" i="2" s="1"/>
  <c r="I346" i="2"/>
  <c r="J346" i="2" s="1"/>
  <c r="I347" i="2"/>
  <c r="J347" i="2" s="1"/>
  <c r="I348" i="2"/>
  <c r="J348" i="2" s="1"/>
  <c r="I349" i="2"/>
  <c r="J349" i="2" s="1"/>
  <c r="I350" i="2"/>
  <c r="J350" i="2" s="1"/>
  <c r="I351" i="2"/>
  <c r="J351" i="2" s="1"/>
  <c r="I352" i="2"/>
  <c r="J352" i="2" s="1"/>
  <c r="I353" i="2"/>
  <c r="J353" i="2" s="1"/>
  <c r="I354" i="2"/>
  <c r="J354" i="2" s="1"/>
  <c r="I355" i="2"/>
  <c r="J355" i="2" s="1"/>
  <c r="I356" i="2"/>
  <c r="J356" i="2" s="1"/>
  <c r="I357" i="2"/>
  <c r="J357" i="2" s="1"/>
  <c r="I358" i="2"/>
  <c r="J358" i="2" s="1"/>
  <c r="I359" i="2"/>
  <c r="J359" i="2" s="1"/>
  <c r="I360" i="2"/>
  <c r="J360" i="2" s="1"/>
  <c r="I361" i="2"/>
  <c r="J361" i="2" s="1"/>
  <c r="I362" i="2"/>
  <c r="J362" i="2" s="1"/>
  <c r="I363" i="2"/>
  <c r="J363" i="2" s="1"/>
  <c r="I364" i="2"/>
  <c r="J364" i="2" s="1"/>
  <c r="I365" i="2"/>
  <c r="J365" i="2" s="1"/>
  <c r="I366" i="2"/>
  <c r="J366" i="2" s="1"/>
  <c r="I367" i="2"/>
  <c r="J367" i="2" s="1"/>
  <c r="I368" i="2"/>
  <c r="J368" i="2" s="1"/>
  <c r="I369" i="2"/>
  <c r="J369" i="2" s="1"/>
  <c r="I370" i="2"/>
  <c r="J370" i="2" s="1"/>
  <c r="I371" i="2"/>
  <c r="J371" i="2" s="1"/>
  <c r="I372" i="2"/>
  <c r="J372" i="2" s="1"/>
  <c r="I373" i="2"/>
  <c r="J373" i="2" s="1"/>
  <c r="I374" i="2"/>
  <c r="J374" i="2" s="1"/>
  <c r="I375" i="2"/>
  <c r="J375" i="2" s="1"/>
  <c r="I376" i="2"/>
  <c r="J376" i="2" s="1"/>
  <c r="I377" i="2"/>
  <c r="J377" i="2" s="1"/>
  <c r="I378" i="2"/>
  <c r="J378" i="2" s="1"/>
  <c r="I379" i="2"/>
  <c r="J379" i="2" s="1"/>
  <c r="I380" i="2"/>
  <c r="J380" i="2" s="1"/>
  <c r="I381" i="2"/>
  <c r="J381" i="2" s="1"/>
  <c r="I382" i="2"/>
  <c r="J382" i="2" s="1"/>
  <c r="I383" i="2"/>
  <c r="J383" i="2" s="1"/>
  <c r="I384" i="2"/>
  <c r="J384" i="2" s="1"/>
  <c r="I385" i="2"/>
  <c r="J385" i="2" s="1"/>
  <c r="I386" i="2"/>
  <c r="J386" i="2" s="1"/>
  <c r="I387" i="2"/>
  <c r="J387" i="2" s="1"/>
  <c r="I388" i="2"/>
  <c r="J388" i="2" s="1"/>
  <c r="I389" i="2"/>
  <c r="J389" i="2" s="1"/>
  <c r="I390" i="2"/>
  <c r="J390" i="2" s="1"/>
  <c r="I391" i="2"/>
  <c r="J391" i="2" s="1"/>
  <c r="I392" i="2"/>
  <c r="J392" i="2" s="1"/>
  <c r="I393" i="2"/>
  <c r="J393" i="2" s="1"/>
  <c r="I394" i="2"/>
  <c r="J394" i="2" s="1"/>
  <c r="I395" i="2"/>
  <c r="J395" i="2" s="1"/>
  <c r="I396" i="2"/>
  <c r="J396" i="2" s="1"/>
  <c r="I397" i="2"/>
  <c r="J397" i="2" s="1"/>
  <c r="I398" i="2"/>
  <c r="J398" i="2" s="1"/>
  <c r="I399" i="2"/>
  <c r="J399" i="2" s="1"/>
  <c r="I400" i="2"/>
  <c r="J400" i="2" s="1"/>
  <c r="I401" i="2"/>
  <c r="J401" i="2" s="1"/>
  <c r="I402" i="2"/>
  <c r="J402" i="2" s="1"/>
  <c r="I403" i="2"/>
  <c r="J403" i="2" s="1"/>
  <c r="I404" i="2"/>
  <c r="J404" i="2" s="1"/>
  <c r="I405" i="2"/>
  <c r="J405" i="2" s="1"/>
  <c r="I406" i="2"/>
  <c r="J406" i="2" s="1"/>
  <c r="I407" i="2"/>
  <c r="J407" i="2" s="1"/>
  <c r="I408" i="2"/>
  <c r="J408" i="2" s="1"/>
  <c r="I409" i="2"/>
  <c r="J409" i="2" s="1"/>
  <c r="I410" i="2"/>
  <c r="J410" i="2" s="1"/>
  <c r="I411" i="2"/>
  <c r="J411" i="2" s="1"/>
  <c r="I412" i="2"/>
  <c r="J412" i="2" s="1"/>
  <c r="I413" i="2"/>
  <c r="J413" i="2" s="1"/>
  <c r="I414" i="2"/>
  <c r="J414" i="2" s="1"/>
  <c r="I415" i="2"/>
  <c r="J415" i="2" s="1"/>
  <c r="I416" i="2"/>
  <c r="J416" i="2" s="1"/>
  <c r="I417" i="2"/>
  <c r="J417" i="2" s="1"/>
  <c r="I418" i="2"/>
  <c r="J418" i="2" s="1"/>
  <c r="I419" i="2"/>
  <c r="J419" i="2" s="1"/>
  <c r="I420" i="2"/>
  <c r="J420" i="2" s="1"/>
  <c r="I421" i="2"/>
  <c r="J421" i="2" s="1"/>
  <c r="I422" i="2"/>
  <c r="J422" i="2" s="1"/>
  <c r="I423" i="2"/>
  <c r="J423" i="2" s="1"/>
  <c r="I424" i="2"/>
  <c r="J424" i="2" s="1"/>
  <c r="I425" i="2"/>
  <c r="J425" i="2" s="1"/>
  <c r="I426" i="2"/>
  <c r="J426" i="2" s="1"/>
  <c r="I427" i="2"/>
  <c r="J427" i="2" s="1"/>
  <c r="I428" i="2"/>
  <c r="J428" i="2" s="1"/>
  <c r="I429" i="2"/>
  <c r="J429" i="2" s="1"/>
  <c r="I430" i="2"/>
  <c r="J430" i="2" s="1"/>
  <c r="I431" i="2"/>
  <c r="J431" i="2" s="1"/>
  <c r="I432" i="2"/>
  <c r="J432" i="2" s="1"/>
  <c r="I433" i="2"/>
  <c r="J433" i="2" s="1"/>
  <c r="I434" i="2"/>
  <c r="J434" i="2" s="1"/>
  <c r="I435" i="2"/>
  <c r="J435" i="2" s="1"/>
  <c r="I436" i="2"/>
  <c r="J436" i="2" s="1"/>
  <c r="I437" i="2"/>
  <c r="J437" i="2" s="1"/>
  <c r="I438" i="2"/>
  <c r="J438" i="2" s="1"/>
  <c r="I439" i="2"/>
  <c r="J439" i="2" s="1"/>
  <c r="I440" i="2"/>
  <c r="J440" i="2" s="1"/>
  <c r="I441" i="2"/>
  <c r="J441" i="2" s="1"/>
  <c r="I442" i="2"/>
  <c r="J442" i="2" s="1"/>
  <c r="I443" i="2"/>
  <c r="J443" i="2" s="1"/>
  <c r="I444" i="2"/>
  <c r="J444" i="2" s="1"/>
  <c r="I445" i="2"/>
  <c r="J445" i="2" s="1"/>
  <c r="I446" i="2"/>
  <c r="J446" i="2" s="1"/>
  <c r="I447" i="2"/>
  <c r="J447" i="2" s="1"/>
  <c r="I448" i="2"/>
  <c r="J448" i="2" s="1"/>
  <c r="I449" i="2"/>
  <c r="J449" i="2" s="1"/>
  <c r="I450" i="2"/>
  <c r="J450" i="2" s="1"/>
  <c r="I451" i="2"/>
  <c r="J451" i="2" s="1"/>
  <c r="I452" i="2"/>
  <c r="J452" i="2" s="1"/>
  <c r="I453" i="2"/>
  <c r="J453" i="2" s="1"/>
  <c r="I454" i="2"/>
  <c r="J454" i="2" s="1"/>
  <c r="I455" i="2"/>
  <c r="J455" i="2" s="1"/>
  <c r="I456" i="2"/>
  <c r="J456" i="2" s="1"/>
  <c r="I457" i="2"/>
  <c r="J457" i="2" s="1"/>
  <c r="I458" i="2"/>
  <c r="J458" i="2" s="1"/>
  <c r="I459" i="2"/>
  <c r="J459" i="2" s="1"/>
  <c r="I460" i="2"/>
  <c r="J460" i="2" s="1"/>
  <c r="I461" i="2"/>
  <c r="J461" i="2" s="1"/>
  <c r="I462" i="2"/>
  <c r="J462" i="2" s="1"/>
  <c r="I463" i="2"/>
  <c r="J463" i="2" s="1"/>
  <c r="I464" i="2"/>
  <c r="J464" i="2" s="1"/>
  <c r="I465" i="2"/>
  <c r="J465" i="2" s="1"/>
  <c r="I466" i="2"/>
  <c r="J466" i="2" s="1"/>
  <c r="I467" i="2"/>
  <c r="J467" i="2" s="1"/>
  <c r="I468" i="2"/>
  <c r="J468" i="2" s="1"/>
  <c r="I469" i="2"/>
  <c r="J469" i="2" s="1"/>
  <c r="I470" i="2"/>
  <c r="J470" i="2" s="1"/>
  <c r="I471" i="2"/>
  <c r="J471" i="2" s="1"/>
  <c r="I472" i="2"/>
  <c r="J472" i="2" s="1"/>
  <c r="I473" i="2"/>
  <c r="J473" i="2" s="1"/>
  <c r="I474" i="2"/>
  <c r="J474" i="2" s="1"/>
  <c r="I475" i="2"/>
  <c r="J475" i="2" s="1"/>
  <c r="I476" i="2"/>
  <c r="J476" i="2" s="1"/>
  <c r="I477" i="2"/>
  <c r="J477" i="2" s="1"/>
  <c r="I478" i="2"/>
  <c r="J478" i="2" s="1"/>
  <c r="I479" i="2"/>
  <c r="J479" i="2" s="1"/>
  <c r="I480" i="2"/>
  <c r="J480" i="2" s="1"/>
  <c r="I481" i="2"/>
  <c r="J481" i="2" s="1"/>
  <c r="I482" i="2"/>
  <c r="J482" i="2" s="1"/>
  <c r="I483" i="2"/>
  <c r="J483" i="2" s="1"/>
  <c r="I484" i="2"/>
  <c r="J484" i="2" s="1"/>
  <c r="I485" i="2"/>
  <c r="J485" i="2" s="1"/>
  <c r="I486" i="2"/>
  <c r="J486" i="2" s="1"/>
  <c r="I487" i="2"/>
  <c r="J487" i="2" s="1"/>
  <c r="I488" i="2"/>
  <c r="J488" i="2" s="1"/>
  <c r="I489" i="2"/>
  <c r="J489" i="2" s="1"/>
  <c r="I490" i="2"/>
  <c r="J490" i="2" s="1"/>
  <c r="I491" i="2"/>
  <c r="J491" i="2" s="1"/>
  <c r="I492" i="2"/>
  <c r="J492" i="2" s="1"/>
  <c r="I493" i="2"/>
  <c r="J493" i="2" s="1"/>
  <c r="I494" i="2"/>
  <c r="J494" i="2" s="1"/>
  <c r="I495" i="2"/>
  <c r="J495" i="2" s="1"/>
  <c r="I496" i="2"/>
  <c r="J496" i="2" s="1"/>
  <c r="I497" i="2"/>
  <c r="J497" i="2" s="1"/>
  <c r="I498" i="2"/>
  <c r="J498" i="2" s="1"/>
  <c r="I499" i="2"/>
  <c r="J499" i="2" s="1"/>
  <c r="I500" i="2"/>
  <c r="J500" i="2" s="1"/>
  <c r="I501" i="2"/>
  <c r="J501" i="2" s="1"/>
  <c r="I502" i="2"/>
  <c r="J502" i="2" s="1"/>
  <c r="I503" i="2"/>
  <c r="J503" i="2" s="1"/>
  <c r="I504" i="2"/>
  <c r="J504" i="2" s="1"/>
  <c r="I505" i="2"/>
  <c r="J505" i="2" s="1"/>
  <c r="I506" i="2"/>
  <c r="J506" i="2" s="1"/>
  <c r="I507" i="2"/>
  <c r="J507" i="2" s="1"/>
  <c r="I508" i="2"/>
  <c r="J508" i="2" s="1"/>
  <c r="I509" i="2"/>
  <c r="J509" i="2" s="1"/>
  <c r="I510" i="2"/>
  <c r="J510" i="2" s="1"/>
  <c r="I511" i="2"/>
  <c r="J511" i="2" s="1"/>
  <c r="I512" i="2"/>
  <c r="J512" i="2" s="1"/>
  <c r="I513" i="2"/>
  <c r="J513" i="2" s="1"/>
  <c r="I514" i="2"/>
  <c r="J514" i="2" s="1"/>
  <c r="I515" i="2"/>
  <c r="J515" i="2" s="1"/>
  <c r="I516" i="2"/>
  <c r="J516" i="2" s="1"/>
  <c r="I517" i="2"/>
  <c r="J517" i="2" s="1"/>
  <c r="I518" i="2"/>
  <c r="J518" i="2" s="1"/>
  <c r="I519" i="2"/>
  <c r="J519" i="2" s="1"/>
  <c r="I520" i="2"/>
  <c r="J520" i="2" s="1"/>
  <c r="I521" i="2"/>
  <c r="J521" i="2" s="1"/>
  <c r="I522" i="2"/>
  <c r="J522" i="2" s="1"/>
  <c r="I523" i="2"/>
  <c r="J523" i="2" s="1"/>
  <c r="I524" i="2"/>
  <c r="J524" i="2" s="1"/>
  <c r="I525" i="2"/>
  <c r="J525" i="2" s="1"/>
  <c r="I526" i="2"/>
  <c r="J526" i="2" s="1"/>
  <c r="I527" i="2"/>
  <c r="J527" i="2" s="1"/>
  <c r="I528" i="2"/>
  <c r="J528" i="2" s="1"/>
  <c r="I529" i="2"/>
  <c r="J529" i="2" s="1"/>
  <c r="I530" i="2"/>
  <c r="J530" i="2" s="1"/>
  <c r="I531" i="2"/>
  <c r="J531" i="2" s="1"/>
  <c r="I532" i="2"/>
  <c r="J532" i="2" s="1"/>
  <c r="I533" i="2"/>
  <c r="J533" i="2" s="1"/>
  <c r="I534" i="2"/>
  <c r="J534" i="2" s="1"/>
  <c r="I535" i="2"/>
  <c r="J535" i="2" s="1"/>
  <c r="I536" i="2"/>
  <c r="J536" i="2" s="1"/>
  <c r="I537" i="2"/>
  <c r="J537" i="2" s="1"/>
  <c r="I538" i="2"/>
  <c r="J538" i="2" s="1"/>
  <c r="I539" i="2"/>
  <c r="J539" i="2" s="1"/>
  <c r="I540" i="2"/>
  <c r="J540" i="2" s="1"/>
  <c r="I541" i="2"/>
  <c r="J541" i="2" s="1"/>
  <c r="I542" i="2"/>
  <c r="J542" i="2" s="1"/>
  <c r="I543" i="2"/>
  <c r="J543" i="2" s="1"/>
  <c r="I544" i="2"/>
  <c r="J544" i="2" s="1"/>
  <c r="I545" i="2"/>
  <c r="J545" i="2" s="1"/>
  <c r="I546" i="2"/>
  <c r="J546" i="2" s="1"/>
  <c r="I547" i="2"/>
  <c r="J547" i="2" s="1"/>
  <c r="I548" i="2"/>
  <c r="J548" i="2" s="1"/>
  <c r="I549" i="2"/>
  <c r="J549" i="2" s="1"/>
  <c r="I550" i="2"/>
  <c r="J550" i="2" s="1"/>
  <c r="I551" i="2"/>
  <c r="J551" i="2" s="1"/>
  <c r="I552" i="2"/>
  <c r="J552" i="2" s="1"/>
  <c r="I553" i="2"/>
  <c r="J553" i="2" s="1"/>
  <c r="I554" i="2"/>
  <c r="J554" i="2" s="1"/>
  <c r="I555" i="2"/>
  <c r="J555" i="2" s="1"/>
  <c r="I556" i="2"/>
  <c r="J556" i="2" s="1"/>
  <c r="I557" i="2"/>
  <c r="J557" i="2" s="1"/>
  <c r="I558" i="2"/>
  <c r="J558" i="2" s="1"/>
  <c r="I559" i="2"/>
  <c r="J559" i="2" s="1"/>
  <c r="I560" i="2"/>
  <c r="J560" i="2" s="1"/>
  <c r="I561" i="2"/>
  <c r="J561" i="2" s="1"/>
  <c r="I562" i="2"/>
  <c r="J562" i="2" s="1"/>
  <c r="I563" i="2"/>
  <c r="J563" i="2" s="1"/>
  <c r="I564" i="2"/>
  <c r="J564" i="2" s="1"/>
  <c r="I565" i="2"/>
  <c r="J565" i="2" s="1"/>
  <c r="I566" i="2"/>
  <c r="J566" i="2" s="1"/>
  <c r="I567" i="2"/>
  <c r="J567" i="2" s="1"/>
  <c r="I568" i="2"/>
  <c r="J568" i="2" s="1"/>
  <c r="I569" i="2"/>
  <c r="J569" i="2" s="1"/>
  <c r="I570" i="2"/>
  <c r="J570" i="2" s="1"/>
  <c r="I571" i="2"/>
  <c r="J571" i="2" s="1"/>
  <c r="I572" i="2"/>
  <c r="J572" i="2" s="1"/>
  <c r="I573" i="2"/>
  <c r="J573" i="2" s="1"/>
  <c r="I574" i="2"/>
  <c r="J574" i="2" s="1"/>
  <c r="I575" i="2"/>
  <c r="J575" i="2" s="1"/>
  <c r="I576" i="2"/>
  <c r="J576" i="2" s="1"/>
  <c r="I577" i="2"/>
  <c r="J577" i="2" s="1"/>
  <c r="I578" i="2"/>
  <c r="J578" i="2" s="1"/>
  <c r="I579" i="2"/>
  <c r="J579" i="2" s="1"/>
  <c r="I580" i="2"/>
  <c r="J580" i="2" s="1"/>
  <c r="I581" i="2"/>
  <c r="J581" i="2" s="1"/>
  <c r="I582" i="2"/>
  <c r="J582" i="2" s="1"/>
  <c r="I583" i="2"/>
  <c r="J583" i="2" s="1"/>
  <c r="I584" i="2"/>
  <c r="J584" i="2" s="1"/>
  <c r="I585" i="2"/>
  <c r="J585" i="2" s="1"/>
  <c r="I586" i="2"/>
  <c r="J586" i="2" s="1"/>
  <c r="I587" i="2"/>
  <c r="J587" i="2" s="1"/>
  <c r="I588" i="2"/>
  <c r="J588" i="2" s="1"/>
  <c r="I589" i="2"/>
  <c r="J589" i="2" s="1"/>
  <c r="I590" i="2"/>
  <c r="J590" i="2" s="1"/>
  <c r="I591" i="2"/>
  <c r="J591" i="2" s="1"/>
  <c r="I592" i="2"/>
  <c r="J592" i="2" s="1"/>
  <c r="I593" i="2"/>
  <c r="J593" i="2" s="1"/>
  <c r="I594" i="2"/>
  <c r="J594" i="2" s="1"/>
  <c r="I595" i="2"/>
  <c r="J595" i="2" s="1"/>
  <c r="I596" i="2"/>
  <c r="J596" i="2" s="1"/>
  <c r="I597" i="2"/>
  <c r="J597" i="2" s="1"/>
  <c r="I598" i="2"/>
  <c r="J598" i="2" s="1"/>
  <c r="I599" i="2"/>
  <c r="J599" i="2" s="1"/>
  <c r="I600" i="2"/>
  <c r="J600" i="2" s="1"/>
  <c r="I601" i="2"/>
  <c r="J601" i="2" s="1"/>
  <c r="I602" i="2"/>
  <c r="J602" i="2" s="1"/>
  <c r="I603" i="2"/>
  <c r="J603" i="2" s="1"/>
  <c r="I604" i="2"/>
  <c r="J604" i="2" s="1"/>
  <c r="I605" i="2"/>
  <c r="J605" i="2" s="1"/>
  <c r="I606" i="2"/>
  <c r="J606" i="2" s="1"/>
  <c r="I607" i="2"/>
  <c r="J607" i="2" s="1"/>
  <c r="I608" i="2"/>
  <c r="J608" i="2" s="1"/>
  <c r="I609" i="2"/>
  <c r="J609" i="2" s="1"/>
  <c r="I610" i="2"/>
  <c r="J610" i="2" s="1"/>
  <c r="I611" i="2"/>
  <c r="J611" i="2" s="1"/>
  <c r="I612" i="2"/>
  <c r="J612" i="2" s="1"/>
  <c r="I613" i="2"/>
  <c r="J613" i="2" s="1"/>
  <c r="I614" i="2"/>
  <c r="J614" i="2" s="1"/>
  <c r="I615" i="2"/>
  <c r="J615" i="2" s="1"/>
  <c r="I616" i="2"/>
  <c r="J616" i="2" s="1"/>
  <c r="I617" i="2"/>
  <c r="J617" i="2" s="1"/>
  <c r="I618" i="2"/>
  <c r="J618" i="2" s="1"/>
  <c r="I619" i="2"/>
  <c r="J619" i="2" s="1"/>
  <c r="I620" i="2"/>
  <c r="J620" i="2" s="1"/>
  <c r="I621" i="2"/>
  <c r="J621" i="2" s="1"/>
  <c r="I622" i="2"/>
  <c r="J622" i="2" s="1"/>
  <c r="I623" i="2"/>
  <c r="J623" i="2" s="1"/>
  <c r="I624" i="2"/>
  <c r="J624" i="2" s="1"/>
  <c r="I625" i="2"/>
  <c r="J625" i="2" s="1"/>
  <c r="I626" i="2"/>
  <c r="J626" i="2" s="1"/>
  <c r="I627" i="2"/>
  <c r="J627" i="2" s="1"/>
  <c r="I628" i="2"/>
  <c r="J628" i="2" s="1"/>
  <c r="I629" i="2"/>
  <c r="J629" i="2" s="1"/>
  <c r="I630" i="2"/>
  <c r="J630" i="2" s="1"/>
  <c r="I631" i="2"/>
  <c r="J631" i="2" s="1"/>
  <c r="I632" i="2"/>
  <c r="J632" i="2" s="1"/>
  <c r="I633" i="2"/>
  <c r="J633" i="2" s="1"/>
  <c r="I634" i="2"/>
  <c r="J634" i="2" s="1"/>
  <c r="I635" i="2"/>
  <c r="J635" i="2" s="1"/>
  <c r="I636" i="2"/>
  <c r="J636" i="2" s="1"/>
  <c r="I637" i="2"/>
  <c r="J637" i="2" s="1"/>
  <c r="I638" i="2"/>
  <c r="J638" i="2" s="1"/>
  <c r="I639" i="2"/>
  <c r="J639" i="2" s="1"/>
  <c r="I640" i="2"/>
  <c r="J640" i="2" s="1"/>
  <c r="I641" i="2"/>
  <c r="J641" i="2" s="1"/>
  <c r="I642" i="2"/>
  <c r="J642" i="2" s="1"/>
  <c r="I643" i="2"/>
  <c r="J643" i="2" s="1"/>
  <c r="I644" i="2"/>
  <c r="J644" i="2" s="1"/>
  <c r="I645" i="2"/>
  <c r="J645" i="2" s="1"/>
  <c r="I646" i="2"/>
  <c r="J646" i="2" s="1"/>
  <c r="I647" i="2"/>
  <c r="J647" i="2" s="1"/>
  <c r="I648" i="2"/>
  <c r="J648" i="2" s="1"/>
  <c r="I649" i="2"/>
  <c r="J649" i="2" s="1"/>
  <c r="I650" i="2"/>
  <c r="J650" i="2" s="1"/>
  <c r="I651" i="2"/>
  <c r="J651" i="2" s="1"/>
  <c r="I652" i="2"/>
  <c r="J652" i="2" s="1"/>
  <c r="I653" i="2"/>
  <c r="J653" i="2" s="1"/>
  <c r="I654" i="2"/>
  <c r="J654" i="2" s="1"/>
  <c r="I655" i="2"/>
  <c r="J655" i="2" s="1"/>
  <c r="I656" i="2"/>
  <c r="J656" i="2" s="1"/>
  <c r="I657" i="2"/>
  <c r="J657" i="2" s="1"/>
  <c r="I658" i="2"/>
  <c r="J658" i="2" s="1"/>
  <c r="I659" i="2"/>
  <c r="J659" i="2" s="1"/>
  <c r="I660" i="2"/>
  <c r="J660" i="2" s="1"/>
  <c r="I661" i="2"/>
  <c r="J661" i="2" s="1"/>
  <c r="I662" i="2"/>
  <c r="J662" i="2" s="1"/>
  <c r="I663" i="2"/>
  <c r="J663" i="2" s="1"/>
  <c r="I664" i="2"/>
  <c r="J664" i="2" s="1"/>
  <c r="I665" i="2"/>
  <c r="J665" i="2" s="1"/>
  <c r="I666" i="2"/>
  <c r="J666" i="2" s="1"/>
  <c r="I667" i="2"/>
  <c r="J667" i="2" s="1"/>
  <c r="I668" i="2"/>
  <c r="J668" i="2" s="1"/>
  <c r="I669" i="2"/>
  <c r="J669" i="2" s="1"/>
  <c r="I670" i="2"/>
  <c r="J670" i="2" s="1"/>
  <c r="I671" i="2"/>
  <c r="J671" i="2" s="1"/>
  <c r="I672" i="2"/>
  <c r="J672" i="2" s="1"/>
  <c r="I673" i="2"/>
  <c r="J673" i="2" s="1"/>
  <c r="I674" i="2"/>
  <c r="J674" i="2" s="1"/>
  <c r="I675" i="2"/>
  <c r="J675" i="2" s="1"/>
  <c r="I676" i="2"/>
  <c r="J676" i="2" s="1"/>
  <c r="I677" i="2"/>
  <c r="J677" i="2" s="1"/>
  <c r="I678" i="2"/>
  <c r="J678" i="2" s="1"/>
  <c r="I679" i="2"/>
  <c r="J679" i="2" s="1"/>
  <c r="I680" i="2"/>
  <c r="J680" i="2" s="1"/>
  <c r="I681" i="2"/>
  <c r="J681" i="2" s="1"/>
  <c r="I682" i="2"/>
  <c r="J682" i="2" s="1"/>
  <c r="I683" i="2"/>
  <c r="J683" i="2" s="1"/>
  <c r="I684" i="2"/>
  <c r="J684" i="2" s="1"/>
  <c r="I685" i="2"/>
  <c r="J685" i="2" s="1"/>
  <c r="I686" i="2"/>
  <c r="J686" i="2" s="1"/>
  <c r="I687" i="2"/>
  <c r="J687" i="2" s="1"/>
  <c r="I688" i="2"/>
  <c r="J688" i="2" s="1"/>
  <c r="I689" i="2"/>
  <c r="J689" i="2" s="1"/>
  <c r="I690" i="2"/>
  <c r="J690" i="2" s="1"/>
  <c r="I691" i="2"/>
  <c r="J691" i="2" s="1"/>
  <c r="I692" i="2"/>
  <c r="J692" i="2" s="1"/>
  <c r="I693" i="2"/>
  <c r="J693" i="2" s="1"/>
  <c r="I694" i="2"/>
  <c r="J694" i="2" s="1"/>
  <c r="I695" i="2"/>
  <c r="J695" i="2" s="1"/>
  <c r="I696" i="2"/>
  <c r="J696" i="2" s="1"/>
  <c r="I697" i="2"/>
  <c r="J697" i="2" s="1"/>
  <c r="I698" i="2"/>
  <c r="J698" i="2" s="1"/>
  <c r="I699" i="2"/>
  <c r="J699" i="2" s="1"/>
  <c r="I700" i="2"/>
  <c r="J700" i="2" s="1"/>
  <c r="I701" i="2"/>
  <c r="J701" i="2" s="1"/>
  <c r="I702" i="2"/>
  <c r="J702" i="2" s="1"/>
  <c r="I703" i="2"/>
  <c r="J703" i="2" s="1"/>
  <c r="I704" i="2"/>
  <c r="J704" i="2" s="1"/>
  <c r="I705" i="2"/>
  <c r="J705" i="2" s="1"/>
  <c r="I706" i="2"/>
  <c r="J706" i="2" s="1"/>
  <c r="I707" i="2"/>
  <c r="J707" i="2" s="1"/>
  <c r="I708" i="2"/>
  <c r="J708" i="2" s="1"/>
  <c r="I709" i="2"/>
  <c r="J709" i="2" s="1"/>
  <c r="I710" i="2"/>
  <c r="J710" i="2" s="1"/>
  <c r="I711" i="2"/>
  <c r="J711" i="2" s="1"/>
  <c r="I712" i="2"/>
  <c r="J712" i="2" s="1"/>
  <c r="I713" i="2"/>
  <c r="J713" i="2" s="1"/>
  <c r="I714" i="2"/>
  <c r="J714" i="2" s="1"/>
  <c r="I715" i="2"/>
  <c r="J715" i="2" s="1"/>
  <c r="I716" i="2"/>
  <c r="J716" i="2" s="1"/>
  <c r="I717" i="2"/>
  <c r="J717" i="2" s="1"/>
  <c r="I718" i="2"/>
  <c r="J718" i="2" s="1"/>
  <c r="I719" i="2"/>
  <c r="J719" i="2" s="1"/>
  <c r="I720" i="2"/>
  <c r="J720" i="2" s="1"/>
  <c r="I721" i="2"/>
  <c r="J721" i="2" s="1"/>
  <c r="I722" i="2"/>
  <c r="J722" i="2" s="1"/>
  <c r="I723" i="2"/>
  <c r="J723" i="2" s="1"/>
  <c r="I724" i="2"/>
  <c r="J724" i="2" s="1"/>
  <c r="I725" i="2"/>
  <c r="J725" i="2" s="1"/>
  <c r="I726" i="2"/>
  <c r="J726" i="2" s="1"/>
  <c r="I727" i="2"/>
  <c r="J727" i="2" s="1"/>
  <c r="I728" i="2"/>
  <c r="J728" i="2" s="1"/>
  <c r="I729" i="2"/>
  <c r="J729" i="2" s="1"/>
  <c r="I730" i="2"/>
  <c r="J730" i="2" s="1"/>
  <c r="I731" i="2"/>
  <c r="J731" i="2" s="1"/>
  <c r="I732" i="2"/>
  <c r="J732" i="2" s="1"/>
  <c r="I733" i="2"/>
  <c r="J733" i="2" s="1"/>
  <c r="I734" i="2"/>
  <c r="J734" i="2" s="1"/>
  <c r="I735" i="2"/>
  <c r="J735" i="2" s="1"/>
  <c r="I736" i="2"/>
  <c r="J736" i="2" s="1"/>
  <c r="I737" i="2"/>
  <c r="J737" i="2" s="1"/>
  <c r="I738" i="2"/>
  <c r="J738" i="2" s="1"/>
  <c r="I739" i="2"/>
  <c r="J739" i="2" s="1"/>
  <c r="I740" i="2"/>
  <c r="J740" i="2" s="1"/>
  <c r="I741" i="2"/>
  <c r="J741" i="2" s="1"/>
  <c r="I742" i="2"/>
  <c r="J742" i="2" s="1"/>
  <c r="I743" i="2"/>
  <c r="J743" i="2" s="1"/>
  <c r="I744" i="2"/>
  <c r="J744" i="2" s="1"/>
  <c r="I745" i="2"/>
  <c r="J745" i="2" s="1"/>
  <c r="I746" i="2"/>
  <c r="J746" i="2" s="1"/>
  <c r="I747" i="2"/>
  <c r="J747" i="2" s="1"/>
  <c r="I748" i="2"/>
  <c r="J748" i="2" s="1"/>
  <c r="I749" i="2"/>
  <c r="J749" i="2" s="1"/>
  <c r="I750" i="2"/>
  <c r="J750" i="2" s="1"/>
  <c r="I751" i="2"/>
  <c r="J751" i="2" s="1"/>
  <c r="I752" i="2"/>
  <c r="J752" i="2" s="1"/>
  <c r="I753" i="2"/>
  <c r="J753" i="2" s="1"/>
  <c r="I754" i="2"/>
  <c r="J754" i="2" s="1"/>
  <c r="I755" i="2"/>
  <c r="J755" i="2" s="1"/>
  <c r="I756" i="2"/>
  <c r="J756" i="2" s="1"/>
  <c r="I757" i="2"/>
  <c r="J757" i="2" s="1"/>
  <c r="I758" i="2"/>
  <c r="J758" i="2" s="1"/>
  <c r="I759" i="2"/>
  <c r="J759" i="2" s="1"/>
  <c r="I760" i="2"/>
  <c r="J760" i="2" s="1"/>
  <c r="I761" i="2"/>
  <c r="J761" i="2" s="1"/>
  <c r="I762" i="2"/>
  <c r="J762" i="2" s="1"/>
  <c r="I763" i="2"/>
  <c r="J763" i="2" s="1"/>
  <c r="I764" i="2"/>
  <c r="J764" i="2" s="1"/>
  <c r="I765" i="2"/>
  <c r="J765" i="2" s="1"/>
  <c r="I766" i="2"/>
  <c r="J766" i="2" s="1"/>
  <c r="I767" i="2"/>
  <c r="J767" i="2" s="1"/>
  <c r="I768" i="2"/>
  <c r="J768" i="2" s="1"/>
  <c r="I769" i="2"/>
  <c r="J769" i="2" s="1"/>
  <c r="I770" i="2"/>
  <c r="J770" i="2" s="1"/>
  <c r="I771" i="2"/>
  <c r="J771" i="2" s="1"/>
  <c r="I772" i="2"/>
  <c r="J772" i="2" s="1"/>
  <c r="I773" i="2"/>
  <c r="J773" i="2" s="1"/>
  <c r="I774" i="2"/>
  <c r="J774" i="2" s="1"/>
  <c r="I775" i="2"/>
  <c r="J775" i="2" s="1"/>
  <c r="I776" i="2"/>
  <c r="J776" i="2" s="1"/>
  <c r="I777" i="2"/>
  <c r="J777" i="2" s="1"/>
  <c r="I778" i="2"/>
  <c r="J778" i="2" s="1"/>
  <c r="I779" i="2"/>
  <c r="J779" i="2" s="1"/>
  <c r="I780" i="2"/>
  <c r="J780" i="2" s="1"/>
  <c r="I781" i="2"/>
  <c r="J781" i="2" s="1"/>
  <c r="I782" i="2"/>
  <c r="J782" i="2" s="1"/>
  <c r="I783" i="2"/>
  <c r="J783" i="2" s="1"/>
  <c r="I784" i="2"/>
  <c r="J784" i="2" s="1"/>
  <c r="I785" i="2"/>
  <c r="J785" i="2" s="1"/>
  <c r="I786" i="2"/>
  <c r="J786" i="2" s="1"/>
  <c r="I787" i="2"/>
  <c r="J787" i="2" s="1"/>
  <c r="I788" i="2"/>
  <c r="J788" i="2" s="1"/>
  <c r="I789" i="2"/>
  <c r="J789" i="2" s="1"/>
  <c r="I790" i="2"/>
  <c r="J790" i="2" s="1"/>
  <c r="I791" i="2"/>
  <c r="J791" i="2" s="1"/>
  <c r="I792" i="2"/>
  <c r="J792" i="2" s="1"/>
  <c r="I793" i="2"/>
  <c r="J793" i="2" s="1"/>
  <c r="I794" i="2"/>
  <c r="J794" i="2" s="1"/>
  <c r="I795" i="2"/>
  <c r="J795" i="2" s="1"/>
  <c r="I796" i="2"/>
  <c r="J796" i="2" s="1"/>
  <c r="I797" i="2"/>
  <c r="J797" i="2" s="1"/>
  <c r="I798" i="2"/>
  <c r="J798" i="2" s="1"/>
  <c r="I799" i="2"/>
  <c r="J799" i="2" s="1"/>
  <c r="I800" i="2"/>
  <c r="J800" i="2" s="1"/>
  <c r="I801" i="2"/>
  <c r="J801" i="2" s="1"/>
  <c r="I802" i="2"/>
  <c r="J802" i="2" s="1"/>
  <c r="I803" i="2"/>
  <c r="J803" i="2" s="1"/>
  <c r="I804" i="2"/>
  <c r="J804" i="2" s="1"/>
  <c r="I805" i="2"/>
  <c r="J805" i="2" s="1"/>
  <c r="I806" i="2"/>
  <c r="J806" i="2" s="1"/>
  <c r="I807" i="2"/>
  <c r="J807" i="2" s="1"/>
  <c r="I808" i="2"/>
  <c r="J808" i="2" s="1"/>
  <c r="I809" i="2"/>
  <c r="J809" i="2" s="1"/>
  <c r="I810" i="2"/>
  <c r="J810" i="2" s="1"/>
  <c r="I811" i="2"/>
  <c r="J811" i="2" s="1"/>
  <c r="I812" i="2"/>
  <c r="J812" i="2" s="1"/>
  <c r="I813" i="2"/>
  <c r="J813" i="2" s="1"/>
  <c r="I814" i="2"/>
  <c r="J814" i="2" s="1"/>
  <c r="I815" i="2"/>
  <c r="J815" i="2" s="1"/>
  <c r="I816" i="2"/>
  <c r="J816" i="2" s="1"/>
  <c r="I817" i="2"/>
  <c r="J817" i="2" s="1"/>
  <c r="I818" i="2"/>
  <c r="J818" i="2" s="1"/>
  <c r="I819" i="2"/>
  <c r="J819" i="2" s="1"/>
  <c r="I820" i="2"/>
  <c r="J820" i="2" s="1"/>
  <c r="I821" i="2"/>
  <c r="J821" i="2" s="1"/>
  <c r="I822" i="2"/>
  <c r="J822" i="2" s="1"/>
  <c r="I823" i="2"/>
  <c r="J823" i="2" s="1"/>
  <c r="I824" i="2"/>
  <c r="J824" i="2" s="1"/>
  <c r="I825" i="2"/>
  <c r="J825" i="2" s="1"/>
  <c r="I826" i="2"/>
  <c r="J826" i="2" s="1"/>
  <c r="I827" i="2"/>
  <c r="J827" i="2" s="1"/>
  <c r="I828" i="2"/>
  <c r="J828" i="2" s="1"/>
  <c r="I829" i="2"/>
  <c r="J829" i="2" s="1"/>
  <c r="I830" i="2"/>
  <c r="J830" i="2" s="1"/>
  <c r="I831" i="2"/>
  <c r="J831" i="2" s="1"/>
  <c r="I832" i="2"/>
  <c r="J832" i="2" s="1"/>
  <c r="I833" i="2"/>
  <c r="J833" i="2" s="1"/>
  <c r="I834" i="2"/>
  <c r="J834" i="2" s="1"/>
  <c r="I835" i="2"/>
  <c r="J835" i="2" s="1"/>
  <c r="I836" i="2"/>
  <c r="J836" i="2" s="1"/>
  <c r="I837" i="2"/>
  <c r="J837" i="2" s="1"/>
  <c r="I838" i="2"/>
  <c r="J838" i="2" s="1"/>
  <c r="I839" i="2"/>
  <c r="J839" i="2" s="1"/>
  <c r="I840" i="2"/>
  <c r="J840" i="2" s="1"/>
  <c r="I841" i="2"/>
  <c r="J841" i="2" s="1"/>
  <c r="I842" i="2"/>
  <c r="J842" i="2" s="1"/>
  <c r="I843" i="2"/>
  <c r="J843" i="2" s="1"/>
  <c r="I844" i="2"/>
  <c r="J844" i="2" s="1"/>
  <c r="I845" i="2"/>
  <c r="J845" i="2" s="1"/>
  <c r="I846" i="2"/>
  <c r="J846" i="2" s="1"/>
  <c r="I847" i="2"/>
  <c r="J847" i="2" s="1"/>
  <c r="I848" i="2"/>
  <c r="J848" i="2" s="1"/>
  <c r="I849" i="2"/>
  <c r="J849" i="2" s="1"/>
  <c r="I850" i="2"/>
  <c r="J850" i="2" s="1"/>
  <c r="I851" i="2"/>
  <c r="J851" i="2" s="1"/>
  <c r="I852" i="2"/>
  <c r="J852" i="2" s="1"/>
  <c r="I853" i="2"/>
  <c r="J853" i="2" s="1"/>
  <c r="I854" i="2"/>
  <c r="J854" i="2" s="1"/>
  <c r="I855" i="2"/>
  <c r="J855" i="2" s="1"/>
  <c r="I856" i="2"/>
  <c r="J856" i="2" s="1"/>
  <c r="I857" i="2"/>
  <c r="J857" i="2" s="1"/>
  <c r="I858" i="2"/>
  <c r="J858" i="2" s="1"/>
  <c r="I859" i="2"/>
  <c r="J859" i="2" s="1"/>
  <c r="I860" i="2"/>
  <c r="J860" i="2" s="1"/>
  <c r="I861" i="2"/>
  <c r="J861" i="2" s="1"/>
  <c r="I862" i="2"/>
  <c r="J862" i="2" s="1"/>
  <c r="I863" i="2"/>
  <c r="J863" i="2" s="1"/>
  <c r="I864" i="2"/>
  <c r="J864" i="2" s="1"/>
  <c r="I865" i="2"/>
  <c r="J865" i="2" s="1"/>
  <c r="I866" i="2"/>
  <c r="J866" i="2" s="1"/>
  <c r="I867" i="2"/>
  <c r="J867" i="2" s="1"/>
  <c r="I868" i="2"/>
  <c r="J868" i="2" s="1"/>
  <c r="I869" i="2"/>
  <c r="J869" i="2" s="1"/>
  <c r="I870" i="2"/>
  <c r="J870" i="2" s="1"/>
  <c r="I871" i="2"/>
  <c r="J871" i="2" s="1"/>
  <c r="I872" i="2"/>
  <c r="J872" i="2" s="1"/>
  <c r="I873" i="2"/>
  <c r="J873" i="2" s="1"/>
  <c r="I874" i="2"/>
  <c r="J874" i="2" s="1"/>
  <c r="I875" i="2"/>
  <c r="J875" i="2" s="1"/>
  <c r="I876" i="2"/>
  <c r="J876" i="2" s="1"/>
  <c r="I877" i="2"/>
  <c r="J877" i="2" s="1"/>
  <c r="I878" i="2"/>
  <c r="J878" i="2" s="1"/>
  <c r="I879" i="2"/>
  <c r="J879" i="2" s="1"/>
  <c r="I880" i="2"/>
  <c r="J880" i="2" s="1"/>
  <c r="I881" i="2"/>
  <c r="J881" i="2" s="1"/>
  <c r="I882" i="2"/>
  <c r="J882" i="2" s="1"/>
  <c r="I883" i="2"/>
  <c r="J883" i="2" s="1"/>
  <c r="I884" i="2"/>
  <c r="J884" i="2" s="1"/>
  <c r="I885" i="2"/>
  <c r="J885" i="2" s="1"/>
  <c r="I886" i="2"/>
  <c r="J886" i="2" s="1"/>
  <c r="I887" i="2"/>
  <c r="J887" i="2" s="1"/>
  <c r="I888" i="2"/>
  <c r="J888" i="2" s="1"/>
  <c r="I889" i="2"/>
  <c r="J889" i="2" s="1"/>
  <c r="I890" i="2"/>
  <c r="J890" i="2" s="1"/>
  <c r="I891" i="2"/>
  <c r="J891" i="2" s="1"/>
  <c r="I892" i="2"/>
  <c r="J892" i="2" s="1"/>
  <c r="I893" i="2"/>
  <c r="J893" i="2" s="1"/>
  <c r="I894" i="2"/>
  <c r="J894" i="2" s="1"/>
  <c r="I895" i="2"/>
  <c r="J895" i="2" s="1"/>
  <c r="I896" i="2"/>
  <c r="J896" i="2" s="1"/>
  <c r="I897" i="2"/>
  <c r="J897" i="2" s="1"/>
  <c r="I898" i="2"/>
  <c r="J898" i="2" s="1"/>
  <c r="I899" i="2"/>
  <c r="J899" i="2" s="1"/>
  <c r="I900" i="2"/>
  <c r="J900" i="2" s="1"/>
  <c r="I901" i="2"/>
  <c r="J901" i="2" s="1"/>
  <c r="I902" i="2"/>
  <c r="J902" i="2" s="1"/>
  <c r="I903" i="2"/>
  <c r="J903" i="2" s="1"/>
  <c r="I904" i="2"/>
  <c r="J904" i="2" s="1"/>
  <c r="I905" i="2"/>
  <c r="J905" i="2" s="1"/>
  <c r="I906" i="2"/>
  <c r="J906" i="2" s="1"/>
  <c r="I907" i="2"/>
  <c r="J907" i="2" s="1"/>
  <c r="I908" i="2"/>
  <c r="J908" i="2" s="1"/>
  <c r="I909" i="2"/>
  <c r="J909" i="2" s="1"/>
  <c r="I910" i="2"/>
  <c r="J910" i="2" s="1"/>
  <c r="I911" i="2"/>
  <c r="J911" i="2" s="1"/>
  <c r="I912" i="2"/>
  <c r="J912" i="2" s="1"/>
  <c r="I913" i="2"/>
  <c r="J913" i="2" s="1"/>
  <c r="I914" i="2"/>
  <c r="J914" i="2" s="1"/>
  <c r="I915" i="2"/>
  <c r="J915" i="2" s="1"/>
  <c r="I916" i="2"/>
  <c r="J916" i="2" s="1"/>
  <c r="I917" i="2"/>
  <c r="J917" i="2" s="1"/>
  <c r="I918" i="2"/>
  <c r="J918" i="2" s="1"/>
  <c r="I919" i="2"/>
  <c r="J919" i="2" s="1"/>
  <c r="I920" i="2"/>
  <c r="J920" i="2" s="1"/>
  <c r="I921" i="2"/>
  <c r="J921" i="2" s="1"/>
  <c r="I922" i="2"/>
  <c r="J922" i="2" s="1"/>
  <c r="I923" i="2"/>
  <c r="J923" i="2" s="1"/>
  <c r="I924" i="2"/>
  <c r="J924" i="2" s="1"/>
  <c r="I925" i="2"/>
  <c r="J925" i="2" s="1"/>
  <c r="I926" i="2"/>
  <c r="J926" i="2" s="1"/>
  <c r="I927" i="2"/>
  <c r="J927" i="2" s="1"/>
  <c r="I928" i="2"/>
  <c r="J928" i="2" s="1"/>
  <c r="I929" i="2"/>
  <c r="J929" i="2" s="1"/>
  <c r="I930" i="2"/>
  <c r="J930" i="2" s="1"/>
  <c r="I931" i="2"/>
  <c r="J931" i="2" s="1"/>
  <c r="I932" i="2"/>
  <c r="J932" i="2" s="1"/>
  <c r="I933" i="2"/>
  <c r="J933" i="2" s="1"/>
  <c r="I934" i="2"/>
  <c r="J934" i="2" s="1"/>
  <c r="I935" i="2"/>
  <c r="J935" i="2" s="1"/>
  <c r="I936" i="2"/>
  <c r="J936" i="2" s="1"/>
  <c r="I937" i="2"/>
  <c r="J937" i="2" s="1"/>
  <c r="I938" i="2"/>
  <c r="J938" i="2" s="1"/>
  <c r="I939" i="2"/>
  <c r="J939" i="2" s="1"/>
  <c r="I940" i="2"/>
  <c r="J940" i="2" s="1"/>
  <c r="I941" i="2"/>
  <c r="J941" i="2" s="1"/>
  <c r="I942" i="2"/>
  <c r="J942" i="2" s="1"/>
  <c r="I943" i="2"/>
  <c r="J943" i="2" s="1"/>
  <c r="I944" i="2"/>
  <c r="J944" i="2" s="1"/>
  <c r="I945" i="2"/>
  <c r="J945" i="2" s="1"/>
  <c r="I946" i="2"/>
  <c r="J946" i="2" s="1"/>
  <c r="I947" i="2"/>
  <c r="J947" i="2" s="1"/>
  <c r="I948" i="2"/>
  <c r="J948" i="2" s="1"/>
  <c r="I949" i="2"/>
  <c r="J949" i="2" s="1"/>
  <c r="I950" i="2"/>
  <c r="J950" i="2" s="1"/>
  <c r="I951" i="2"/>
  <c r="J951" i="2" s="1"/>
  <c r="I952" i="2"/>
  <c r="J952" i="2" s="1"/>
  <c r="I953" i="2"/>
  <c r="J953" i="2" s="1"/>
  <c r="I954" i="2"/>
  <c r="J954" i="2" s="1"/>
  <c r="I955" i="2"/>
  <c r="J955" i="2" s="1"/>
  <c r="I956" i="2"/>
  <c r="J956" i="2" s="1"/>
  <c r="I957" i="2"/>
  <c r="J957" i="2" s="1"/>
  <c r="I958" i="2"/>
  <c r="J958" i="2" s="1"/>
  <c r="I959" i="2"/>
  <c r="J959" i="2" s="1"/>
  <c r="I960" i="2"/>
  <c r="J960" i="2" s="1"/>
  <c r="I961" i="2"/>
  <c r="J961" i="2" s="1"/>
  <c r="I962" i="2"/>
  <c r="J962" i="2" s="1"/>
  <c r="I963" i="2"/>
  <c r="J963" i="2" s="1"/>
  <c r="I964" i="2"/>
  <c r="J964" i="2" s="1"/>
  <c r="I965" i="2"/>
  <c r="J965" i="2" s="1"/>
  <c r="I966" i="2"/>
  <c r="J966" i="2" s="1"/>
  <c r="I967" i="2"/>
  <c r="J967" i="2" s="1"/>
  <c r="I968" i="2"/>
  <c r="J968" i="2" s="1"/>
  <c r="I969" i="2"/>
  <c r="J969" i="2" s="1"/>
  <c r="I970" i="2"/>
  <c r="J970" i="2" s="1"/>
  <c r="I971" i="2"/>
  <c r="J971" i="2" s="1"/>
  <c r="I972" i="2"/>
  <c r="J972" i="2" s="1"/>
  <c r="I973" i="2"/>
  <c r="J973" i="2" s="1"/>
  <c r="I974" i="2"/>
  <c r="J974" i="2" s="1"/>
  <c r="I975" i="2"/>
  <c r="J975" i="2" s="1"/>
  <c r="I976" i="2"/>
  <c r="J976" i="2" s="1"/>
  <c r="I977" i="2"/>
  <c r="J977" i="2" s="1"/>
  <c r="I978" i="2"/>
  <c r="J978" i="2" s="1"/>
  <c r="I979" i="2"/>
  <c r="J979" i="2" s="1"/>
  <c r="I980" i="2"/>
  <c r="J980" i="2" s="1"/>
  <c r="I981" i="2"/>
  <c r="J981" i="2" s="1"/>
  <c r="I982" i="2"/>
  <c r="J982" i="2" s="1"/>
  <c r="I983" i="2"/>
  <c r="J983" i="2" s="1"/>
  <c r="I984" i="2"/>
  <c r="J984" i="2" s="1"/>
  <c r="I985" i="2"/>
  <c r="J985" i="2" s="1"/>
  <c r="I986" i="2"/>
  <c r="J986" i="2" s="1"/>
  <c r="I987" i="2"/>
  <c r="J987" i="2" s="1"/>
  <c r="I988" i="2"/>
  <c r="J988" i="2" s="1"/>
  <c r="I989" i="2"/>
  <c r="J989" i="2" s="1"/>
  <c r="I990" i="2"/>
  <c r="J990" i="2" s="1"/>
  <c r="I991" i="2"/>
  <c r="J991" i="2" s="1"/>
  <c r="I992" i="2"/>
  <c r="J992" i="2" s="1"/>
  <c r="I993" i="2"/>
  <c r="J993" i="2" s="1"/>
  <c r="I994" i="2"/>
  <c r="J994" i="2" s="1"/>
  <c r="I995" i="2"/>
  <c r="J995" i="2" s="1"/>
  <c r="I996" i="2"/>
  <c r="J996" i="2" s="1"/>
  <c r="I997" i="2"/>
  <c r="J997" i="2" s="1"/>
  <c r="I998" i="2"/>
  <c r="J998" i="2" s="1"/>
  <c r="I999" i="2"/>
  <c r="J999" i="2" s="1"/>
  <c r="I1000" i="2"/>
  <c r="J1000" i="2" s="1"/>
  <c r="I1001" i="2"/>
  <c r="J1001" i="2" s="1"/>
  <c r="I1002" i="2"/>
  <c r="J1002" i="2" s="1"/>
  <c r="I1003" i="2"/>
  <c r="J1003" i="2" s="1"/>
  <c r="I1004" i="2"/>
  <c r="J1004" i="2" s="1"/>
  <c r="I1005" i="2"/>
  <c r="J1005" i="2" s="1"/>
  <c r="I1006" i="2"/>
  <c r="J1006" i="2" s="1"/>
  <c r="I1007" i="2"/>
  <c r="J1007" i="2" s="1"/>
  <c r="I1008" i="2"/>
  <c r="J1008" i="2" s="1"/>
  <c r="I1009" i="2"/>
  <c r="J1009" i="2" s="1"/>
  <c r="I1010" i="2"/>
  <c r="J1010" i="2" s="1"/>
  <c r="I1011" i="2"/>
  <c r="J1011" i="2" s="1"/>
  <c r="I1012" i="2"/>
  <c r="J1012" i="2" s="1"/>
  <c r="I1013" i="2"/>
  <c r="J1013" i="2" s="1"/>
  <c r="I1014" i="2"/>
  <c r="J1014" i="2" s="1"/>
  <c r="I1015" i="2"/>
  <c r="J1015" i="2" s="1"/>
  <c r="I1016" i="2"/>
  <c r="J1016" i="2" s="1"/>
  <c r="I1017" i="2"/>
  <c r="J1017" i="2" s="1"/>
  <c r="G4" i="4" l="1"/>
  <c r="G5" i="4"/>
  <c r="G3" i="4"/>
  <c r="G7" i="4"/>
</calcChain>
</file>

<file path=xl/sharedStrings.xml><?xml version="1.0" encoding="utf-8"?>
<sst xmlns="http://schemas.openxmlformats.org/spreadsheetml/2006/main" count="6541" uniqueCount="702">
  <si>
    <t>InvoiceNo</t>
  </si>
  <si>
    <t>StockCode</t>
  </si>
  <si>
    <t>Description</t>
  </si>
  <si>
    <t>Quantity</t>
  </si>
  <si>
    <t>InvoiceDate</t>
  </si>
  <si>
    <t>UnitPrice</t>
  </si>
  <si>
    <t>CustomerID</t>
  </si>
  <si>
    <t>Country</t>
  </si>
  <si>
    <t>85123A</t>
  </si>
  <si>
    <t>WHITE HANGING HEART T-LIGHT HOLDER</t>
  </si>
  <si>
    <t>United Kingdom</t>
  </si>
  <si>
    <t>WHITE METAL LANTERN</t>
  </si>
  <si>
    <t>84406B</t>
  </si>
  <si>
    <t>CREAM CUPID HEARTS COAT HANGER</t>
  </si>
  <si>
    <t>84029G</t>
  </si>
  <si>
    <t>KNITTED UNION FLAG HOT WATER BOTTLE</t>
  </si>
  <si>
    <t>84029E</t>
  </si>
  <si>
    <t>RED WOOLLY HOTTIE WHITE HEART.</t>
  </si>
  <si>
    <t>SET 7 BABUSHKA NESTING BOXES</t>
  </si>
  <si>
    <t>GLASS STAR FROSTED T-LIGHT HOLDER</t>
  </si>
  <si>
    <t>HAND WARMER UNION JACK</t>
  </si>
  <si>
    <t>HAND WARMER RED POLKA DOT</t>
  </si>
  <si>
    <t>ASSORTED COLOUR BIRD ORNAMENT</t>
  </si>
  <si>
    <t xml:space="preserve">POPPY'S PLAYHOUSE BEDROOM </t>
  </si>
  <si>
    <t>POPPY'S PLAYHOUSE KITCHEN</t>
  </si>
  <si>
    <t>FELTCRAFT PRINCESS CHARLOTTE DOLL</t>
  </si>
  <si>
    <t xml:space="preserve">IVORY KNITTED MUG COSY </t>
  </si>
  <si>
    <t>BOX OF 6 ASSORTED COLOUR TEASPOONS</t>
  </si>
  <si>
    <t xml:space="preserve">BOX OF VINTAGE JIGSAW BLOCKS </t>
  </si>
  <si>
    <t>BOX OF VINTAGE ALPHABET BLOCKS</t>
  </si>
  <si>
    <t>HOME BUILDING BLOCK WORD</t>
  </si>
  <si>
    <t>LOVE BUILDING BLOCK WORD</t>
  </si>
  <si>
    <t>RECIPE BOX WITH METAL HEART</t>
  </si>
  <si>
    <t>DOORMAT NEW ENGLAND</t>
  </si>
  <si>
    <t>JAM MAKING SET WITH JARS</t>
  </si>
  <si>
    <t>RED COAT RACK PARIS FASHION</t>
  </si>
  <si>
    <t>YELLOW COAT RACK PARIS FASHION</t>
  </si>
  <si>
    <t>BLUE COAT RACK PARIS FASHION</t>
  </si>
  <si>
    <t>BATH BUILDING BLOCK WORD</t>
  </si>
  <si>
    <t>ALARM CLOCK BAKELIKE PINK</t>
  </si>
  <si>
    <t>France</t>
  </si>
  <si>
    <t xml:space="preserve">ALARM CLOCK BAKELIKE RED </t>
  </si>
  <si>
    <t>ALARM CLOCK BAKELIKE GREEN</t>
  </si>
  <si>
    <t>PANDA AND BUNNIES STICKER SHEET</t>
  </si>
  <si>
    <t xml:space="preserve">STARS GIFT TAPE </t>
  </si>
  <si>
    <t xml:space="preserve">INFLATABLE POLITICAL GLOBE </t>
  </si>
  <si>
    <t xml:space="preserve">VINTAGE HEADS AND TAILS CARD GAME </t>
  </si>
  <si>
    <t xml:space="preserve">SET/2 RED RETROSPOT TEA TOWELS </t>
  </si>
  <si>
    <t xml:space="preserve">ROUND SNACK BOXES SET OF4 WOODLAND </t>
  </si>
  <si>
    <t xml:space="preserve">SPACEBOY LUNCH BOX </t>
  </si>
  <si>
    <t>LUNCH BOX I LOVE LONDON</t>
  </si>
  <si>
    <t xml:space="preserve">CIRCUS PARADE LUNCH BOX </t>
  </si>
  <si>
    <t>CHARLOTTE BAG DOLLY GIRL DESIGN</t>
  </si>
  <si>
    <t>RED TOADSTOOL LED NIGHT LIGHT</t>
  </si>
  <si>
    <t xml:space="preserve"> SET 2 TEA TOWELS I LOVE LONDON </t>
  </si>
  <si>
    <t>VINTAGE SEASIDE JIGSAW PUZZLES</t>
  </si>
  <si>
    <t xml:space="preserve">MINI JIGSAW CIRCUS PARADE </t>
  </si>
  <si>
    <t>MINI JIGSAW SPACEBOY</t>
  </si>
  <si>
    <t xml:space="preserve">MINI PAINT SET VINTAGE </t>
  </si>
  <si>
    <t>POST</t>
  </si>
  <si>
    <t>POSTAGE</t>
  </si>
  <si>
    <t xml:space="preserve">PAPER CHAIN KIT 50'S CHRISTMAS </t>
  </si>
  <si>
    <t>EDWARDIAN PARASOL RED</t>
  </si>
  <si>
    <t>RETRO COFFEE MUGS ASSORTED</t>
  </si>
  <si>
    <t>SAVE THE PLANET MUG</t>
  </si>
  <si>
    <t>VINTAGE BILLBOARD DRINK ME MUG</t>
  </si>
  <si>
    <t>VINTAGE BILLBOARD LOVE/HATE MUG</t>
  </si>
  <si>
    <t>WOOD 2 DRAWER CABINET WHITE FINISH</t>
  </si>
  <si>
    <t>WOOD S/3 CABINET ANT WHITE FINISH</t>
  </si>
  <si>
    <t>WOODEN PICTURE FRAME WHITE FINISH</t>
  </si>
  <si>
    <t>82494L</t>
  </si>
  <si>
    <t xml:space="preserve">WOODEN FRAME ANTIQUE WHITE </t>
  </si>
  <si>
    <t>VICTORIAN SEWING BOX LARGE</t>
  </si>
  <si>
    <t>HOT WATER BOTTLE TEA AND SYMPATHY</t>
  </si>
  <si>
    <t>RED HANGING HEART T-LIGHT HOLDER</t>
  </si>
  <si>
    <t>JUMBO BAG PINK POLKADOT</t>
  </si>
  <si>
    <t>85099C</t>
  </si>
  <si>
    <t>JUMBO  BAG BAROQUE BLACK WHITE</t>
  </si>
  <si>
    <t>JUMBO BAG CHARLIE AND LOLA TOYS</t>
  </si>
  <si>
    <t>STRAWBERRY CHARLOTTE BAG</t>
  </si>
  <si>
    <t>84997B</t>
  </si>
  <si>
    <t>RED 3 PIECE RETROSPOT CUTLERY SET</t>
  </si>
  <si>
    <t>84997C</t>
  </si>
  <si>
    <t>BLUE 3 PIECE POLKADOT CUTLERY SET</t>
  </si>
  <si>
    <t>SET/6 RED SPOTTY PAPER PLATES</t>
  </si>
  <si>
    <t>LUNCH BAG RED RETROSPOT</t>
  </si>
  <si>
    <t>STRAWBERRY LUNCH BOX WITH CUTLERY</t>
  </si>
  <si>
    <t xml:space="preserve">LUNCH BOX WITH CUTLERY RETROSPOT </t>
  </si>
  <si>
    <t>PACK OF 72 RETROSPOT CAKE CASES</t>
  </si>
  <si>
    <t>PACK OF 60 DINOSAUR CAKE CASES</t>
  </si>
  <si>
    <t>PACK OF 60 PINK PAISLEY CAKE CASES</t>
  </si>
  <si>
    <t>60 TEATIME FAIRY CAKE CASES</t>
  </si>
  <si>
    <t>84519A</t>
  </si>
  <si>
    <t>TOMATO CHARLIE+LOLA COASTER SET</t>
  </si>
  <si>
    <t>85183B</t>
  </si>
  <si>
    <t>CHARLIE &amp; LOLA WASTEPAPER BIN FLORA</t>
  </si>
  <si>
    <t>85071B</t>
  </si>
  <si>
    <t>RED CHARLIE+LOLA PERSONAL DOORSIGN</t>
  </si>
  <si>
    <t>JUMBO STORAGE BAG SUKI</t>
  </si>
  <si>
    <t>JUMBO BAG PINK VINTAGE PAISLEY</t>
  </si>
  <si>
    <t>JAM MAKING SET PRINTED</t>
  </si>
  <si>
    <t xml:space="preserve">RETROSPOT TEA SET CERAMIC 11 PC </t>
  </si>
  <si>
    <t>GIRLY PINK TOOL SET</t>
  </si>
  <si>
    <t>JUMBO SHOPPER VINTAGE RED PAISLEY</t>
  </si>
  <si>
    <t>AIRLINE LOUNGE,METAL SIGN</t>
  </si>
  <si>
    <t>WHITE SPOT RED CERAMIC DRAWER KNOB</t>
  </si>
  <si>
    <t>RED DRAWER KNOB ACRYLIC EDWARDIAN</t>
  </si>
  <si>
    <t>CLEAR DRAWER KNOB ACRYLIC EDWARDIAN</t>
  </si>
  <si>
    <t>PHOTO CLIP LINE</t>
  </si>
  <si>
    <t>FELT EGG COSY CHICKEN</t>
  </si>
  <si>
    <t xml:space="preserve">PIGGY BANK RETROSPOT </t>
  </si>
  <si>
    <t>SKULL SHOULDER BAG</t>
  </si>
  <si>
    <t xml:space="preserve">YOU'RE CONFUSING ME METAL SIGN </t>
  </si>
  <si>
    <t xml:space="preserve">COOK WITH WINE METAL SIGN </t>
  </si>
  <si>
    <t>GIN + TONIC DIET METAL SIGN</t>
  </si>
  <si>
    <t>37444A</t>
  </si>
  <si>
    <t>YELLOW BREAKFAST CUP AND SAUCER</t>
  </si>
  <si>
    <t>37444C</t>
  </si>
  <si>
    <t xml:space="preserve">PINK BREAKFAST CUP AND SAUCER </t>
  </si>
  <si>
    <t>PAPER CHAIN KIT RETROSPOT</t>
  </si>
  <si>
    <t>84971S</t>
  </si>
  <si>
    <t xml:space="preserve">SMALL HEART FLOWERS HOOK </t>
  </si>
  <si>
    <t>TEA TIME DES TEA COSY</t>
  </si>
  <si>
    <t xml:space="preserve">FELT EGG COSY WHITE RABBIT </t>
  </si>
  <si>
    <t>ZINC WILLIE WINKIE  CANDLE STICK</t>
  </si>
  <si>
    <t>CERAMIC CHERRY CAKE MONEY BANK</t>
  </si>
  <si>
    <t>RETROSPOT LARGE MILK JUG</t>
  </si>
  <si>
    <t>SET OF 6 FUNKY BEAKERS</t>
  </si>
  <si>
    <t>15056BL</t>
  </si>
  <si>
    <t>EDWARDIAN PARASOL BLACK</t>
  </si>
  <si>
    <t>15056N</t>
  </si>
  <si>
    <t>EDWARDIAN PARASOL NATURAL</t>
  </si>
  <si>
    <t>CERAMIC STRAWBERRY CAKE MONEY BANK</t>
  </si>
  <si>
    <t>BLUE OWL SOFT TOY</t>
  </si>
  <si>
    <t>BALLOON ART MAKE YOUR OWN FLOWERS</t>
  </si>
  <si>
    <t>GLASS CLOCHE SMALL</t>
  </si>
  <si>
    <t>GUMBALL MONOCHROME COAT RACK</t>
  </si>
  <si>
    <t>DOORMAT FANCY FONT HOME SWEET HOME</t>
  </si>
  <si>
    <t>C536379</t>
  </si>
  <si>
    <t>D</t>
  </si>
  <si>
    <t>Discount</t>
  </si>
  <si>
    <t>VINTAGE SNAKES &amp; LADDERS</t>
  </si>
  <si>
    <t>CHOCOLATE CALCULATOR</t>
  </si>
  <si>
    <t xml:space="preserve">RECYCLING BAG RETROSPOT </t>
  </si>
  <si>
    <t>TOY TIDY PINK POLKADOT</t>
  </si>
  <si>
    <t>ANTIQUE GLASS DRESSING TABLE POT</t>
  </si>
  <si>
    <t>IVORY GIANT GARDEN THERMOMETER</t>
  </si>
  <si>
    <t>3 TIER CAKE TIN GREEN AND CREAM</t>
  </si>
  <si>
    <t>3 TIER CAKE TIN RED AND CREAM</t>
  </si>
  <si>
    <t>SET 3 WICKER OVAL BASKETS W LIDS</t>
  </si>
  <si>
    <t>C536383</t>
  </si>
  <si>
    <t>35004C</t>
  </si>
  <si>
    <t>SET OF 3 COLOURED  FLYING DUCKS</t>
  </si>
  <si>
    <t>WOOD BLACK BOARD ANT WHITE FINISH</t>
  </si>
  <si>
    <t>COLOUR GLASS T-LIGHT HOLDER HANGING</t>
  </si>
  <si>
    <t>HANGING METAL HEART LANTERN</t>
  </si>
  <si>
    <t>HANGING MEDINA LANTERN SMALL</t>
  </si>
  <si>
    <t xml:space="preserve">NATURAL SLATE HEART CHALKBOARD </t>
  </si>
  <si>
    <t>HEART OF WICKER SMALL</t>
  </si>
  <si>
    <t>HEART OF WICKER LARGE</t>
  </si>
  <si>
    <t>WHITE LOVEBIRD LANTERN</t>
  </si>
  <si>
    <t>CLASSIC METAL BIRDCAGE PLANT HOLDER</t>
  </si>
  <si>
    <t>CREAM HEART CARD HOLDER</t>
  </si>
  <si>
    <t>ENAMEL FLOWER JUG CREAM</t>
  </si>
  <si>
    <t>ENAMEL FIRE BUCKET CREAM</t>
  </si>
  <si>
    <t>ENAMEL BREAD BIN CREAM</t>
  </si>
  <si>
    <t>JUMBO BAG DOLLY GIRL DESIGN</t>
  </si>
  <si>
    <t>85049A</t>
  </si>
  <si>
    <t>TRADITIONAL CHRISTMAS RIBBONS</t>
  </si>
  <si>
    <t xml:space="preserve">ORGANISER WOOD ANTIQUE WHITE </t>
  </si>
  <si>
    <t>LUNCH BAG DOLLY GIRL DESIGN</t>
  </si>
  <si>
    <t>WHITE WIRE EGG HOLDER</t>
  </si>
  <si>
    <t>85099B</t>
  </si>
  <si>
    <t>JUMBO BAG RED RETROSPOT</t>
  </si>
  <si>
    <t>CHILLI LIGHTS</t>
  </si>
  <si>
    <t>LIGHT GARLAND BUTTERFILES PINK</t>
  </si>
  <si>
    <t xml:space="preserve">WOODEN OWLS LIGHT GARLAND </t>
  </si>
  <si>
    <t>FAIRY TALE COTTAGE NIGHTLIGHT</t>
  </si>
  <si>
    <t>HOME SMALL WOOD LETTERS</t>
  </si>
  <si>
    <t>GINGHAM HEART  DOORSTOP RED</t>
  </si>
  <si>
    <t>FIVE HEART HANGING DECORATION</t>
  </si>
  <si>
    <t xml:space="preserve">ASSORTED BOTTLE TOP  MAGNETS </t>
  </si>
  <si>
    <t>FRIDGE MAGNETS US DINER ASSORTED</t>
  </si>
  <si>
    <t>HOMEMADE JAM SCENTED CANDLES</t>
  </si>
  <si>
    <t>FRIDGE MAGNETS LES ENFANTS ASSORTED</t>
  </si>
  <si>
    <t>ROSE CARAVAN DOORSTOP</t>
  </si>
  <si>
    <t>5 HOOK HANGER MAGIC TOADSTOOL</t>
  </si>
  <si>
    <t>CHRISTMAS LIGHTS 10 REINDEER</t>
  </si>
  <si>
    <t>Australia</t>
  </si>
  <si>
    <t>VINTAGE UNION JACK CUSHION COVER</t>
  </si>
  <si>
    <t>35004G</t>
  </si>
  <si>
    <t>SET OF 3 GOLD FLYING DUCKS</t>
  </si>
  <si>
    <t>85014B</t>
  </si>
  <si>
    <t>RED RETROSPOT UMBRELLA</t>
  </si>
  <si>
    <t>85014A</t>
  </si>
  <si>
    <t>BLACK/BLUE POLKADOT UMBRELLA</t>
  </si>
  <si>
    <t>RED DINER WALL CLOCK</t>
  </si>
  <si>
    <t>BLUE DINER WALL CLOCK</t>
  </si>
  <si>
    <t>IVORY DINER WALL CLOCK</t>
  </si>
  <si>
    <t>LARGE HEART MEASURING SPOONS</t>
  </si>
  <si>
    <t>SMALL HEART MEASURING SPOONS</t>
  </si>
  <si>
    <t>JAM JAR WITH PINK LID</t>
  </si>
  <si>
    <t>JAM JAR WITH GREEN LID</t>
  </si>
  <si>
    <t xml:space="preserve">ROSE COTTAGE KEEPSAKE BOX </t>
  </si>
  <si>
    <t>84970S</t>
  </si>
  <si>
    <t>HANGING HEART ZINC T-LIGHT HOLDER</t>
  </si>
  <si>
    <t>PAPER CHAIN KIT VINTAGE CHRISTMAS</t>
  </si>
  <si>
    <t>DISCO BALL CHRISTMAS DECORATION</t>
  </si>
  <si>
    <t>SMALL POPCORN HOLDER</t>
  </si>
  <si>
    <t xml:space="preserve">LARGE POPCORN HOLDER </t>
  </si>
  <si>
    <t xml:space="preserve">SET/20 RED RETROSPOT PAPER NAPKINS </t>
  </si>
  <si>
    <t>SET/6 RED SPOTTY PAPER CUPS</t>
  </si>
  <si>
    <t xml:space="preserve">POLKADOT RAIN HAT </t>
  </si>
  <si>
    <t xml:space="preserve">DELUXE SEWING KIT </t>
  </si>
  <si>
    <t>RETROSPOT HEART HOT WATER BOTTLE</t>
  </si>
  <si>
    <t>84030E</t>
  </si>
  <si>
    <t>ENGLISH ROSE HOT WATER BOTTLE</t>
  </si>
  <si>
    <t>PHOTO CUBE</t>
  </si>
  <si>
    <t>C536391</t>
  </si>
  <si>
    <t xml:space="preserve">PLASTERS IN TIN CIRCUS PARADE </t>
  </si>
  <si>
    <t xml:space="preserve">PACK OF 12 PINK PAISLEY TISSUES </t>
  </si>
  <si>
    <t xml:space="preserve">PACK OF 12 BLUE PAISLEY TISSUES </t>
  </si>
  <si>
    <t xml:space="preserve">PACK OF 12 RED RETROSPOT TISSUES </t>
  </si>
  <si>
    <t>CHICK GREY HOT WATER BOTTLE</t>
  </si>
  <si>
    <t xml:space="preserve">PLASTERS IN TIN VINTAGE PAISLEY </t>
  </si>
  <si>
    <t>PLASTERS IN TIN SKULLS</t>
  </si>
  <si>
    <t>3 STRIPEY MICE FELTCRAFT</t>
  </si>
  <si>
    <t>SET OF 6 SOLDIER SKITTLES</t>
  </si>
  <si>
    <t>TRADITIONAL WOODEN SKIPPING ROPE</t>
  </si>
  <si>
    <t>WOODEN BOX OF DOMINOES</t>
  </si>
  <si>
    <t>RUSTIC  SEVENTEEN DRAWER SIDEBOARD</t>
  </si>
  <si>
    <t>PARTY CONES CARNIVAL ASSORTED</t>
  </si>
  <si>
    <t>PARTY CONES CANDY ASSORTED</t>
  </si>
  <si>
    <t>PICNIC BASKET WICKER SMALL</t>
  </si>
  <si>
    <t xml:space="preserve">STAR DECORATION PAINTED ZINC </t>
  </si>
  <si>
    <t>RETROSPOT LAMP</t>
  </si>
  <si>
    <t xml:space="preserve">FANCY FONT BIRTHDAY CARD, </t>
  </si>
  <si>
    <t>HAND WARMER SCOTTY DOG DESIGN</t>
  </si>
  <si>
    <t>HAND WARMER OWL DESIGN</t>
  </si>
  <si>
    <t>HAND WARMER RED RETROSPOT</t>
  </si>
  <si>
    <t>DOG BOWL CHASING BALL DESIGN</t>
  </si>
  <si>
    <t xml:space="preserve">CLOTHES PEGS RETROSPOT PACK 24 </t>
  </si>
  <si>
    <t xml:space="preserve">HAND OVER THE CHOCOLATE   SIGN </t>
  </si>
  <si>
    <t>TRAVEL SEWING KIT</t>
  </si>
  <si>
    <t>BLACK HEART CARD HOLDER</t>
  </si>
  <si>
    <t>SMALL GLASS HEART TRINKET POT</t>
  </si>
  <si>
    <t>ALARM CLOCK BAKELIKE IVORY</t>
  </si>
  <si>
    <t>ALARM CLOCK BAKELIKE ORANGE</t>
  </si>
  <si>
    <t>HAND WARMER BIRD DESIGN</t>
  </si>
  <si>
    <t xml:space="preserve">IVORY EMBROIDERED QUILT </t>
  </si>
  <si>
    <t>35004B</t>
  </si>
  <si>
    <t>SET OF 3 BLACK FLYING DUCKS</t>
  </si>
  <si>
    <t>RED RETROSPOT MUG</t>
  </si>
  <si>
    <t>BABUSHKA LIGHTS STRING OF 10</t>
  </si>
  <si>
    <t>DOORMAT FAIRY CAKE</t>
  </si>
  <si>
    <t>STRAWBERRY CERAMIC TRINKET BOX</t>
  </si>
  <si>
    <t xml:space="preserve">PINK DOUGHNUT TRINKET POT </t>
  </si>
  <si>
    <t>SILK PURSE BABUSHKA PINK</t>
  </si>
  <si>
    <t>HOT WATER BOTTLE I AM SO POORLY</t>
  </si>
  <si>
    <t>CHOCOLATE HOT WATER BOTTLE</t>
  </si>
  <si>
    <t xml:space="preserve">WHITE SKULL HOT WATER BOTTLE </t>
  </si>
  <si>
    <t>SCOTTIE DOG HOT WATER BOTTLE</t>
  </si>
  <si>
    <t>BIRD HOUSE HOT WATER BOTTLE</t>
  </si>
  <si>
    <t>BOUDOIR SQUARE TISSUE BOX</t>
  </si>
  <si>
    <t>SKULLS SQUARE TISSUE BOX</t>
  </si>
  <si>
    <t>PHOTO FRAME CORNICE</t>
  </si>
  <si>
    <t>SILK PURSE BABUSHKA RED</t>
  </si>
  <si>
    <t>PICTURE DOMINOES</t>
  </si>
  <si>
    <t>S/6 SEW ON CROCHET FLOWERS</t>
  </si>
  <si>
    <t>85049E</t>
  </si>
  <si>
    <t>SCANDINAVIAN REDS RIBBONS</t>
  </si>
  <si>
    <t xml:space="preserve">BALLOONS  WRITING SET </t>
  </si>
  <si>
    <t>17091A</t>
  </si>
  <si>
    <t>LAVENDER INCENSE IN TIN</t>
  </si>
  <si>
    <t>TV DINNER TRAY VINTAGE PAISLEY</t>
  </si>
  <si>
    <t>84509A</t>
  </si>
  <si>
    <t>SET OF 4 ENGLISH ROSE PLACEMATS</t>
  </si>
  <si>
    <t>84510A</t>
  </si>
  <si>
    <t>SET OF 4 ENGLISH ROSE COASTERS</t>
  </si>
  <si>
    <t xml:space="preserve">TRIPLE PHOTO FRAME CORNICE </t>
  </si>
  <si>
    <t>FAMILY PHOTO FRAME CORNICE</t>
  </si>
  <si>
    <t xml:space="preserve">MIRRORED DISCO BALL </t>
  </si>
  <si>
    <t>DISCO BALL ROTATOR BATTERY OPERATED</t>
  </si>
  <si>
    <t>SILVER LOOKING MIRROR</t>
  </si>
  <si>
    <t>LADIES &amp; GENTLEMEN METAL SIGN</t>
  </si>
  <si>
    <t xml:space="preserve">METAL SIGN HER DINNER IS SERVED </t>
  </si>
  <si>
    <t>DOORMAT TOPIARY</t>
  </si>
  <si>
    <t>BATHROOM METAL SIGN</t>
  </si>
  <si>
    <t>KITCHEN METAL SIGN</t>
  </si>
  <si>
    <t>TOILET METAL SIGN</t>
  </si>
  <si>
    <t xml:space="preserve">METAL SIGN TAKE IT OR LEAVE IT </t>
  </si>
  <si>
    <t>I'M ON HOLIDAY METAL SIGN</t>
  </si>
  <si>
    <t>GROW YOUR OWN BASIL IN ENAMEL MUG</t>
  </si>
  <si>
    <t>SET/10 PINK POLKADOT PARTY CANDLES</t>
  </si>
  <si>
    <t xml:space="preserve">SET 20 NAPKINS FAIRY CAKES DESIGN </t>
  </si>
  <si>
    <t>SET OF 6 T-LIGHTS SNOWMEN</t>
  </si>
  <si>
    <t>SET OF 6 T-LIGHTS SANTA</t>
  </si>
  <si>
    <t>SET OF 9 HEART SHAPED BALLOONS</t>
  </si>
  <si>
    <t>SANDWICH BATH SPONGE</t>
  </si>
  <si>
    <t>APPLE BATH SPONGE</t>
  </si>
  <si>
    <t xml:space="preserve">STRAWBERRY BATH SPONGE </t>
  </si>
  <si>
    <t>BLACK PIRATE TREASURE CHEST</t>
  </si>
  <si>
    <t xml:space="preserve">STAR PORTABLE TABLE LIGHT </t>
  </si>
  <si>
    <t xml:space="preserve">SNOWFLAKE PORTABLE TABLE LIGHT </t>
  </si>
  <si>
    <t>84709B</t>
  </si>
  <si>
    <t>PINK OVAL JEWELLED MIRROR</t>
  </si>
  <si>
    <t xml:space="preserve">RETROSPOT CIGAR BOX MATCHES </t>
  </si>
  <si>
    <t>COSY HOUR GIANT TUBE MATCHES</t>
  </si>
  <si>
    <t>JAZZ HEARTS PURSE NOTEBOOK</t>
  </si>
  <si>
    <t>CANDLEHOLDER PINK HANGING HEART</t>
  </si>
  <si>
    <t>ASSORTED COLOUR MINI CASES</t>
  </si>
  <si>
    <t xml:space="preserve">LUNCH BAG SPACEBOY DESIGN </t>
  </si>
  <si>
    <t>LUNCH BAG WOODLAND</t>
  </si>
  <si>
    <t>LUNCH BAG PINK POLKADOT</t>
  </si>
  <si>
    <t>GUMBALL COAT RACK</t>
  </si>
  <si>
    <t>84625C</t>
  </si>
  <si>
    <t>BLUE NEW BAROQUE CANDLESTICK CANDLE</t>
  </si>
  <si>
    <t>84625A</t>
  </si>
  <si>
    <t>PINK NEW BAROQUECANDLESTICK CANDLE</t>
  </si>
  <si>
    <t>FAIRY CAKE FLANNEL ASSORTED COLOUR</t>
  </si>
  <si>
    <t>BREAD BIN DINER STYLE PINK</t>
  </si>
  <si>
    <t>47570B</t>
  </si>
  <si>
    <t>TEA TIME TABLE CLOTH</t>
  </si>
  <si>
    <t xml:space="preserve">HOT WATER BOTTLE BABUSHKA </t>
  </si>
  <si>
    <t>Netherlands</t>
  </si>
  <si>
    <t>HEART IVORY TRELLIS SMALL</t>
  </si>
  <si>
    <t>PINK DRAWER KNOB ACRYLIC EDWARDIAN</t>
  </si>
  <si>
    <t>GREEN DRAWER KNOB ACRYLIC EDWARDIAN</t>
  </si>
  <si>
    <t>BLUE DRAWER KNOB ACRYLIC EDWARDIAN</t>
  </si>
  <si>
    <t>SET 6 FOOTBALL CELEBRATION CANDLES</t>
  </si>
  <si>
    <t>SET OF 6 GIRLS CELEBRATION CANDLES</t>
  </si>
  <si>
    <t>85049C</t>
  </si>
  <si>
    <t xml:space="preserve">ROMANTIC PINKS RIBBONS </t>
  </si>
  <si>
    <t>85049D</t>
  </si>
  <si>
    <t xml:space="preserve">BRIGHT BLUES RIBBONS </t>
  </si>
  <si>
    <t>85049G</t>
  </si>
  <si>
    <t xml:space="preserve">CHOCOLATE BOX RIBBONS </t>
  </si>
  <si>
    <t>PARTY INVITES FOOTBALL</t>
  </si>
  <si>
    <t>PARTY INVITES JAZZ HEARTS</t>
  </si>
  <si>
    <t>PARTY INVITES SPACEMAN</t>
  </si>
  <si>
    <t>SET OF 3 BUTTERFLY COOKIE CUTTERS</t>
  </si>
  <si>
    <t>SET OF 3 HEART COOKIE CUTTERS</t>
  </si>
  <si>
    <t>3 PIECE SPACEBOY COOKIE CUTTER SET</t>
  </si>
  <si>
    <t>PACK OF 72 SKULL CAKE CASES</t>
  </si>
  <si>
    <t>PACK OF 60 SPACEBOY CAKE CASES</t>
  </si>
  <si>
    <t>72 SWEETHEART FAIRY CAKE CASES</t>
  </si>
  <si>
    <t xml:space="preserve">LUNCH BAG SUKI  DESIGN </t>
  </si>
  <si>
    <t>LUNCH BAG CARS BLUE</t>
  </si>
  <si>
    <t>LUNCH BAG  BLACK SKULL.</t>
  </si>
  <si>
    <t>HEART IVORY TRELLIS LARGE</t>
  </si>
  <si>
    <t>SET/5 RED RETROSPOT LID GLASS BOWLS</t>
  </si>
  <si>
    <t>MAGIC DRAWING SLATE DINOSAUR</t>
  </si>
  <si>
    <t xml:space="preserve">MAGIC DRAWING SLATE BAKE A CAKE </t>
  </si>
  <si>
    <t>12 PENCILS TALL TUBE SKULLS</t>
  </si>
  <si>
    <t xml:space="preserve">RED  HARMONICA IN BOX </t>
  </si>
  <si>
    <t xml:space="preserve">BLUE HARMONICA IN BOX </t>
  </si>
  <si>
    <t xml:space="preserve">SKULLS  WATER TRANSFER TATTOOS </t>
  </si>
  <si>
    <t xml:space="preserve">PACK 3 BOXES BIRD PANNETONE </t>
  </si>
  <si>
    <t>SET OF 20 KIDS COOKIE CUTTERS</t>
  </si>
  <si>
    <t>10 COLOUR SPACEBOY PEN</t>
  </si>
  <si>
    <t>VICTORIAN GLASS HANGING T-LIGHT</t>
  </si>
  <si>
    <t>84970L</t>
  </si>
  <si>
    <t>SINGLE HEART ZINC T-LIGHT HOLDER</t>
  </si>
  <si>
    <t>HANGING METAL STAR LANTERN</t>
  </si>
  <si>
    <t>SILVER HANGING T-LIGHT HOLDER</t>
  </si>
  <si>
    <t>DOORMAT RED RETROSPOT</t>
  </si>
  <si>
    <t>DOORMAT HEARTS</t>
  </si>
  <si>
    <t>NATURAL SLATE RECTANGLE CHALKBOARD</t>
  </si>
  <si>
    <t xml:space="preserve">LOVEBIRD HANGING DECORATION WHITE </t>
  </si>
  <si>
    <t>PENS ASSORTED FUNNY FACE</t>
  </si>
  <si>
    <t>CARD CIRCUS PARADE</t>
  </si>
  <si>
    <t xml:space="preserve">WRAP COWBOYS  </t>
  </si>
  <si>
    <t>AIRLINE BAG VINTAGE TOKYO 78</t>
  </si>
  <si>
    <t>SET OF 72 RETROSPOT PAPER  DOILIES</t>
  </si>
  <si>
    <t>SLEEPING CAT ERASERS</t>
  </si>
  <si>
    <t>CARD BIRTHDAY COWBOY</t>
  </si>
  <si>
    <t>PACK 3 BOXES CHRISTMAS PANNETONE</t>
  </si>
  <si>
    <t>ROTATING SILVER ANGELS T-LIGHT HLDR</t>
  </si>
  <si>
    <t xml:space="preserve">RIBBON REEL MAKING SNOWMEN </t>
  </si>
  <si>
    <t>4 TRADITIONAL SPINNING TOPS</t>
  </si>
  <si>
    <t>BAG 500g SWIRLY MARBLES</t>
  </si>
  <si>
    <t>90199C</t>
  </si>
  <si>
    <t>5 STRAND GLASS NECKLACE CRYSTAL</t>
  </si>
  <si>
    <t>SQUARECUSHION COVER PINK UNION FLAG</t>
  </si>
  <si>
    <t>SPACEBOY CHILDRENS EGG CUP</t>
  </si>
  <si>
    <t>CHILDREN'S SPACEBOY MUG</t>
  </si>
  <si>
    <t>FELTCRAFT CUSHION OWL</t>
  </si>
  <si>
    <t>BLACK CANDELABRA T-LIGHT HOLDER</t>
  </si>
  <si>
    <t>TOY TIDY DOLLY GIRL DESIGN</t>
  </si>
  <si>
    <t>SET 12 LAVENDER  BOTANICAL T-LIGHTS</t>
  </si>
  <si>
    <t>UNION JACK FLAG LUGGAGE TAG</t>
  </si>
  <si>
    <t>RED HEART LUGGAGE TAG</t>
  </si>
  <si>
    <t>90129F</t>
  </si>
  <si>
    <t>RED GLASS TASSLE BAG CHARM</t>
  </si>
  <si>
    <t>90210B</t>
  </si>
  <si>
    <t>CLEAR ACRYLIC FACETED BANGLE</t>
  </si>
  <si>
    <t>DOORMAT UNION JACK GUNS AND ROSES</t>
  </si>
  <si>
    <t>72802C</t>
  </si>
  <si>
    <t>VANILLA SCENT CANDLE JEWELLED BOX</t>
  </si>
  <si>
    <t>FULL ENGLISH BREAKFAST PLATE</t>
  </si>
  <si>
    <t xml:space="preserve">MAGIC DRAWING SLATE CIRCUS PARADE  </t>
  </si>
  <si>
    <t>CHRISTMAS HANGING HEART WITH BELL</t>
  </si>
  <si>
    <t>CAKE STAND VICTORIAN FILIGREE MED</t>
  </si>
  <si>
    <t>PAISLEY PATTERN  STICKERS</t>
  </si>
  <si>
    <t>FLOWERS  STICKERS</t>
  </si>
  <si>
    <t>85169B</t>
  </si>
  <si>
    <t>BLACK LOVE BIRD CANDLE</t>
  </si>
  <si>
    <t>PARTY TIME PENCIL ERASERS</t>
  </si>
  <si>
    <t>PINK B'FLY C/COVER W BOBBLES</t>
  </si>
  <si>
    <t>PINK UNION JACK  LUGGAGE TAG</t>
  </si>
  <si>
    <t xml:space="preserve">6 RIBBONS ELEGANT CHRISTMAS </t>
  </si>
  <si>
    <t>AGED GLASS SILVER T-LIGHT HOLDER</t>
  </si>
  <si>
    <t>BOOM BOX SPEAKER GIRLS</t>
  </si>
  <si>
    <t xml:space="preserve">6 RIBBONS SHIMMERING PINKS </t>
  </si>
  <si>
    <t>JUMBO BAG OWLS</t>
  </si>
  <si>
    <t>OWL DOORSTOP</t>
  </si>
  <si>
    <t>PAINTED METAL STAR WITH HOLLY BELLS</t>
  </si>
  <si>
    <t>PAINTED METAL HEART WITH HOLLY BELL</t>
  </si>
  <si>
    <t>ANGEL DECORATION STARS ON DRESS</t>
  </si>
  <si>
    <t>85099F</t>
  </si>
  <si>
    <t>JUMBO BAG STRAWBERRY</t>
  </si>
  <si>
    <t>STRAWBERRY SHOPPER BAG</t>
  </si>
  <si>
    <t xml:space="preserve">ROUND SNACK BOXES SET OF 4 FRUITS </t>
  </si>
  <si>
    <t>ROUND SNACK BOXES SET OF 4 SKULLS</t>
  </si>
  <si>
    <t>DOLLY GIRL LUNCH BOX</t>
  </si>
  <si>
    <t xml:space="preserve">GREEN POLKADOT PLATE </t>
  </si>
  <si>
    <t xml:space="preserve">BLUE POLKADOT PLATE </t>
  </si>
  <si>
    <t xml:space="preserve">RED RETROSPOT PLATE </t>
  </si>
  <si>
    <t xml:space="preserve">PINK  POLKADOT PLATE </t>
  </si>
  <si>
    <t>FELTCRAFT DOLL MOLLY</t>
  </si>
  <si>
    <t>FELTCRAFT CHRISTMAS FAIRY</t>
  </si>
  <si>
    <t>SET OF 3 NOTEBOOKS IN PARCEL</t>
  </si>
  <si>
    <t>RED RETROSPOT TAPE</t>
  </si>
  <si>
    <t xml:space="preserve">COSY SLIPPER SHOES SMALL  RED </t>
  </si>
  <si>
    <t>6 RIBBONS RUSTIC CHARM</t>
  </si>
  <si>
    <t>12 DAISY PEGS IN WOOD BOX</t>
  </si>
  <si>
    <t>5 HOOK HANGER RED MAGIC TOADSTOOL</t>
  </si>
  <si>
    <t>CHRISTMAS CRAFT TREE TOP ANGEL</t>
  </si>
  <si>
    <t>CHRISTMAS CRAFT LITTLE FRIENDS</t>
  </si>
  <si>
    <t>COSY SLIPPER SHOES SMALL GREEN</t>
  </si>
  <si>
    <t>FELTCRAFT DOLL ROSIE</t>
  </si>
  <si>
    <t>FELTCRAFT DOLL EMILY</t>
  </si>
  <si>
    <t>FELTCRAFT PRINCESS OLIVIA DOLL</t>
  </si>
  <si>
    <t>REX CASH+CARRY JUMBO SHOPPER</t>
  </si>
  <si>
    <t>FELTCRAFT CUSHION RABBIT</t>
  </si>
  <si>
    <t>FELTCRAFT CUSHION BUTTERFLY</t>
  </si>
  <si>
    <t>TOTE BAG I LOVE LONDON</t>
  </si>
  <si>
    <t>FOLDING UMBRELLA PINKWHITE POLKADOT</t>
  </si>
  <si>
    <t>FOLDING UMBRELLA CREAM POLKADOT</t>
  </si>
  <si>
    <t>FOLDING UMBRELLA WHITE/RED POLKADOT</t>
  </si>
  <si>
    <t>SET 10 LIGHTS NIGHT OWL</t>
  </si>
  <si>
    <t>FOLDING UMBRELLA RED/WHITE POLKADOT</t>
  </si>
  <si>
    <t>85184C</t>
  </si>
  <si>
    <t>S/4 VALENTINE DECOUPAGE HEART BOX</t>
  </si>
  <si>
    <t xml:space="preserve">SOLDIERS EGG CUP </t>
  </si>
  <si>
    <t>RED RETROSPOT MINI CASES</t>
  </si>
  <si>
    <t>60 CAKE CASES VINTAGE CHRISTMAS</t>
  </si>
  <si>
    <t>RIBBON REEL CHRISTMAS SOCK BAUBLE</t>
  </si>
  <si>
    <t>RIBBON REEL SNOWY VILLAGE</t>
  </si>
  <si>
    <t>SET OF 20 VINTAGE CHRISTMAS NAPKINS</t>
  </si>
  <si>
    <t>35591T</t>
  </si>
  <si>
    <t xml:space="preserve">TURQUOISE CHRISTMAS TREE </t>
  </si>
  <si>
    <t>RED STAR CARD HOLDER</t>
  </si>
  <si>
    <t>WICKER WREATH SMALL</t>
  </si>
  <si>
    <t>ADVENT CALENDAR GINGHAM SACK</t>
  </si>
  <si>
    <t>FELTCRAFT BUTTERFLY HEARTS</t>
  </si>
  <si>
    <t xml:space="preserve">PARTY CONE CHRISTMAS DECORATION </t>
  </si>
  <si>
    <t xml:space="preserve">WICKER STAR </t>
  </si>
  <si>
    <t>VINTAGE SNAP CARDS</t>
  </si>
  <si>
    <t>FELTCRAFT 6 FLOWER FRIENDS</t>
  </si>
  <si>
    <t>BIRD DECORATION RED RETROSPOT</t>
  </si>
  <si>
    <t>CHRISTMAS GINGHAM TREE</t>
  </si>
  <si>
    <t>CHRISTMAS GINGHAM STAR</t>
  </si>
  <si>
    <t>CHRISTMAS GINGHAM HEART</t>
  </si>
  <si>
    <t>PACK OF 12 PINK POLKADOT TISSUES</t>
  </si>
  <si>
    <t>FELTCRAFT PRINCESS LOLA DOLL</t>
  </si>
  <si>
    <t xml:space="preserve">PACK OF 12 LONDON TISSUES </t>
  </si>
  <si>
    <t>PURPLE DRAWERKNOB ACRYLIC EDWARDIAN</t>
  </si>
  <si>
    <t xml:space="preserve">CHILDREN'S APRON DOLLY GIRL </t>
  </si>
  <si>
    <t>CHILDRENS APRON SPACEBOY DESIGN</t>
  </si>
  <si>
    <t xml:space="preserve">CHRISTMAS LIGHTS 10 SANTAS </t>
  </si>
  <si>
    <t>PACK OF 60 MUSHROOM CAKE CASES</t>
  </si>
  <si>
    <t>60 CAKE CASES DOLLY GIRL DESIGN</t>
  </si>
  <si>
    <t>HAND WARMER BABUSHKA DESIGN</t>
  </si>
  <si>
    <t>SET 12 RETRO WHITE CHALK STICKS</t>
  </si>
  <si>
    <t>FELTCRAFT HAIRBAND RED AND BLUE</t>
  </si>
  <si>
    <t>FELTCRAFT HAIRBAND PINK AND PURPLE</t>
  </si>
  <si>
    <t xml:space="preserve">FELTCRAFT HAIRBANDS PINK AND WHITE </t>
  </si>
  <si>
    <t>TV DINNER TRAY DOLLY GIRL</t>
  </si>
  <si>
    <t>PLASTERS IN TIN SPACEBOY</t>
  </si>
  <si>
    <t>PLASTERS IN TIN WOODLAND ANIMALS</t>
  </si>
  <si>
    <t xml:space="preserve">MAGIC DRAWING SLATE SPACEBOY </t>
  </si>
  <si>
    <t xml:space="preserve">MAGIC DRAWING SLATE GO TO THE FAIR </t>
  </si>
  <si>
    <t xml:space="preserve">MAGIC DRAWING SLATE DOLLY GIRL </t>
  </si>
  <si>
    <t>84032B</t>
  </si>
  <si>
    <t>CHARLIE + LOLA RED HOT WATER BOTTLE</t>
  </si>
  <si>
    <t>85049H</t>
  </si>
  <si>
    <t xml:space="preserve">URBAN BLACK RIBBONS </t>
  </si>
  <si>
    <t>SET OF 6 T-LIGHTS TOADSTOOLS</t>
  </si>
  <si>
    <t>ROTATING LEAVES T-LIGHT HOLDER</t>
  </si>
  <si>
    <t>CUPCAKE LACE PAPER SET 6</t>
  </si>
  <si>
    <t xml:space="preserve">TRADITIONAL WOODEN CATCH CUP GAME </t>
  </si>
  <si>
    <t>S/6 WOODEN SKITTLES IN COTTON BAG</t>
  </si>
  <si>
    <t xml:space="preserve">RED METAL BEACH SPADE </t>
  </si>
  <si>
    <t>BOYS VINTAGE TIN SEASIDE BUCKET</t>
  </si>
  <si>
    <t>GIRLS VINTAGE TIN SEASIDE BUCKET</t>
  </si>
  <si>
    <t>GREY HEART HOT WATER BOTTLE</t>
  </si>
  <si>
    <t xml:space="preserve">KINGS CHOICE TEA CADDY </t>
  </si>
  <si>
    <t>KINGS CHOICE BISCUIT TIN</t>
  </si>
  <si>
    <t>METAL SIGN EMPIRE TEA</t>
  </si>
  <si>
    <t>FAWN BLUE HOT WATER BOTTLE</t>
  </si>
  <si>
    <t>PACK OF 6 BIRDY GIFT TAGS</t>
  </si>
  <si>
    <t>CERAMIC STRAWBERRY MONEY BOX</t>
  </si>
  <si>
    <t>CERAMIC HEART FAIRY CAKE MONEY BANK</t>
  </si>
  <si>
    <t>CERAMIC PIRATE CHEST MONEY BANK</t>
  </si>
  <si>
    <t>DOORSTOP RETROSPOT HEART</t>
  </si>
  <si>
    <t>RETROSPOT BABUSHKA DOORSTOP</t>
  </si>
  <si>
    <t>SWEETHEART WIRE WALL TIDY</t>
  </si>
  <si>
    <t xml:space="preserve">RED RETROSPOT OVEN GLOVE </t>
  </si>
  <si>
    <t>NAMASTE SWAGAT INCENSE</t>
  </si>
  <si>
    <t>CERAMIC STRAWBERRY DESIGN MUG</t>
  </si>
  <si>
    <t>CLASSICAL ROSE SMALL VASE</t>
  </si>
  <si>
    <t>HYACINTH BULB T-LIGHT CANDLES</t>
  </si>
  <si>
    <t xml:space="preserve">CHRISTMAS CRAFT WHITE FAIRY </t>
  </si>
  <si>
    <t xml:space="preserve">COSY HOUR CIGAR BOX MATCHES </t>
  </si>
  <si>
    <t>RED TEA TOWEL CLASSIC DESIGN</t>
  </si>
  <si>
    <t>HEART FILIGREE DOVE  SMALL</t>
  </si>
  <si>
    <t>RETROSPOT CHILDRENS APRON</t>
  </si>
  <si>
    <t>COLOURING PENCILS BROWN TUBE</t>
  </si>
  <si>
    <t>72800E</t>
  </si>
  <si>
    <t>4 IVORY DINNER CANDLES SILVER FLOCK</t>
  </si>
  <si>
    <t>ZINC METAL HEART DECORATION</t>
  </si>
  <si>
    <t>GREEN FERN NOTEBOOK</t>
  </si>
  <si>
    <t>BLUE PAISLEY NOTEBOOK</t>
  </si>
  <si>
    <t>CHRYSANTHEMUM NOTEBOOK</t>
  </si>
  <si>
    <t>LARGE CHINESE STYLE SCISSOR</t>
  </si>
  <si>
    <t>SMALL CHINESE STYLE SCISSOR</t>
  </si>
  <si>
    <t>HANGING GLASS ETCHED TEALIGHT</t>
  </si>
  <si>
    <t>COOKING SET RETROSPOT</t>
  </si>
  <si>
    <t>KINGS CHOICE GIANT TUBE MATCHES</t>
  </si>
  <si>
    <t>PLACE SETTING WHITE STAR</t>
  </si>
  <si>
    <t>S/15 SILVER GLASS BAUBLES IN BAG</t>
  </si>
  <si>
    <t>FRENCH WC SIGN BLUE METAL</t>
  </si>
  <si>
    <t>84849B</t>
  </si>
  <si>
    <t>FAIRY SOAP SOAP HOLDER</t>
  </si>
  <si>
    <t>GREEN GIANT GARDEN THERMOMETER</t>
  </si>
  <si>
    <t>BLUE GIANT GARDEN THERMOMETER</t>
  </si>
  <si>
    <t xml:space="preserve">VICTORIAN SEWING BOX SMALL </t>
  </si>
  <si>
    <t>VICTORIAN SEWING BOX MEDIUM</t>
  </si>
  <si>
    <t>SET/10 RED POLKADOT PARTY CANDLES</t>
  </si>
  <si>
    <t>WASHROOM METAL SIGN</t>
  </si>
  <si>
    <t>90200B</t>
  </si>
  <si>
    <t>BLACK SWEETHEART BRACELET</t>
  </si>
  <si>
    <t>90059B</t>
  </si>
  <si>
    <t>DIAMANTE HAIR GRIP PACK/2 BLACK DIA</t>
  </si>
  <si>
    <t>90185C</t>
  </si>
  <si>
    <t>BLACK DIAMANTE EXPANDABLE RING</t>
  </si>
  <si>
    <t>90059E</t>
  </si>
  <si>
    <t>DIAMANTE HAIR GRIP PACK/2 RUBY</t>
  </si>
  <si>
    <t>90059C</t>
  </si>
  <si>
    <t>DIAMANTE HAIR GRIP PACK/2 MONTANA</t>
  </si>
  <si>
    <t>90200C</t>
  </si>
  <si>
    <t>BLUE SWEETHEART BRACELET</t>
  </si>
  <si>
    <t>90200D</t>
  </si>
  <si>
    <t>PINK SWEETHEART BRACELET</t>
  </si>
  <si>
    <t>90200A</t>
  </si>
  <si>
    <t>PURPLE SWEETHEART BRACELET</t>
  </si>
  <si>
    <t xml:space="preserve">RIBBON REEL CHRISTMAS PRESENT </t>
  </si>
  <si>
    <t>FIRST AID TIN</t>
  </si>
  <si>
    <t>MAKE YOUR OWN MONSOON CARD KIT</t>
  </si>
  <si>
    <t xml:space="preserve">PACK OF 12 HEARTS DESIGN TISSUES </t>
  </si>
  <si>
    <t>HEART FILIGREE DOVE LARGE</t>
  </si>
  <si>
    <t>16258A</t>
  </si>
  <si>
    <t>SWIRLY CIRCULAR RUBBERS IN BAG</t>
  </si>
  <si>
    <t>VINTAGE PAISLEY STATIONERY SET</t>
  </si>
  <si>
    <t>SET/10 BLUE POLKADOT PARTY CANDLES</t>
  </si>
  <si>
    <t>RIBBON REEL SOCKS AND MITTENS</t>
  </si>
  <si>
    <t xml:space="preserve">CHRISTMAS METAL TAGS ASSORTED </t>
  </si>
  <si>
    <t>CHRISTMAS TREE T-LIGHT HOLDER</t>
  </si>
  <si>
    <t xml:space="preserve">STAR  T-LIGHT HOLDER </t>
  </si>
  <si>
    <t xml:space="preserve">HEART T-LIGHT HOLDER </t>
  </si>
  <si>
    <t>MINI FUNKY DESIGN TAPES</t>
  </si>
  <si>
    <t>STAR WOODEN CHRISTMAS DECORATION</t>
  </si>
  <si>
    <t>WOODEN HEART CHRISTMAS SCANDINAVIAN</t>
  </si>
  <si>
    <t>CHRISTMAS RETROSPOT TREE WOOD</t>
  </si>
  <si>
    <t xml:space="preserve">SET/9 CHRISTMAS T-LIGHTS SCENTED </t>
  </si>
  <si>
    <t>BLUE ROSE FABRIC MIRROR</t>
  </si>
  <si>
    <t>THREE CANVAS LUGGAGE TAGS</t>
  </si>
  <si>
    <t>RETROSPOT PARTY BAG + STICKER SET</t>
  </si>
  <si>
    <t>RETROSPOT SMALL TUBE MATCHES</t>
  </si>
  <si>
    <t xml:space="preserve">3D CHRISTMAS STAMPS STICKERS </t>
  </si>
  <si>
    <t>36 FOIL HEART CAKE CASES</t>
  </si>
  <si>
    <t>PACK OF 6 SWEETIE GIFT BOXES</t>
  </si>
  <si>
    <t>85231B</t>
  </si>
  <si>
    <t>CINAMMON SET OF 9 T-LIGHTS</t>
  </si>
  <si>
    <t>85231G</t>
  </si>
  <si>
    <t>ORANGE SCENTED SET/9 T-LIGHTS</t>
  </si>
  <si>
    <t xml:space="preserve">RIBBON REEL STRIPES DESIGN </t>
  </si>
  <si>
    <t>SET OF 2 TINS JARDIN DE PROVENCE</t>
  </si>
  <si>
    <t>MAKE YOUR OWN PLAYTIME CARD KIT</t>
  </si>
  <si>
    <t xml:space="preserve">DINOSAURS  WRITING SET </t>
  </si>
  <si>
    <t xml:space="preserve">SKULLS WRITING SET </t>
  </si>
  <si>
    <t>48173C</t>
  </si>
  <si>
    <t xml:space="preserve">DOORMAT BLACK FLOCK </t>
  </si>
  <si>
    <t>CHRISTMAS DECOUPAGE CANDLE</t>
  </si>
  <si>
    <t>OFFICE MUG WARMER POLKADOT</t>
  </si>
  <si>
    <t>BLACK RECORD COVER FRAME</t>
  </si>
  <si>
    <t xml:space="preserve">RECORD FRAME 7" SINGLE SIZE </t>
  </si>
  <si>
    <t>36 PENCILS TUBE RED RETROSPOT</t>
  </si>
  <si>
    <t>36 PENCILS TUBE WOODLAND</t>
  </si>
  <si>
    <t xml:space="preserve">ROCKING HORSE RED CHRISTMAS </t>
  </si>
  <si>
    <t>REGENCY CAKESTAND 3 TIER</t>
  </si>
  <si>
    <t>VINTAGE UNION JACK BUNTING</t>
  </si>
  <si>
    <t>47563A</t>
  </si>
  <si>
    <t>RETRO LONGBOARD IRONING BOARD COVER</t>
  </si>
  <si>
    <t>84558A</t>
  </si>
  <si>
    <t>3D DOG PICTURE PLAYING CARDS</t>
  </si>
  <si>
    <t>SAVE THE PLANET COTTON TOTE BAG</t>
  </si>
  <si>
    <t>PAPER BUNTING WHITE LACE</t>
  </si>
  <si>
    <t xml:space="preserve">GENTLEMAN SHIRT REPAIR KIT </t>
  </si>
  <si>
    <t xml:space="preserve">CARD I LOVE LONDON </t>
  </si>
  <si>
    <t>MIRRORED WALL ART FOXY</t>
  </si>
  <si>
    <t>MIRRORED WALL ART GENTS</t>
  </si>
  <si>
    <t>AIRLINE BAG VINTAGE JET SET WHITE</t>
  </si>
  <si>
    <t>POTTING SHED SOW 'N' GROW SET</t>
  </si>
  <si>
    <t xml:space="preserve">AIRLINE BAG VINTAGE WORLD CHAMPION </t>
  </si>
  <si>
    <t>PINK HEARTS PAPER GARLAND</t>
  </si>
  <si>
    <t>POTTING SHED SEED ENVELOPES</t>
  </si>
  <si>
    <t>HI TEC ALPINE HAND WARMER</t>
  </si>
  <si>
    <t>46000M</t>
  </si>
  <si>
    <t>POLYESTER FILLER PAD 45x45cm</t>
  </si>
  <si>
    <t xml:space="preserve">CARD DOLLY GIRL </t>
  </si>
  <si>
    <t>CARD BILLBOARD FONT</t>
  </si>
  <si>
    <t>RAINY LADIES BIRTHDAY CARD</t>
  </si>
  <si>
    <t>RED WHITE SCARF  HOT WATER BOTTLE</t>
  </si>
  <si>
    <t>SET OF 2 TEA TOWELS APPLE AND PEARS</t>
  </si>
  <si>
    <t xml:space="preserve">LANTERN CREAM GAZEBO </t>
  </si>
  <si>
    <t>BLUE BIRDHOUSE DECORATION</t>
  </si>
  <si>
    <t>ANTIQUE SILVER TEA GLASS ENGRAVED</t>
  </si>
  <si>
    <t>C536506</t>
  </si>
  <si>
    <t>SET OF 2 WOODEN MARKET CRATES</t>
  </si>
  <si>
    <t>CLASSIC FRENCH STYLE BASKET NATURAL</t>
  </si>
  <si>
    <t>CRAZY DAISY HEART DECORATION</t>
  </si>
  <si>
    <t>CARD HOLDER GINGHAM HEART</t>
  </si>
  <si>
    <t xml:space="preserve">SMALL STRIPES CHOCOLATE GIFT BAG </t>
  </si>
  <si>
    <t>TRAY, BREAKFAST IN BED</t>
  </si>
  <si>
    <t>PIZZA PLATE IN BOX</t>
  </si>
  <si>
    <t>PINK HEART DOTS HOT WATER BOTTLE</t>
  </si>
  <si>
    <t>PLACE SETTING WHITE HEART</t>
  </si>
  <si>
    <t xml:space="preserve">SET OF 4 NAPKIN CHARMS LEAVES   </t>
  </si>
  <si>
    <t xml:space="preserve">SET OF 4 NAPKIN CHARMS STARS   </t>
  </si>
  <si>
    <t>SET OF 4 NAPKIN CHARMS CUTLERY</t>
  </si>
  <si>
    <t>CARAVAN SQUARE TISSUE BOX</t>
  </si>
  <si>
    <t xml:space="preserve">BUTTON BOX </t>
  </si>
  <si>
    <t>12 MESSAGE CARDS WITH ENVELOPES</t>
  </si>
  <si>
    <t xml:space="preserve">SMALL RED BABUSHKA NOTEBOOK </t>
  </si>
  <si>
    <t>HERB MARKER MINT</t>
  </si>
  <si>
    <t>HERB MARKER ROSEMARY</t>
  </si>
  <si>
    <t>HERB MARKER BASIL</t>
  </si>
  <si>
    <t xml:space="preserve">HERB MARKER CHIVES </t>
  </si>
  <si>
    <t>HERB MARKER PARSLEY</t>
  </si>
  <si>
    <t>HERB MARKER THYME</t>
  </si>
  <si>
    <t>METAL MERRY CHRISTMAS WREATH</t>
  </si>
  <si>
    <t>WHITE CHRISTMAS GARLAND STARS TREES</t>
  </si>
  <si>
    <t>RETROSPOT GIANT TUBE MATCHES</t>
  </si>
  <si>
    <t xml:space="preserve">36 FOIL STAR CAKE CASES </t>
  </si>
  <si>
    <t>PACK OF 6 HANDBAG GIFT BOXES</t>
  </si>
  <si>
    <t>GARLAND WOODEN HAPPY EASTER</t>
  </si>
  <si>
    <t>CALENDAR PAPER CUT DESIGN</t>
  </si>
  <si>
    <t>CALENDAR IN SEASON DESIGN</t>
  </si>
  <si>
    <t>BLUE PAISLEY TISSUE BOX</t>
  </si>
  <si>
    <t xml:space="preserve">PINK PAISLEY SQUARE TISSUE BOX </t>
  </si>
  <si>
    <t>TOAST ITS - HAPPY BIRTHDAY</t>
  </si>
  <si>
    <t>SET/10 IVORY POLKADOT PARTY CANDLES</t>
  </si>
  <si>
    <t>SKULLS STORAGE BOX SMALL</t>
  </si>
  <si>
    <t>JUMBO STORAGE BAG SKULLS</t>
  </si>
  <si>
    <t>GARDEN PATH JOURNAL</t>
  </si>
  <si>
    <t>71406C</t>
  </si>
  <si>
    <t>BLACK ORANGE SQUEEZER</t>
  </si>
  <si>
    <t>84985A</t>
  </si>
  <si>
    <t>SET OF 72 GREEN PAPER DOILIES</t>
  </si>
  <si>
    <t>RETROSPOT RED WASHING UP GLOVES</t>
  </si>
  <si>
    <t>84596E</t>
  </si>
  <si>
    <t>SMALL LICORICE DES PINK BOWL</t>
  </si>
  <si>
    <t>SWISS ROLL TOWEL, CHOCOLATE  SPOTS</t>
  </si>
  <si>
    <t>PICNIC BASKET WICKER LARGE</t>
  </si>
  <si>
    <t>AMOUNT</t>
  </si>
  <si>
    <t>QUICK STATISTICS</t>
  </si>
  <si>
    <t>AVERAGE</t>
  </si>
  <si>
    <t>MIN</t>
  </si>
  <si>
    <t>MAX</t>
  </si>
  <si>
    <t>Quantity_BEFORE</t>
  </si>
  <si>
    <t>QUANTITY</t>
  </si>
  <si>
    <t>UNIT PRICE</t>
  </si>
  <si>
    <t xml:space="preserve">MEDIAN </t>
  </si>
  <si>
    <t>1Q</t>
  </si>
  <si>
    <t>3Q</t>
  </si>
  <si>
    <t>Row Labels</t>
  </si>
  <si>
    <t>Sum of UnitPrice</t>
  </si>
  <si>
    <t xml:space="preserve">   2.                    EXPLORATORY DATA ANALYSIS</t>
  </si>
  <si>
    <t>SALES</t>
  </si>
  <si>
    <t>SALES ANALYSIS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</si>
</sst>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8"/>
      <color theme="1"/>
      <name val="Calibri"/>
      <family val="2"/>
      <scheme val="minor"/>
    </font>
    <font>
      <sz val="28"/>
      <color theme="1"/>
      <name val="Calibri"/>
      <family val="2"/>
      <scheme val="minor"/>
    </font>
    <font>
      <sz val="36"/>
      <color theme="1"/>
      <name val="Calibri"/>
      <family val="2"/>
      <scheme val="minor"/>
    </font>
    <font>
      <sz val="14"/>
      <color theme="1"/>
      <name val="Calibri"/>
      <family val="2"/>
      <scheme val="minor"/>
    </font>
    <font>
      <sz val="4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
      <patternFill patternType="solid">
        <fgColor theme="4"/>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22" fontId="0" fillId="0" borderId="0" xfId="0" applyNumberFormat="1"/>
    <xf numFmtId="0" fontId="0" fillId="0" borderId="0" xfId="0" applyAlignment="1">
      <alignment horizontal="center"/>
    </xf>
    <xf numFmtId="0" fontId="18" fillId="0" borderId="0" xfId="0" applyFont="1"/>
    <xf numFmtId="0" fontId="18" fillId="34" borderId="0" xfId="0" applyFont="1" applyFill="1"/>
    <xf numFmtId="0" fontId="20" fillId="34" borderId="0" xfId="0" applyFont="1" applyFill="1" applyAlignment="1"/>
    <xf numFmtId="0" fontId="18" fillId="33" borderId="0" xfId="0" applyFont="1" applyFill="1"/>
    <xf numFmtId="0" fontId="18" fillId="35" borderId="0" xfId="0" applyFont="1" applyFill="1"/>
    <xf numFmtId="22" fontId="0" fillId="0" borderId="0" xfId="0" applyNumberFormat="1" applyAlignment="1">
      <alignment horizontal="center"/>
    </xf>
    <xf numFmtId="0" fontId="18" fillId="35" borderId="0" xfId="0" applyFont="1" applyFill="1" applyBorder="1" applyAlignment="1"/>
    <xf numFmtId="0" fontId="18" fillId="35" borderId="0" xfId="0" applyFont="1" applyFill="1" applyBorder="1" applyAlignment="1">
      <alignment horizontal="center"/>
    </xf>
    <xf numFmtId="0" fontId="19" fillId="35" borderId="10" xfId="0" applyFont="1" applyFill="1" applyBorder="1"/>
    <xf numFmtId="0" fontId="19" fillId="35" borderId="10" xfId="0" applyFont="1" applyFill="1" applyBorder="1" applyAlignment="1">
      <alignment horizontal="center" vertical="center"/>
    </xf>
    <xf numFmtId="0" fontId="0" fillId="33" borderId="0" xfId="0" applyFill="1" applyAlignment="1">
      <alignment horizontal="left"/>
    </xf>
    <xf numFmtId="0" fontId="23" fillId="34" borderId="0" xfId="0" applyFont="1" applyFill="1" applyAlignment="1">
      <alignment horizontal="left"/>
    </xf>
    <xf numFmtId="0" fontId="0" fillId="34" borderId="0" xfId="0" applyFill="1"/>
    <xf numFmtId="0" fontId="0" fillId="0" borderId="10" xfId="0" pivotButton="1" applyBorder="1"/>
    <xf numFmtId="0" fontId="0" fillId="0" borderId="10" xfId="0" applyBorder="1"/>
    <xf numFmtId="0" fontId="0" fillId="0" borderId="10" xfId="0" applyBorder="1" applyAlignment="1">
      <alignment horizontal="left"/>
    </xf>
    <xf numFmtId="0" fontId="22" fillId="0" borderId="10" xfId="0" applyNumberFormat="1" applyFont="1" applyBorder="1"/>
    <xf numFmtId="0" fontId="0" fillId="35" borderId="0" xfId="0" applyFill="1"/>
    <xf numFmtId="0" fontId="21" fillId="35" borderId="0" xfId="0" applyFont="1" applyFill="1"/>
    <xf numFmtId="0" fontId="21" fillId="33" borderId="0" xfId="0" applyFont="1" applyFill="1" applyAlignment="1">
      <alignment horizontal="center"/>
    </xf>
    <xf numFmtId="0" fontId="21" fillId="33" borderId="0" xfId="0" applyFont="1" applyFill="1" applyAlignment="1">
      <alignment horizontal="left"/>
    </xf>
    <xf numFmtId="0" fontId="0" fillId="33" borderId="0" xfId="0" applyFill="1" applyAlignment="1">
      <alignment horizontal="left"/>
    </xf>
    <xf numFmtId="0" fontId="20" fillId="35" borderId="0" xfId="0" applyFont="1" applyFill="1" applyAlignment="1">
      <alignment horizontal="center"/>
    </xf>
    <xf numFmtId="0" fontId="19"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9">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4"/>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7" formatCode="dd/mm/yyyy\ h: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b/>
        <i val="0"/>
      </font>
      <border>
        <vertical/>
        <horizontal/>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7" formatCode="dd/mm/yyyy\ h: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[EXCEL_ANALYSIS.xlsx]SALES ANALYSIS BY COUNTRY!PivotTable1</c:name>
    <c:fmtId val="0"/>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2999851677017032"/>
          <c:w val="0.76351567896118244"/>
          <c:h val="0.7589629972723998"/>
        </c:manualLayout>
      </c:layout>
      <c:bar3DChart>
        <c:barDir val="col"/>
        <c:grouping val="clustered"/>
        <c:varyColors val="0"/>
        <c:ser>
          <c:idx val="0"/>
          <c:order val="0"/>
          <c:tx>
            <c:strRef>
              <c:f>'SALES ANALYSIS BY COUNTRY'!$F$3</c:f>
              <c:strCache>
                <c:ptCount val="1"/>
                <c:pt idx="0">
                  <c:v>SALES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ANALYSIS BY COUNTRY'!$E$4</c:f>
              <c:strCache>
                <c:ptCount val="1"/>
                <c:pt idx="0">
                  <c:v>United Kingdom</c:v>
                </c:pt>
              </c:strCache>
            </c:strRef>
          </c:cat>
          <c:val>
            <c:numRef>
              <c:f>'SALES ANALYSIS BY COUNTRY'!$F$4</c:f>
              <c:numCache>
                <c:formatCode>General</c:formatCode>
                <c:ptCount val="1"/>
                <c:pt idx="0">
                  <c:v>5.0999999999999996</c:v>
                </c:pt>
              </c:numCache>
            </c:numRef>
          </c:val>
          <c:extLst>
            <c:ext xmlns:c16="http://schemas.microsoft.com/office/drawing/2014/chart" uri="{C3380CC4-5D6E-409C-BE32-E72D297353CC}">
              <c16:uniqueId val="{00000000-CDAE-4020-869E-2AA3B2DC582E}"/>
            </c:ext>
          </c:extLst>
        </c:ser>
        <c:ser>
          <c:idx val="1"/>
          <c:order val="1"/>
          <c:tx>
            <c:strRef>
              <c:f>'SALES ANALYSIS BY COUNTRY'!$G$3</c:f>
              <c:strCache>
                <c:ptCount val="1"/>
                <c:pt idx="0">
                  <c:v>Sum of UnitPrice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ANALYSIS BY COUNTRY'!$E$4</c:f>
              <c:strCache>
                <c:ptCount val="1"/>
                <c:pt idx="0">
                  <c:v>United Kingdom</c:v>
                </c:pt>
              </c:strCache>
            </c:strRef>
          </c:cat>
          <c:val>
            <c:numRef>
              <c:f>'SALES ANALYSIS BY COUNTRY'!$G$4</c:f>
              <c:numCache>
                <c:formatCode>General</c:formatCode>
                <c:ptCount val="1"/>
                <c:pt idx="0">
                  <c:v>0.85</c:v>
                </c:pt>
              </c:numCache>
            </c:numRef>
          </c:val>
          <c:extLst>
            <c:ext xmlns:c16="http://schemas.microsoft.com/office/drawing/2014/chart" uri="{C3380CC4-5D6E-409C-BE32-E72D297353CC}">
              <c16:uniqueId val="{00000003-CDAE-4020-869E-2AA3B2DC582E}"/>
            </c:ext>
          </c:extLst>
        </c:ser>
        <c:dLbls>
          <c:showLegendKey val="0"/>
          <c:showVal val="1"/>
          <c:showCatName val="0"/>
          <c:showSerName val="0"/>
          <c:showPercent val="0"/>
          <c:showBubbleSize val="0"/>
        </c:dLbls>
        <c:gapWidth val="84"/>
        <c:gapDepth val="53"/>
        <c:shape val="box"/>
        <c:axId val="2006177104"/>
        <c:axId val="2009554448"/>
        <c:axId val="0"/>
      </c:bar3DChart>
      <c:catAx>
        <c:axId val="200617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554448"/>
        <c:crosses val="autoZero"/>
        <c:auto val="1"/>
        <c:lblAlgn val="ctr"/>
        <c:lblOffset val="100"/>
        <c:noMultiLvlLbl val="0"/>
      </c:catAx>
      <c:valAx>
        <c:axId val="2009554448"/>
        <c:scaling>
          <c:orientation val="minMax"/>
        </c:scaling>
        <c:delete val="1"/>
        <c:axPos val="l"/>
        <c:numFmt formatCode="General" sourceLinked="1"/>
        <c:majorTickMark val="out"/>
        <c:minorTickMark val="none"/>
        <c:tickLblPos val="nextTo"/>
        <c:crossAx val="200617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123824</xdr:colOff>
      <xdr:row>3</xdr:row>
      <xdr:rowOff>9524</xdr:rowOff>
    </xdr:from>
    <xdr:to>
      <xdr:col>27</xdr:col>
      <xdr:colOff>314324</xdr:colOff>
      <xdr:row>22</xdr:row>
      <xdr:rowOff>76199</xdr:rowOff>
    </xdr:to>
    <xdr:graphicFrame macro="">
      <xdr:nvGraphicFramePr>
        <xdr:cNvPr id="2" name="Chart 1">
          <a:extLst>
            <a:ext uri="{FF2B5EF4-FFF2-40B4-BE49-F238E27FC236}">
              <a16:creationId xmlns:a16="http://schemas.microsoft.com/office/drawing/2014/main" id="{805C027C-F6B5-4EDB-BBED-2383E146F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114301</xdr:colOff>
      <xdr:row>5</xdr:row>
      <xdr:rowOff>123825</xdr:rowOff>
    </xdr:from>
    <xdr:to>
      <xdr:col>7</xdr:col>
      <xdr:colOff>523875</xdr:colOff>
      <xdr:row>18</xdr:row>
      <xdr:rowOff>76200</xdr:rowOff>
    </xdr:to>
    <mc:AlternateContent xmlns:mc="http://schemas.openxmlformats.org/markup-compatibility/2006">
      <mc:Choice xmlns:a14="http://schemas.microsoft.com/office/drawing/2010/main" Requires="a14">
        <xdr:graphicFrame macro="">
          <xdr:nvGraphicFramePr>
            <xdr:cNvPr id="3" name="Description">
              <a:extLst>
                <a:ext uri="{FF2B5EF4-FFF2-40B4-BE49-F238E27FC236}">
                  <a16:creationId xmlns:a16="http://schemas.microsoft.com/office/drawing/2014/main" id="{18B4CD4F-0E1D-43EE-927C-36FDAD26662D}"/>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dr:sp macro="" textlink="">
          <xdr:nvSpPr>
            <xdr:cNvPr id="0" name=""/>
            <xdr:cNvSpPr>
              <a:spLocks noTextEdit="1"/>
            </xdr:cNvSpPr>
          </xdr:nvSpPr>
          <xdr:spPr>
            <a:xfrm>
              <a:off x="723901" y="1600200"/>
              <a:ext cx="511492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581.848063773148" createdVersion="6" refreshedVersion="6" minRefreshableVersion="3" recordCount="1016" xr:uid="{7F4C5212-99FA-408B-AB6F-3F195549413A}">
  <cacheSource type="worksheet">
    <worksheetSource ref="A1:J1017" sheet="TABLE"/>
  </cacheSource>
  <cacheFields count="10">
    <cacheField name="InvoiceNo" numFmtId="0">
      <sharedItems containsMixedTypes="1" containsNumber="1" containsInteger="1" minValue="536365" maxValue="536520"/>
    </cacheField>
    <cacheField name="StockCode" numFmtId="0">
      <sharedItems containsMixedTypes="1" containsNumber="1" containsInteger="1" minValue="10002" maxValue="85172"/>
    </cacheField>
    <cacheField name="Description" numFmtId="0">
      <sharedItems containsBlank="1" count="602">
        <s v="WHITE HANGING HEART T-LIGHT HOLDER"/>
        <s v="WHITE METAL LANTERN"/>
        <s v="CREAM CUPID HEARTS COAT HANGER"/>
        <s v="KNITTED UNION FLAG HOT WATER BOTTLE"/>
        <s v="RED WOOLLY HOTTIE WHITE HEART."/>
        <s v="SET 7 BABUSHKA NESTING BOXES"/>
        <s v="GLASS STAR FROSTED T-LIGHT HOLDER"/>
        <s v="HAND WARMER UNION JACK"/>
        <s v="HAND WARMER RED POLKA DOT"/>
        <s v="ASSORTED COLOUR BIRD ORNAMENT"/>
        <s v="POPPY'S PLAYHOUSE BEDROOM "/>
        <s v="POPPY'S PLAYHOUSE KITCHEN"/>
        <s v="FELTCRAFT PRINCESS CHARLOTTE DOLL"/>
        <s v="IVORY KNITTED MUG COSY "/>
        <s v="BOX OF 6 ASSORTED COLOUR TEASPOONS"/>
        <s v="BOX OF VINTAGE JIGSAW BLOCKS "/>
        <s v="BOX OF VINTAGE ALPHABET BLOCKS"/>
        <s v="HOME BUILDING BLOCK WORD"/>
        <s v="LOVE BUILDING BLOCK WORD"/>
        <s v="RECIPE BOX WITH METAL HEART"/>
        <s v="DOORMAT NEW ENGLAND"/>
        <s v="JAM MAKING SET WITH JARS"/>
        <s v="RED COAT RACK PARIS FASHION"/>
        <s v="YELLOW COAT RACK PARIS FASHION"/>
        <s v="BLUE COAT RACK PARIS FASHION"/>
        <s v="BATH BUILDING BLOCK WORD"/>
        <s v="ALARM CLOCK BAKELIKE PINK"/>
        <s v="ALARM CLOCK BAKELIKE RED "/>
        <s v="ALARM CLOCK BAKELIKE GREEN"/>
        <s v="PANDA AND BUNNIES STICKER SHEET"/>
        <s v="STARS GIFT TAPE "/>
        <s v="INFLATABLE POLITICAL GLOBE "/>
        <s v="VINTAGE HEADS AND TAILS CARD GAME "/>
        <s v="SET/2 RED RETROSPOT TEA TOWELS "/>
        <s v="ROUND SNACK BOXES SET OF4 WOODLAND "/>
        <s v="SPACEBOY LUNCH BOX "/>
        <s v="LUNCH BOX I LOVE LONDON"/>
        <s v="CIRCUS PARADE LUNCH BOX "/>
        <s v="CHARLOTTE BAG DOLLY GIRL DESIGN"/>
        <s v="RED TOADSTOOL LED NIGHT LIGHT"/>
        <s v=" SET 2 TEA TOWELS I LOVE LONDON "/>
        <s v="VINTAGE SEASIDE JIGSAW PUZZLES"/>
        <s v="MINI JIGSAW CIRCUS PARADE "/>
        <s v="MINI JIGSAW SPACEBOY"/>
        <s v="MINI PAINT SET VINTAGE "/>
        <s v="POSTAGE"/>
        <s v="PAPER CHAIN KIT 50'S CHRISTMAS "/>
        <s v="EDWARDIAN PARASOL RED"/>
        <s v="RETRO COFFEE MUGS ASSORTED"/>
        <s v="SAVE THE PLANET MUG"/>
        <s v="VINTAGE BILLBOARD DRINK ME MUG"/>
        <s v="VINTAGE BILLBOARD LOVE/HATE MUG"/>
        <s v="WOOD 2 DRAWER CABINET WHITE FINISH"/>
        <s v="WOOD S/3 CABINET ANT WHITE FINISH"/>
        <s v="WOODEN PICTURE FRAME WHITE FINISH"/>
        <s v="WOODEN FRAME ANTIQUE WHITE "/>
        <s v="VICTORIAN SEWING BOX LARGE"/>
        <s v="HOT WATER BOTTLE TEA AND SYMPATHY"/>
        <s v="RED HANGING HEART T-LIGHT HOLDER"/>
        <s v="JUMBO BAG PINK POLKADOT"/>
        <s v="JUMBO  BAG BAROQUE BLACK WHITE"/>
        <s v="JUMBO BAG CHARLIE AND LOLA TOYS"/>
        <s v="STRAWBERRY CHARLOTTE BAG"/>
        <s v="RED 3 PIECE RETROSPOT CUTLERY SET"/>
        <s v="BLUE 3 PIECE POLKADOT CUTLERY SET"/>
        <s v="SET/6 RED SPOTTY PAPER PLATES"/>
        <s v="LUNCH BAG RED RETROSPOT"/>
        <s v="STRAWBERRY LUNCH BOX WITH CUTLERY"/>
        <s v="LUNCH BOX WITH CUTLERY RETROSPOT "/>
        <s v="PACK OF 72 RETROSPOT CAKE CASES"/>
        <s v="PACK OF 60 DINOSAUR CAKE CASES"/>
        <s v="PACK OF 60 PINK PAISLEY CAKE CASES"/>
        <s v="60 TEATIME FAIRY CAKE CASES"/>
        <s v="TOMATO CHARLIE+LOLA COASTER SET"/>
        <s v="CHARLIE &amp; LOLA WASTEPAPER BIN FLORA"/>
        <s v="RED CHARLIE+LOLA PERSONAL DOORSIGN"/>
        <s v="JUMBO STORAGE BAG SUKI"/>
        <s v="JUMBO BAG PINK VINTAGE PAISLEY"/>
        <s v="JAM MAKING SET PRINTED"/>
        <s v="RETROSPOT TEA SET CERAMIC 11 PC "/>
        <s v="GIRLY PINK TOOL SET"/>
        <s v="JUMBO SHOPPER VINTAGE RED PAISLEY"/>
        <s v="AIRLINE LOUNGE,METAL SIGN"/>
        <s v="WHITE SPOT RED CERAMIC DRAWER KNOB"/>
        <s v="RED DRAWER KNOB ACRYLIC EDWARDIAN"/>
        <s v="CLEAR DRAWER KNOB ACRYLIC EDWARDIAN"/>
        <s v="PHOTO CLIP LINE"/>
        <s v="FELT EGG COSY CHICKEN"/>
        <s v="PIGGY BANK RETROSPOT "/>
        <s v="SKULL SHOULDER BAG"/>
        <s v="YOU'RE CONFUSING ME METAL SIGN "/>
        <s v="COOK WITH WINE METAL SIGN "/>
        <s v="GIN + TONIC DIET METAL SIGN"/>
        <s v="YELLOW BREAKFAST CUP AND SAUCER"/>
        <s v="PINK BREAKFAST CUP AND SAUCER "/>
        <s v="PAPER CHAIN KIT RETROSPOT"/>
        <s v="SMALL HEART FLOWERS HOOK "/>
        <s v="TEA TIME DES TEA COSY"/>
        <s v="FELT EGG COSY WHITE RABBIT "/>
        <s v="ZINC WILLIE WINKIE  CANDLE STICK"/>
        <s v="CERAMIC CHERRY CAKE MONEY BANK"/>
        <s v="RETROSPOT LARGE MILK JUG"/>
        <s v="SET OF 6 FUNKY BEAKERS"/>
        <s v="EDWARDIAN PARASOL BLACK"/>
        <s v="EDWARDIAN PARASOL NATURAL"/>
        <s v="CERAMIC STRAWBERRY CAKE MONEY BANK"/>
        <s v="BLUE OWL SOFT TOY"/>
        <s v="BALLOON ART MAKE YOUR OWN FLOWERS"/>
        <s v="GLASS CLOCHE SMALL"/>
        <s v="GUMBALL MONOCHROME COAT RACK"/>
        <s v="DOORMAT FANCY FONT HOME SWEET HOME"/>
        <s v="Discount"/>
        <s v="VINTAGE SNAKES &amp; LADDERS"/>
        <s v="CHOCOLATE CALCULATOR"/>
        <s v="RECYCLING BAG RETROSPOT "/>
        <s v="TOY TIDY PINK POLKADOT"/>
        <s v="ANTIQUE GLASS DRESSING TABLE POT"/>
        <s v="IVORY GIANT GARDEN THERMOMETER"/>
        <s v="3 TIER CAKE TIN GREEN AND CREAM"/>
        <s v="3 TIER CAKE TIN RED AND CREAM"/>
        <s v="SET 3 WICKER OVAL BASKETS W LIDS"/>
        <s v="SET OF 3 COLOURED  FLYING DUCKS"/>
        <s v="WOOD BLACK BOARD ANT WHITE FINISH"/>
        <s v="COLOUR GLASS T-LIGHT HOLDER HANGING"/>
        <s v="HANGING METAL HEART LANTERN"/>
        <s v="HANGING MEDINA LANTERN SMALL"/>
        <s v="NATURAL SLATE HEART CHALKBOARD "/>
        <s v="HEART OF WICKER SMALL"/>
        <s v="HEART OF WICKER LARGE"/>
        <s v="WHITE LOVEBIRD LANTERN"/>
        <s v="CLASSIC METAL BIRDCAGE PLANT HOLDER"/>
        <s v="CREAM HEART CARD HOLDER"/>
        <s v="ENAMEL FLOWER JUG CREAM"/>
        <s v="ENAMEL FIRE BUCKET CREAM"/>
        <s v="ENAMEL BREAD BIN CREAM"/>
        <s v="JUMBO BAG DOLLY GIRL DESIGN"/>
        <s v="TRADITIONAL CHRISTMAS RIBBONS"/>
        <s v="ORGANISER WOOD ANTIQUE WHITE "/>
        <s v="LUNCH BAG DOLLY GIRL DESIGN"/>
        <s v="WHITE WIRE EGG HOLDER"/>
        <s v="JUMBO BAG RED RETROSPOT"/>
        <s v="CHILLI LIGHTS"/>
        <s v="LIGHT GARLAND BUTTERFILES PINK"/>
        <s v="WOODEN OWLS LIGHT GARLAND "/>
        <s v="FAIRY TALE COTTAGE NIGHTLIGHT"/>
        <s v="HOME SMALL WOOD LETTERS"/>
        <s v="GINGHAM HEART  DOORSTOP RED"/>
        <s v="FIVE HEART HANGING DECORATION"/>
        <s v="ASSORTED BOTTLE TOP  MAGNETS "/>
        <s v="FRIDGE MAGNETS US DINER ASSORTED"/>
        <s v="HOMEMADE JAM SCENTED CANDLES"/>
        <s v="FRIDGE MAGNETS LES ENFANTS ASSORTED"/>
        <s v="ROSE CARAVAN DOORSTOP"/>
        <s v="5 HOOK HANGER MAGIC TOADSTOOL"/>
        <s v="CHRISTMAS LIGHTS 10 REINDEER"/>
        <s v="VINTAGE UNION JACK CUSHION COVER"/>
        <s v="SET OF 3 GOLD FLYING DUCKS"/>
        <s v="RED RETROSPOT UMBRELLA"/>
        <s v="BLACK/BLUE POLKADOT UMBRELLA"/>
        <s v="RED DINER WALL CLOCK"/>
        <s v="BLUE DINER WALL CLOCK"/>
        <s v="IVORY DINER WALL CLOCK"/>
        <s v="LARGE HEART MEASURING SPOONS"/>
        <s v="SMALL HEART MEASURING SPOONS"/>
        <s v="JAM JAR WITH PINK LID"/>
        <s v="JAM JAR WITH GREEN LID"/>
        <s v="ROSE COTTAGE KEEPSAKE BOX "/>
        <s v="HANGING HEART ZINC T-LIGHT HOLDER"/>
        <s v="PAPER CHAIN KIT VINTAGE CHRISTMAS"/>
        <s v="DISCO BALL CHRISTMAS DECORATION"/>
        <s v="SMALL POPCORN HOLDER"/>
        <s v="LARGE POPCORN HOLDER "/>
        <s v="SET/20 RED RETROSPOT PAPER NAPKINS "/>
        <s v="SET/6 RED SPOTTY PAPER CUPS"/>
        <s v="POLKADOT RAIN HAT "/>
        <s v="DELUXE SEWING KIT "/>
        <s v="RETROSPOT HEART HOT WATER BOTTLE"/>
        <s v="ENGLISH ROSE HOT WATER BOTTLE"/>
        <s v="PHOTO CUBE"/>
        <s v="PLASTERS IN TIN CIRCUS PARADE "/>
        <s v="PACK OF 12 PINK PAISLEY TISSUES "/>
        <s v="PACK OF 12 BLUE PAISLEY TISSUES "/>
        <s v="PACK OF 12 RED RETROSPOT TISSUES "/>
        <s v="CHICK GREY HOT WATER BOTTLE"/>
        <s v="PLASTERS IN TIN VINTAGE PAISLEY "/>
        <s v="PLASTERS IN TIN SKULLS"/>
        <s v="3 STRIPEY MICE FELTCRAFT"/>
        <s v="SET OF 6 SOLDIER SKITTLES"/>
        <s v="TRADITIONAL WOODEN SKIPPING ROPE"/>
        <s v="WOODEN BOX OF DOMINOES"/>
        <s v="RUSTIC  SEVENTEEN DRAWER SIDEBOARD"/>
        <s v="PARTY CONES CARNIVAL ASSORTED"/>
        <s v="PARTY CONES CANDY ASSORTED"/>
        <s v="PICNIC BASKET WICKER SMALL"/>
        <s v="STAR DECORATION PAINTED ZINC "/>
        <s v="RETROSPOT LAMP"/>
        <s v="FANCY FONT BIRTHDAY CARD, "/>
        <s v="HAND WARMER SCOTTY DOG DESIGN"/>
        <s v="HAND WARMER OWL DESIGN"/>
        <s v="HAND WARMER RED RETROSPOT"/>
        <s v="DOG BOWL CHASING BALL DESIGN"/>
        <s v="CLOTHES PEGS RETROSPOT PACK 24 "/>
        <s v="HAND OVER THE CHOCOLATE   SIGN "/>
        <s v="TRAVEL SEWING KIT"/>
        <s v="BLACK HEART CARD HOLDER"/>
        <s v="SMALL GLASS HEART TRINKET POT"/>
        <s v="ALARM CLOCK BAKELIKE IVORY"/>
        <s v="ALARM CLOCK BAKELIKE ORANGE"/>
        <s v="HAND WARMER BIRD DESIGN"/>
        <s v="IVORY EMBROIDERED QUILT "/>
        <s v="SET OF 3 BLACK FLYING DUCKS"/>
        <s v="RED RETROSPOT MUG"/>
        <s v="BABUSHKA LIGHTS STRING OF 10"/>
        <s v="DOORMAT FAIRY CAKE"/>
        <s v="STRAWBERRY CERAMIC TRINKET BOX"/>
        <s v="PINK DOUGHNUT TRINKET POT "/>
        <s v="SILK PURSE BABUSHKA PINK"/>
        <s v="HOT WATER BOTTLE I AM SO POORLY"/>
        <s v="CHOCOLATE HOT WATER BOTTLE"/>
        <s v="WHITE SKULL HOT WATER BOTTLE "/>
        <s v="SCOTTIE DOG HOT WATER BOTTLE"/>
        <s v="BIRD HOUSE HOT WATER BOTTLE"/>
        <s v="BOUDOIR SQUARE TISSUE BOX"/>
        <s v="SKULLS SQUARE TISSUE BOX"/>
        <s v="PHOTO FRAME CORNICE"/>
        <s v="SILK PURSE BABUSHKA RED"/>
        <s v="PICTURE DOMINOES"/>
        <s v="S/6 SEW ON CROCHET FLOWERS"/>
        <s v="SCANDINAVIAN REDS RIBBONS"/>
        <s v="BALLOONS  WRITING SET "/>
        <s v="LAVENDER INCENSE IN TIN"/>
        <s v="TV DINNER TRAY VINTAGE PAISLEY"/>
        <s v="SET OF 4 ENGLISH ROSE PLACEMATS"/>
        <s v="SET OF 4 ENGLISH ROSE COASTERS"/>
        <s v="TRIPLE PHOTO FRAME CORNICE "/>
        <s v="FAMILY PHOTO FRAME CORNICE"/>
        <s v="MIRRORED DISCO BALL "/>
        <s v="DISCO BALL ROTATOR BATTERY OPERATED"/>
        <s v="SILVER LOOKING MIRROR"/>
        <s v="LADIES &amp; GENTLEMEN METAL SIGN"/>
        <s v="METAL SIGN HER DINNER IS SERVED "/>
        <s v="DOORMAT TOPIARY"/>
        <s v="BATHROOM METAL SIGN"/>
        <s v="KITCHEN METAL SIGN"/>
        <s v="TOILET METAL SIGN"/>
        <s v="METAL SIGN TAKE IT OR LEAVE IT "/>
        <s v="I'M ON HOLIDAY METAL SIGN"/>
        <s v="GROW YOUR OWN BASIL IN ENAMEL MUG"/>
        <s v="SET/10 PINK POLKADOT PARTY CANDLES"/>
        <s v="SET 20 NAPKINS FAIRY CAKES DESIGN "/>
        <s v="SET OF 6 T-LIGHTS SNOWMEN"/>
        <s v="SET OF 6 T-LIGHTS SANTA"/>
        <s v="SET OF 9 HEART SHAPED BALLOONS"/>
        <s v="SANDWICH BATH SPONGE"/>
        <s v="APPLE BATH SPONGE"/>
        <s v="STRAWBERRY BATH SPONGE "/>
        <s v="BLACK PIRATE TREASURE CHEST"/>
        <s v="STAR PORTABLE TABLE LIGHT "/>
        <s v="SNOWFLAKE PORTABLE TABLE LIGHT "/>
        <s v="PINK OVAL JEWELLED MIRROR"/>
        <s v="RETROSPOT CIGAR BOX MATCHES "/>
        <s v="COSY HOUR GIANT TUBE MATCHES"/>
        <s v="JAZZ HEARTS PURSE NOTEBOOK"/>
        <s v="CANDLEHOLDER PINK HANGING HEART"/>
        <s v="ASSORTED COLOUR MINI CASES"/>
        <s v="LUNCH BAG SPACEBOY DESIGN "/>
        <s v="LUNCH BAG WOODLAND"/>
        <s v="LUNCH BAG PINK POLKADOT"/>
        <s v="GUMBALL COAT RACK"/>
        <s v="BLUE NEW BAROQUE CANDLESTICK CANDLE"/>
        <s v="PINK NEW BAROQUECANDLESTICK CANDLE"/>
        <s v="FAIRY CAKE FLANNEL ASSORTED COLOUR"/>
        <s v="BREAD BIN DINER STYLE PINK"/>
        <s v="TEA TIME TABLE CLOTH"/>
        <s v="HOT WATER BOTTLE BABUSHKA "/>
        <s v="HEART IVORY TRELLIS SMALL"/>
        <s v="PINK DRAWER KNOB ACRYLIC EDWARDIAN"/>
        <s v="GREEN DRAWER KNOB ACRYLIC EDWARDIAN"/>
        <s v="BLUE DRAWER KNOB ACRYLIC EDWARDIAN"/>
        <s v="SET 6 FOOTBALL CELEBRATION CANDLES"/>
        <s v="SET OF 6 GIRLS CELEBRATION CANDLES"/>
        <s v="ROMANTIC PINKS RIBBONS "/>
        <s v="BRIGHT BLUES RIBBONS "/>
        <s v="CHOCOLATE BOX RIBBONS "/>
        <s v="PARTY INVITES FOOTBALL"/>
        <s v="PARTY INVITES JAZZ HEARTS"/>
        <s v="PARTY INVITES SPACEMAN"/>
        <s v="SET OF 3 BUTTERFLY COOKIE CUTTERS"/>
        <s v="SET OF 3 HEART COOKIE CUTTERS"/>
        <s v="3 PIECE SPACEBOY COOKIE CUTTER SET"/>
        <s v="PACK OF 72 SKULL CAKE CASES"/>
        <s v="PACK OF 60 SPACEBOY CAKE CASES"/>
        <s v="72 SWEETHEART FAIRY CAKE CASES"/>
        <s v="LUNCH BAG SUKI  DESIGN "/>
        <s v="LUNCH BAG CARS BLUE"/>
        <s v="LUNCH BAG  BLACK SKULL."/>
        <s v="HEART IVORY TRELLIS LARGE"/>
        <s v="SET/5 RED RETROSPOT LID GLASS BOWLS"/>
        <s v="MAGIC DRAWING SLATE DINOSAUR"/>
        <s v="MAGIC DRAWING SLATE BAKE A CAKE "/>
        <s v="12 PENCILS TALL TUBE SKULLS"/>
        <s v="RED  HARMONICA IN BOX "/>
        <s v="BLUE HARMONICA IN BOX "/>
        <s v="SKULLS  WATER TRANSFER TATTOOS "/>
        <s v="PACK 3 BOXES BIRD PANNETONE "/>
        <s v="SET OF 20 KIDS COOKIE CUTTERS"/>
        <s v="10 COLOUR SPACEBOY PEN"/>
        <s v="VICTORIAN GLASS HANGING T-LIGHT"/>
        <s v="SINGLE HEART ZINC T-LIGHT HOLDER"/>
        <s v="HANGING METAL STAR LANTERN"/>
        <s v="SILVER HANGING T-LIGHT HOLDER"/>
        <s v="DOORMAT RED RETROSPOT"/>
        <s v="DOORMAT HEARTS"/>
        <s v="NATURAL SLATE RECTANGLE CHALKBOARD"/>
        <s v="LOVEBIRD HANGING DECORATION WHITE "/>
        <s v="PENS ASSORTED FUNNY FACE"/>
        <s v="CARD CIRCUS PARADE"/>
        <s v="WRAP COWBOYS  "/>
        <s v="AIRLINE BAG VINTAGE TOKYO 78"/>
        <s v="SET OF 72 RETROSPOT PAPER  DOILIES"/>
        <s v="SLEEPING CAT ERASERS"/>
        <s v="CARD BIRTHDAY COWBOY"/>
        <s v="PACK 3 BOXES CHRISTMAS PANNETONE"/>
        <s v="ROTATING SILVER ANGELS T-LIGHT HLDR"/>
        <s v="RIBBON REEL MAKING SNOWMEN "/>
        <s v="4 TRADITIONAL SPINNING TOPS"/>
        <s v="BAG 500g SWIRLY MARBLES"/>
        <s v="5 STRAND GLASS NECKLACE CRYSTAL"/>
        <s v="SQUARECUSHION COVER PINK UNION FLAG"/>
        <s v="SPACEBOY CHILDRENS EGG CUP"/>
        <s v="CHILDREN'S SPACEBOY MUG"/>
        <s v="FELTCRAFT CUSHION OWL"/>
        <s v="BLACK CANDELABRA T-LIGHT HOLDER"/>
        <s v="TOY TIDY DOLLY GIRL DESIGN"/>
        <s v="SET 12 LAVENDER  BOTANICAL T-LIGHTS"/>
        <s v="UNION JACK FLAG LUGGAGE TAG"/>
        <s v="RED HEART LUGGAGE TAG"/>
        <s v="RED GLASS TASSLE BAG CHARM"/>
        <s v="CLEAR ACRYLIC FACETED BANGLE"/>
        <s v="DOORMAT UNION JACK GUNS AND ROSES"/>
        <s v="VANILLA SCENT CANDLE JEWELLED BOX"/>
        <s v="FULL ENGLISH BREAKFAST PLATE"/>
        <s v="MAGIC DRAWING SLATE CIRCUS PARADE  "/>
        <s v="CHRISTMAS HANGING HEART WITH BELL"/>
        <s v="CAKE STAND VICTORIAN FILIGREE MED"/>
        <s v="PAISLEY PATTERN  STICKERS"/>
        <s v="FLOWERS  STICKERS"/>
        <s v="BLACK LOVE BIRD CANDLE"/>
        <s v="PARTY TIME PENCIL ERASERS"/>
        <s v="PINK B'FLY C/COVER W BOBBLES"/>
        <s v="PINK UNION JACK  LUGGAGE TAG"/>
        <s v="6 RIBBONS ELEGANT CHRISTMAS "/>
        <s v="AGED GLASS SILVER T-LIGHT HOLDER"/>
        <s v="BOOM BOX SPEAKER GIRLS"/>
        <s v="6 RIBBONS SHIMMERING PINKS "/>
        <s v="JUMBO BAG OWLS"/>
        <s v="OWL DOORSTOP"/>
        <s v="PAINTED METAL STAR WITH HOLLY BELLS"/>
        <s v="PAINTED METAL HEART WITH HOLLY BELL"/>
        <s v="ANGEL DECORATION STARS ON DRESS"/>
        <s v="JUMBO BAG STRAWBERRY"/>
        <s v="STRAWBERRY SHOPPER BAG"/>
        <s v="ROUND SNACK BOXES SET OF 4 FRUITS "/>
        <s v="ROUND SNACK BOXES SET OF 4 SKULLS"/>
        <s v="DOLLY GIRL LUNCH BOX"/>
        <s v="GREEN POLKADOT PLATE "/>
        <s v="BLUE POLKADOT PLATE "/>
        <s v="RED RETROSPOT PLATE "/>
        <s v="PINK  POLKADOT PLATE "/>
        <s v="FELTCRAFT DOLL MOLLY"/>
        <s v="FELTCRAFT CHRISTMAS FAIRY"/>
        <s v="SET OF 3 NOTEBOOKS IN PARCEL"/>
        <s v="RED RETROSPOT TAPE"/>
        <s v="COSY SLIPPER SHOES SMALL  RED "/>
        <s v="6 RIBBONS RUSTIC CHARM"/>
        <s v="12 DAISY PEGS IN WOOD BOX"/>
        <s v="5 HOOK HANGER RED MAGIC TOADSTOOL"/>
        <s v="CHRISTMAS CRAFT TREE TOP ANGEL"/>
        <s v="CHRISTMAS CRAFT LITTLE FRIENDS"/>
        <s v="COSY SLIPPER SHOES SMALL GREEN"/>
        <s v="FELTCRAFT DOLL ROSIE"/>
        <s v="FELTCRAFT DOLL EMILY"/>
        <s v="FELTCRAFT PRINCESS OLIVIA DOLL"/>
        <s v="REX CASH+CARRY JUMBO SHOPPER"/>
        <s v="FELTCRAFT CUSHION RABBIT"/>
        <s v="FELTCRAFT CUSHION BUTTERFLY"/>
        <s v="TOTE BAG I LOVE LONDON"/>
        <s v="FOLDING UMBRELLA PINKWHITE POLKADOT"/>
        <s v="FOLDING UMBRELLA CREAM POLKADOT"/>
        <s v="FOLDING UMBRELLA WHITE/RED POLKADOT"/>
        <s v="SET 10 LIGHTS NIGHT OWL"/>
        <s v="FOLDING UMBRELLA RED/WHITE POLKADOT"/>
        <s v="S/4 VALENTINE DECOUPAGE HEART BOX"/>
        <s v="SOLDIERS EGG CUP "/>
        <s v="RED RETROSPOT MINI CASES"/>
        <m/>
        <s v="60 CAKE CASES VINTAGE CHRISTMAS"/>
        <s v="RIBBON REEL CHRISTMAS SOCK BAUBLE"/>
        <s v="RIBBON REEL SNOWY VILLAGE"/>
        <s v="SET OF 20 VINTAGE CHRISTMAS NAPKINS"/>
        <s v="TURQUOISE CHRISTMAS TREE "/>
        <s v="RED STAR CARD HOLDER"/>
        <s v="WICKER WREATH SMALL"/>
        <s v="ADVENT CALENDAR GINGHAM SACK"/>
        <s v="FELTCRAFT BUTTERFLY HEARTS"/>
        <s v="PARTY CONE CHRISTMAS DECORATION "/>
        <s v="WICKER STAR "/>
        <s v="VINTAGE SNAP CARDS"/>
        <s v="FELTCRAFT 6 FLOWER FRIENDS"/>
        <s v="BIRD DECORATION RED RETROSPOT"/>
        <s v="CHRISTMAS GINGHAM TREE"/>
        <s v="CHRISTMAS GINGHAM STAR"/>
        <s v="CHRISTMAS GINGHAM HEART"/>
        <s v="PACK OF 12 PINK POLKADOT TISSUES"/>
        <s v="FELTCRAFT PRINCESS LOLA DOLL"/>
        <s v="PACK OF 12 LONDON TISSUES "/>
        <s v="PURPLE DRAWERKNOB ACRYLIC EDWARDIAN"/>
        <s v="CHILDREN'S APRON DOLLY GIRL "/>
        <s v="CHILDRENS APRON SPACEBOY DESIGN"/>
        <s v="CHRISTMAS LIGHTS 10 SANTAS "/>
        <s v="PACK OF 60 MUSHROOM CAKE CASES"/>
        <s v="60 CAKE CASES DOLLY GIRL DESIGN"/>
        <s v="HAND WARMER BABUSHKA DESIGN"/>
        <s v="SET 12 RETRO WHITE CHALK STICKS"/>
        <s v="FELTCRAFT HAIRBAND RED AND BLUE"/>
        <s v="FELTCRAFT HAIRBAND PINK AND PURPLE"/>
        <s v="FELTCRAFT HAIRBANDS PINK AND WHITE "/>
        <s v="TV DINNER TRAY DOLLY GIRL"/>
        <s v="PLASTERS IN TIN SPACEBOY"/>
        <s v="PLASTERS IN TIN WOODLAND ANIMALS"/>
        <s v="MAGIC DRAWING SLATE SPACEBOY "/>
        <s v="MAGIC DRAWING SLATE GO TO THE FAIR "/>
        <s v="MAGIC DRAWING SLATE DOLLY GIRL "/>
        <s v="CHARLIE + LOLA RED HOT WATER BOTTLE"/>
        <s v="URBAN BLACK RIBBONS "/>
        <s v="SET OF 6 T-LIGHTS TOADSTOOLS"/>
        <s v="ROTATING LEAVES T-LIGHT HOLDER"/>
        <s v="CUPCAKE LACE PAPER SET 6"/>
        <s v="TRADITIONAL WOODEN CATCH CUP GAME "/>
        <s v="S/6 WOODEN SKITTLES IN COTTON BAG"/>
        <s v="RED METAL BEACH SPADE "/>
        <s v="BOYS VINTAGE TIN SEASIDE BUCKET"/>
        <s v="GIRLS VINTAGE TIN SEASIDE BUCKET"/>
        <s v="GREY HEART HOT WATER BOTTLE"/>
        <s v="KINGS CHOICE TEA CADDY "/>
        <s v="KINGS CHOICE BISCUIT TIN"/>
        <s v="METAL SIGN EMPIRE TEA"/>
        <s v="FAWN BLUE HOT WATER BOTTLE"/>
        <s v="PACK OF 6 BIRDY GIFT TAGS"/>
        <s v="CERAMIC STRAWBERRY MONEY BOX"/>
        <s v="CERAMIC HEART FAIRY CAKE MONEY BANK"/>
        <s v="CERAMIC PIRATE CHEST MONEY BANK"/>
        <s v="DOORSTOP RETROSPOT HEART"/>
        <s v="RETROSPOT BABUSHKA DOORSTOP"/>
        <s v="SWEETHEART WIRE WALL TIDY"/>
        <s v="RED RETROSPOT OVEN GLOVE "/>
        <s v="NAMASTE SWAGAT INCENSE"/>
        <s v="CERAMIC STRAWBERRY DESIGN MUG"/>
        <s v="CLASSICAL ROSE SMALL VASE"/>
        <s v="HYACINTH BULB T-LIGHT CANDLES"/>
        <s v="CHRISTMAS CRAFT WHITE FAIRY "/>
        <s v="COSY HOUR CIGAR BOX MATCHES "/>
        <s v="RED TEA TOWEL CLASSIC DESIGN"/>
        <s v="HEART FILIGREE DOVE  SMALL"/>
        <s v="RETROSPOT CHILDRENS APRON"/>
        <s v="COLOURING PENCILS BROWN TUBE"/>
        <s v="4 IVORY DINNER CANDLES SILVER FLOCK"/>
        <s v="ZINC METAL HEART DECORATION"/>
        <s v="GREEN FERN NOTEBOOK"/>
        <s v="BLUE PAISLEY NOTEBOOK"/>
        <s v="CHRYSANTHEMUM NOTEBOOK"/>
        <s v="LARGE CHINESE STYLE SCISSOR"/>
        <s v="SMALL CHINESE STYLE SCISSOR"/>
        <s v="HANGING GLASS ETCHED TEALIGHT"/>
        <s v="COOKING SET RETROSPOT"/>
        <s v="KINGS CHOICE GIANT TUBE MATCHES"/>
        <s v="PLACE SETTING WHITE STAR"/>
        <s v="S/15 SILVER GLASS BAUBLES IN BAG"/>
        <s v="FRENCH WC SIGN BLUE METAL"/>
        <s v="FAIRY SOAP SOAP HOLDER"/>
        <s v="GREEN GIANT GARDEN THERMOMETER"/>
        <s v="BLUE GIANT GARDEN THERMOMETER"/>
        <s v="VICTORIAN SEWING BOX SMALL "/>
        <s v="VICTORIAN SEWING BOX MEDIUM"/>
        <s v="SET/10 RED POLKADOT PARTY CANDLES"/>
        <s v="WASHROOM METAL SIGN"/>
        <s v="BLACK SWEETHEART BRACELET"/>
        <s v="DIAMANTE HAIR GRIP PACK/2 BLACK DIA"/>
        <s v="BLACK DIAMANTE EXPANDABLE RING"/>
        <s v="DIAMANTE HAIR GRIP PACK/2 RUBY"/>
        <s v="DIAMANTE HAIR GRIP PACK/2 MONTANA"/>
        <s v="BLUE SWEETHEART BRACELET"/>
        <s v="PINK SWEETHEART BRACELET"/>
        <s v="PURPLE SWEETHEART BRACELET"/>
        <s v="RIBBON REEL CHRISTMAS PRESENT "/>
        <s v="FIRST AID TIN"/>
        <s v="MAKE YOUR OWN MONSOON CARD KIT"/>
        <s v="PACK OF 12 HEARTS DESIGN TISSUES "/>
        <s v="HEART FILIGREE DOVE LARGE"/>
        <s v="SWIRLY CIRCULAR RUBBERS IN BAG"/>
        <s v="VINTAGE PAISLEY STATIONERY SET"/>
        <s v="SET/10 BLUE POLKADOT PARTY CANDLES"/>
        <s v="RIBBON REEL SOCKS AND MITTENS"/>
        <s v="CHRISTMAS METAL TAGS ASSORTED "/>
        <s v="CHRISTMAS TREE T-LIGHT HOLDER"/>
        <s v="STAR  T-LIGHT HOLDER "/>
        <s v="HEART T-LIGHT HOLDER "/>
        <s v="MINI FUNKY DESIGN TAPES"/>
        <s v="STAR WOODEN CHRISTMAS DECORATION"/>
        <s v="WOODEN HEART CHRISTMAS SCANDINAVIAN"/>
        <s v="CHRISTMAS RETROSPOT TREE WOOD"/>
        <s v="SET/9 CHRISTMAS T-LIGHTS SCENTED "/>
        <s v="BLUE ROSE FABRIC MIRROR"/>
        <s v="THREE CANVAS LUGGAGE TAGS"/>
        <s v="RETROSPOT PARTY BAG + STICKER SET"/>
        <s v="RETROSPOT SMALL TUBE MATCHES"/>
        <s v="3D CHRISTMAS STAMPS STICKERS "/>
        <s v="36 FOIL HEART CAKE CASES"/>
        <s v="PACK OF 6 SWEETIE GIFT BOXES"/>
        <s v="CINAMMON SET OF 9 T-LIGHTS"/>
        <s v="ORANGE SCENTED SET/9 T-LIGHTS"/>
        <s v="RIBBON REEL STRIPES DESIGN "/>
        <s v="SET OF 2 TINS JARDIN DE PROVENCE"/>
        <s v="MAKE YOUR OWN PLAYTIME CARD KIT"/>
        <s v="DINOSAURS  WRITING SET "/>
        <s v="SKULLS WRITING SET "/>
        <s v="DOORMAT BLACK FLOCK "/>
        <s v="CHRISTMAS DECOUPAGE CANDLE"/>
        <s v="OFFICE MUG WARMER POLKADOT"/>
        <s v="BLACK RECORD COVER FRAME"/>
        <s v="RECORD FRAME 7&quot; SINGLE SIZE "/>
        <s v="36 PENCILS TUBE RED RETROSPOT"/>
        <s v="36 PENCILS TUBE WOODLAND"/>
        <s v="ROCKING HORSE RED CHRISTMAS "/>
        <s v="REGENCY CAKESTAND 3 TIER"/>
        <s v="VINTAGE UNION JACK BUNTING"/>
        <s v="RETRO LONGBOARD IRONING BOARD COVER"/>
        <s v="3D DOG PICTURE PLAYING CARDS"/>
        <s v="SAVE THE PLANET COTTON TOTE BAG"/>
        <s v="PAPER BUNTING WHITE LACE"/>
        <s v="GENTLEMAN SHIRT REPAIR KIT "/>
        <s v="CARD I LOVE LONDON "/>
        <s v="MIRRORED WALL ART FOXY"/>
        <s v="MIRRORED WALL ART GENTS"/>
        <s v="AIRLINE BAG VINTAGE JET SET WHITE"/>
        <s v="POTTING SHED SOW 'N' GROW SET"/>
        <s v="AIRLINE BAG VINTAGE WORLD CHAMPION "/>
        <s v="PINK HEARTS PAPER GARLAND"/>
        <s v="POTTING SHED SEED ENVELOPES"/>
        <s v="HI TEC ALPINE HAND WARMER"/>
        <s v="POLYESTER FILLER PAD 45x45cm"/>
        <s v="CARD DOLLY GIRL "/>
        <s v="CARD BILLBOARD FONT"/>
        <s v="RAINY LADIES BIRTHDAY CARD"/>
        <s v="RED WHITE SCARF  HOT WATER BOTTLE"/>
        <s v="SET OF 2 TEA TOWELS APPLE AND PEARS"/>
        <s v="LANTERN CREAM GAZEBO "/>
        <s v="BLUE BIRDHOUSE DECORATION"/>
        <s v="ANTIQUE SILVER TEA GLASS ENGRAVED"/>
        <s v="SET OF 2 WOODEN MARKET CRATES"/>
        <s v="CLASSIC FRENCH STYLE BASKET NATURAL"/>
        <s v="CRAZY DAISY HEART DECORATION"/>
        <s v="CARD HOLDER GINGHAM HEART"/>
        <s v="SMALL STRIPES CHOCOLATE GIFT BAG "/>
        <s v="TRAY, BREAKFAST IN BED"/>
        <s v="PIZZA PLATE IN BOX"/>
        <s v="PINK HEART DOTS HOT WATER BOTTLE"/>
        <s v="PLACE SETTING WHITE HEART"/>
        <s v="SET OF 4 NAPKIN CHARMS LEAVES   "/>
        <s v="SET OF 4 NAPKIN CHARMS STARS   "/>
        <s v="SET OF 4 NAPKIN CHARMS CUTLERY"/>
        <s v="CARAVAN SQUARE TISSUE BOX"/>
        <s v="BUTTON BOX "/>
        <s v="12 MESSAGE CARDS WITH ENVELOPES"/>
        <s v="SMALL RED BABUSHKA NOTEBOOK "/>
        <s v="HERB MARKER MINT"/>
        <s v="HERB MARKER ROSEMARY"/>
        <s v="HERB MARKER BASIL"/>
        <s v="HERB MARKER CHIVES "/>
        <s v="HERB MARKER PARSLEY"/>
        <s v="HERB MARKER THYME"/>
        <s v="METAL MERRY CHRISTMAS WREATH"/>
        <s v="WHITE CHRISTMAS GARLAND STARS TREES"/>
        <s v="RETROSPOT GIANT TUBE MATCHES"/>
        <s v="36 FOIL STAR CAKE CASES "/>
        <s v="PACK OF 6 HANDBAG GIFT BOXES"/>
        <s v="GARLAND WOODEN HAPPY EASTER"/>
        <s v="CALENDAR PAPER CUT DESIGN"/>
        <s v="CALENDAR IN SEASON DESIGN"/>
        <s v="BLUE PAISLEY TISSUE BOX"/>
        <s v="PINK PAISLEY SQUARE TISSUE BOX "/>
        <s v="TOAST ITS - HAPPY BIRTHDAY"/>
        <s v="SET/10 IVORY POLKADOT PARTY CANDLES"/>
        <s v="SKULLS STORAGE BOX SMALL"/>
        <s v="JUMBO STORAGE BAG SKULLS"/>
        <s v="GARDEN PATH JOURNAL"/>
        <s v="BLACK ORANGE SQUEEZER"/>
        <s v="SET OF 72 GREEN PAPER DOILIES"/>
        <s v="RETROSPOT RED WASHING UP GLOVES"/>
        <s v="SMALL LICORICE DES PINK BOWL"/>
        <s v="SWISS ROLL TOWEL, CHOCOLATE  SPOTS"/>
        <s v="PICNIC BASKET WICKER LARGE"/>
      </sharedItems>
    </cacheField>
    <cacheField name="Quantity_BEFORE" numFmtId="0">
      <sharedItems containsSemiMixedTypes="0" containsString="0" containsNumber="1" containsInteger="1" minValue="-24" maxValue="600"/>
    </cacheField>
    <cacheField name="InvoiceDate" numFmtId="22">
      <sharedItems containsSemiMixedTypes="0" containsNonDate="0" containsDate="1" containsString="0" minDate="2010-12-01T08:26:00" maxDate="2010-12-01T12:43:00"/>
    </cacheField>
    <cacheField name="UnitPrice" numFmtId="0">
      <sharedItems containsSemiMixedTypes="0" containsString="0" containsNumber="1" minValue="0" maxValue="165"/>
    </cacheField>
    <cacheField name="CustomerID" numFmtId="0">
      <sharedItems containsString="0" containsBlank="1" containsNumber="1" containsInteger="1" minValue="12431" maxValue="18085"/>
    </cacheField>
    <cacheField name="Country" numFmtId="0">
      <sharedItems count="4">
        <s v="United Kingdom"/>
        <s v="France"/>
        <s v="Australia"/>
        <s v="Netherlands"/>
      </sharedItems>
    </cacheField>
    <cacheField name="QUANTITY" numFmtId="0">
      <sharedItems containsSemiMixedTypes="0" containsString="0" containsNumber="1" containsInteger="1" minValue="1" maxValue="600"/>
    </cacheField>
    <cacheField name="AMOUNT" numFmtId="0">
      <sharedItems containsSemiMixedTypes="0" containsString="0" containsNumber="1" minValue="0" maxValue="1627.2" count="233">
        <n v="15.299999999999999"/>
        <n v="20.34"/>
        <n v="22"/>
        <n v="15.3"/>
        <n v="25.5"/>
        <n v="11.100000000000001"/>
        <n v="54.08"/>
        <n v="12.600000000000001"/>
        <n v="30"/>
        <n v="9.8999999999999986"/>
        <n v="14.850000000000001"/>
        <n v="19.899999999999999"/>
        <n v="17.850000000000001"/>
        <n v="31.8"/>
        <n v="90"/>
        <n v="45"/>
        <n v="10.199999999999999"/>
        <n v="15.600000000000001"/>
        <n v="40.799999999999997"/>
        <n v="53.1"/>
        <n v="70.800000000000011"/>
        <n v="46.8"/>
        <n v="17"/>
        <n v="39.599999999999994"/>
        <n v="10.08"/>
        <n v="23.400000000000002"/>
        <n v="54"/>
        <n v="204"/>
        <n v="29.700000000000003"/>
        <n v="6.36"/>
        <n v="9.9"/>
        <n v="27.8"/>
        <n v="350.4"/>
        <n v="165.60000000000002"/>
        <n v="163.19999999999999"/>
        <n v="19.5"/>
        <n v="29.5"/>
        <n v="8.5"/>
        <n v="22.5"/>
        <n v="16.5"/>
        <n v="50.4"/>
        <n v="13.200000000000001"/>
        <n v="17.700000000000003"/>
        <n v="60"/>
        <n v="36.480000000000004"/>
        <n v="34.799999999999997"/>
        <n v="97.75"/>
        <n v="24.75"/>
        <n v="4.2"/>
        <n v="7.5"/>
        <n v="1.25"/>
        <n v="0.85"/>
        <n v="2.5499999999999998"/>
        <n v="5.07"/>
        <n v="1.95"/>
        <n v="2.95"/>
        <n v="11.8"/>
        <n v="5.0999999999999996"/>
        <n v="3.75"/>
        <n v="1.45"/>
        <n v="4.95"/>
        <n v="5.9"/>
        <n v="11.9"/>
        <n v="5.8"/>
        <n v="3.3"/>
        <n v="11.850000000000001"/>
        <n v="38.160000000000004"/>
        <n v="67.5"/>
        <n v="27.5"/>
        <n v="19.799999999999997"/>
        <n v="21"/>
        <n v="92.5"/>
        <n v="23.6"/>
        <n v="15"/>
        <n v="71.400000000000006"/>
        <n v="29.9"/>
        <n v="67.8"/>
        <n v="4.6500000000000004"/>
        <n v="19.350000000000001"/>
        <n v="31.200000000000003"/>
        <n v="35.400000000000006"/>
        <n v="58"/>
        <n v="102"/>
        <n v="15.8"/>
        <n v="41.7"/>
        <n v="87.6"/>
        <n v="19.95"/>
        <n v="17.399999999999999"/>
        <n v="178.20000000000002"/>
        <n v="165"/>
        <n v="733.43999999999994"/>
        <n v="647.04"/>
        <n v="626.4"/>
        <n v="540"/>
        <n v="15.9"/>
        <n v="12.75"/>
        <n v="5.04"/>
        <n v="27"/>
        <n v="51"/>
        <n v="39.6"/>
        <n v="32.700000000000003"/>
        <n v="25.4"/>
        <n v="35.700000000000003"/>
        <n v="20.399999999999999"/>
        <n v="34.56"/>
        <n v="68"/>
        <n v="92.16"/>
        <n v="28.8"/>
        <n v="72"/>
        <n v="72.5"/>
        <n v="61.44"/>
        <n v="46.08"/>
        <n v="198"/>
        <n v="81.36"/>
        <n v="71.039999999999992"/>
        <n v="120"/>
        <n v="6.9599999999999991"/>
        <n v="41.400000000000006"/>
        <n v="11.7"/>
        <n v="23.8"/>
        <n v="27.04"/>
        <n v="79.599999999999994"/>
        <n v="177.60000000000002"/>
        <n v="59.400000000000006"/>
        <n v="25.200000000000003"/>
        <n v="81.599999999999994"/>
        <n v="33"/>
        <n v="31.6"/>
        <n v="27.6"/>
        <n v="16.8"/>
        <n v="100.80000000000001"/>
        <n v="30.599999999999998"/>
        <n v="71.5"/>
        <n v="55.800000000000004"/>
        <n v="223.20000000000002"/>
        <n v="20.100000000000001"/>
        <n v="37.200000000000003"/>
        <n v="44.550000000000004"/>
        <n v="2.5"/>
        <n v="3.35"/>
        <n v="1.65"/>
        <n v="9.9499999999999993"/>
        <n v="5.95"/>
        <n v="4.25"/>
        <n v="3.38"/>
        <n v="7.95"/>
        <n v="0.55000000000000004"/>
        <n v="1.1000000000000001"/>
        <n v="2.1"/>
        <n v="1.6500000000000001"/>
        <n v="7.6499999999999995"/>
        <n v="8.8500000000000014"/>
        <n v="22.95"/>
        <n v="16.95"/>
        <n v="10.65"/>
        <n v="13.9"/>
        <n v="153"/>
        <n v="326.39999999999998"/>
        <n v="27.12"/>
        <n v="19.8"/>
        <n v="23.4"/>
        <n v="11.399999999999999"/>
        <n v="13.52"/>
        <n v="10.5"/>
        <n v="6.3"/>
        <n v="19.049999999999997"/>
        <n v="6.75"/>
        <n v="6.35"/>
        <n v="0.42"/>
        <n v="3.9"/>
        <n v="5.88"/>
        <n v="2.88"/>
        <n v="7.8000000000000007"/>
        <n v="12.7"/>
        <n v="4.3499999999999996"/>
        <n v="2.52"/>
        <n v="1.7"/>
        <n v="3.4799999999999995"/>
        <n v="4.9499999999999993"/>
        <n v="6.6"/>
        <n v="1.69"/>
        <n v="8.25"/>
        <n v="6.5"/>
        <n v="13.950000000000001"/>
        <n v="11.549999999999999"/>
        <n v="14.75"/>
        <n v="0.95"/>
        <n v="11.25"/>
        <n v="39.799999999999997"/>
        <n v="14.700000000000001"/>
        <n v="13.5"/>
        <n v="0"/>
        <n v="5.5"/>
        <n v="8.4"/>
        <n v="3.4"/>
        <n v="5.85"/>
        <n v="6.3000000000000007"/>
        <n v="0.84"/>
        <n v="1.26"/>
        <n v="79.2"/>
        <n v="212"/>
        <n v="244.08"/>
        <n v="144"/>
        <n v="122.04"/>
        <n v="13.44"/>
        <n v="2.9"/>
        <n v="6.72"/>
        <n v="40.56"/>
        <n v="20.28"/>
        <n v="3.25"/>
        <n v="0.28999999999999998"/>
        <n v="2.98"/>
        <n v="11.6"/>
        <n v="88.800000000000011"/>
        <n v="1627.2"/>
        <n v="20"/>
        <n v="69.12"/>
        <n v="103.67999999999999"/>
        <n v="175.2"/>
        <n v="34"/>
        <n v="2.25"/>
        <n v="49.5"/>
        <n v="15.5"/>
        <n v="7.9"/>
        <n v="20.650000000000002"/>
        <n v="76.320000000000007"/>
        <n v="75.600000000000009"/>
        <n v="13.6"/>
        <n v="9.75"/>
        <n v="1.3"/>
        <n v="0.65"/>
        <n v="1.9500000000000002"/>
        <n v="1.9"/>
      </sharedItems>
    </cacheField>
  </cacheFields>
  <extLst>
    <ext xmlns:x14="http://schemas.microsoft.com/office/spreadsheetml/2009/9/main" uri="{725AE2AE-9491-48be-B2B4-4EB974FC3084}">
      <x14:pivotCacheDefinition pivotCacheId="2039068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6">
  <r>
    <n v="536365"/>
    <s v="85123A"/>
    <x v="0"/>
    <n v="6"/>
    <d v="2010-12-01T08:26:00"/>
    <n v="2.5499999999999998"/>
    <n v="17850"/>
    <x v="0"/>
    <n v="6"/>
    <x v="0"/>
  </r>
  <r>
    <n v="536365"/>
    <n v="71053"/>
    <x v="1"/>
    <n v="6"/>
    <d v="2010-12-01T08:26:00"/>
    <n v="3.39"/>
    <n v="17850"/>
    <x v="0"/>
    <n v="6"/>
    <x v="1"/>
  </r>
  <r>
    <n v="536365"/>
    <s v="84406B"/>
    <x v="2"/>
    <n v="8"/>
    <d v="2010-12-01T08:26:00"/>
    <n v="2.75"/>
    <n v="17850"/>
    <x v="0"/>
    <n v="8"/>
    <x v="2"/>
  </r>
  <r>
    <n v="536365"/>
    <s v="84029G"/>
    <x v="3"/>
    <n v="6"/>
    <d v="2010-12-01T08:26:00"/>
    <n v="3.39"/>
    <n v="17850"/>
    <x v="0"/>
    <n v="6"/>
    <x v="1"/>
  </r>
  <r>
    <n v="536365"/>
    <s v="84029E"/>
    <x v="4"/>
    <n v="6"/>
    <d v="2010-12-01T08:26:00"/>
    <n v="3.39"/>
    <n v="17850"/>
    <x v="0"/>
    <n v="6"/>
    <x v="1"/>
  </r>
  <r>
    <n v="536365"/>
    <n v="22752"/>
    <x v="5"/>
    <n v="2"/>
    <d v="2010-12-01T08:26:00"/>
    <n v="7.65"/>
    <n v="17850"/>
    <x v="0"/>
    <n v="2"/>
    <x v="3"/>
  </r>
  <r>
    <n v="536365"/>
    <n v="21730"/>
    <x v="6"/>
    <n v="6"/>
    <d v="2010-12-01T08:26:00"/>
    <n v="4.25"/>
    <n v="17850"/>
    <x v="0"/>
    <n v="6"/>
    <x v="4"/>
  </r>
  <r>
    <n v="536366"/>
    <n v="22633"/>
    <x v="7"/>
    <n v="6"/>
    <d v="2010-12-01T08:28:00"/>
    <n v="1.85"/>
    <n v="17850"/>
    <x v="0"/>
    <n v="6"/>
    <x v="5"/>
  </r>
  <r>
    <n v="536366"/>
    <n v="22632"/>
    <x v="8"/>
    <n v="6"/>
    <d v="2010-12-01T08:28:00"/>
    <n v="1.85"/>
    <n v="17850"/>
    <x v="0"/>
    <n v="6"/>
    <x v="5"/>
  </r>
  <r>
    <n v="536367"/>
    <n v="84879"/>
    <x v="9"/>
    <n v="32"/>
    <d v="2010-12-01T08:34:00"/>
    <n v="1.69"/>
    <n v="13047"/>
    <x v="0"/>
    <n v="32"/>
    <x v="6"/>
  </r>
  <r>
    <n v="536367"/>
    <n v="22745"/>
    <x v="10"/>
    <n v="6"/>
    <d v="2010-12-01T08:34:00"/>
    <n v="2.1"/>
    <n v="13047"/>
    <x v="0"/>
    <n v="6"/>
    <x v="7"/>
  </r>
  <r>
    <n v="536367"/>
    <n v="22748"/>
    <x v="11"/>
    <n v="6"/>
    <d v="2010-12-01T08:34:00"/>
    <n v="2.1"/>
    <n v="13047"/>
    <x v="0"/>
    <n v="6"/>
    <x v="7"/>
  </r>
  <r>
    <n v="536367"/>
    <n v="22749"/>
    <x v="12"/>
    <n v="8"/>
    <d v="2010-12-01T08:34:00"/>
    <n v="3.75"/>
    <n v="13047"/>
    <x v="0"/>
    <n v="8"/>
    <x v="8"/>
  </r>
  <r>
    <n v="536367"/>
    <n v="22310"/>
    <x v="13"/>
    <n v="6"/>
    <d v="2010-12-01T08:34:00"/>
    <n v="1.65"/>
    <n v="13047"/>
    <x v="0"/>
    <n v="6"/>
    <x v="9"/>
  </r>
  <r>
    <n v="536367"/>
    <n v="84969"/>
    <x v="14"/>
    <n v="6"/>
    <d v="2010-12-01T08:34:00"/>
    <n v="4.25"/>
    <n v="13047"/>
    <x v="0"/>
    <n v="6"/>
    <x v="4"/>
  </r>
  <r>
    <n v="536367"/>
    <n v="22623"/>
    <x v="15"/>
    <n v="3"/>
    <d v="2010-12-01T08:34:00"/>
    <n v="4.95"/>
    <n v="13047"/>
    <x v="0"/>
    <n v="3"/>
    <x v="10"/>
  </r>
  <r>
    <n v="536367"/>
    <n v="22622"/>
    <x v="16"/>
    <n v="2"/>
    <d v="2010-12-01T08:34:00"/>
    <n v="9.9499999999999993"/>
    <n v="13047"/>
    <x v="0"/>
    <n v="2"/>
    <x v="11"/>
  </r>
  <r>
    <n v="536367"/>
    <n v="21754"/>
    <x v="17"/>
    <n v="3"/>
    <d v="2010-12-01T08:34:00"/>
    <n v="5.95"/>
    <n v="13047"/>
    <x v="0"/>
    <n v="3"/>
    <x v="12"/>
  </r>
  <r>
    <n v="536367"/>
    <n v="21755"/>
    <x v="18"/>
    <n v="3"/>
    <d v="2010-12-01T08:34:00"/>
    <n v="5.95"/>
    <n v="13047"/>
    <x v="0"/>
    <n v="3"/>
    <x v="12"/>
  </r>
  <r>
    <n v="536367"/>
    <n v="21777"/>
    <x v="19"/>
    <n v="4"/>
    <d v="2010-12-01T08:34:00"/>
    <n v="7.95"/>
    <n v="13047"/>
    <x v="0"/>
    <n v="4"/>
    <x v="13"/>
  </r>
  <r>
    <n v="536367"/>
    <n v="48187"/>
    <x v="20"/>
    <n v="4"/>
    <d v="2010-12-01T08:34:00"/>
    <n v="7.95"/>
    <n v="13047"/>
    <x v="0"/>
    <n v="4"/>
    <x v="13"/>
  </r>
  <r>
    <n v="536368"/>
    <n v="22960"/>
    <x v="21"/>
    <n v="6"/>
    <d v="2010-12-01T08:34:00"/>
    <n v="4.25"/>
    <n v="13047"/>
    <x v="0"/>
    <n v="6"/>
    <x v="4"/>
  </r>
  <r>
    <n v="536368"/>
    <n v="22913"/>
    <x v="22"/>
    <n v="3"/>
    <d v="2010-12-01T08:34:00"/>
    <n v="4.95"/>
    <n v="13047"/>
    <x v="0"/>
    <n v="3"/>
    <x v="10"/>
  </r>
  <r>
    <n v="536368"/>
    <n v="22912"/>
    <x v="23"/>
    <n v="3"/>
    <d v="2010-12-01T08:34:00"/>
    <n v="4.95"/>
    <n v="13047"/>
    <x v="0"/>
    <n v="3"/>
    <x v="10"/>
  </r>
  <r>
    <n v="536368"/>
    <n v="22914"/>
    <x v="24"/>
    <n v="3"/>
    <d v="2010-12-01T08:34:00"/>
    <n v="4.95"/>
    <n v="13047"/>
    <x v="0"/>
    <n v="3"/>
    <x v="10"/>
  </r>
  <r>
    <n v="536369"/>
    <n v="21756"/>
    <x v="25"/>
    <n v="3"/>
    <d v="2010-12-01T08:35:00"/>
    <n v="5.95"/>
    <n v="13047"/>
    <x v="0"/>
    <n v="3"/>
    <x v="12"/>
  </r>
  <r>
    <n v="536370"/>
    <n v="22728"/>
    <x v="26"/>
    <n v="24"/>
    <d v="2010-12-01T08:45:00"/>
    <n v="3.75"/>
    <n v="12583"/>
    <x v="1"/>
    <n v="24"/>
    <x v="14"/>
  </r>
  <r>
    <n v="536370"/>
    <n v="22727"/>
    <x v="27"/>
    <n v="24"/>
    <d v="2010-12-01T08:45:00"/>
    <n v="3.75"/>
    <n v="12583"/>
    <x v="1"/>
    <n v="24"/>
    <x v="14"/>
  </r>
  <r>
    <n v="536370"/>
    <n v="22726"/>
    <x v="28"/>
    <n v="12"/>
    <d v="2010-12-01T08:45:00"/>
    <n v="3.75"/>
    <n v="12583"/>
    <x v="1"/>
    <n v="12"/>
    <x v="15"/>
  </r>
  <r>
    <n v="536370"/>
    <n v="21724"/>
    <x v="29"/>
    <n v="12"/>
    <d v="2010-12-01T08:45:00"/>
    <n v="0.85"/>
    <n v="12583"/>
    <x v="1"/>
    <n v="12"/>
    <x v="16"/>
  </r>
  <r>
    <n v="536370"/>
    <n v="21883"/>
    <x v="30"/>
    <n v="24"/>
    <d v="2010-12-01T08:45:00"/>
    <n v="0.65"/>
    <n v="12583"/>
    <x v="1"/>
    <n v="24"/>
    <x v="17"/>
  </r>
  <r>
    <n v="536370"/>
    <n v="10002"/>
    <x v="31"/>
    <n v="48"/>
    <d v="2010-12-01T08:45:00"/>
    <n v="0.85"/>
    <n v="12583"/>
    <x v="1"/>
    <n v="48"/>
    <x v="18"/>
  </r>
  <r>
    <n v="536370"/>
    <n v="21791"/>
    <x v="32"/>
    <n v="24"/>
    <d v="2010-12-01T08:45:00"/>
    <n v="1.25"/>
    <n v="12583"/>
    <x v="1"/>
    <n v="24"/>
    <x v="8"/>
  </r>
  <r>
    <n v="536370"/>
    <n v="21035"/>
    <x v="33"/>
    <n v="18"/>
    <d v="2010-12-01T08:45:00"/>
    <n v="2.95"/>
    <n v="12583"/>
    <x v="1"/>
    <n v="18"/>
    <x v="19"/>
  </r>
  <r>
    <n v="536370"/>
    <n v="22326"/>
    <x v="34"/>
    <n v="24"/>
    <d v="2010-12-01T08:45:00"/>
    <n v="2.95"/>
    <n v="12583"/>
    <x v="1"/>
    <n v="24"/>
    <x v="20"/>
  </r>
  <r>
    <n v="536370"/>
    <n v="22629"/>
    <x v="35"/>
    <n v="24"/>
    <d v="2010-12-01T08:45:00"/>
    <n v="1.95"/>
    <n v="12583"/>
    <x v="1"/>
    <n v="24"/>
    <x v="21"/>
  </r>
  <r>
    <n v="536370"/>
    <n v="22659"/>
    <x v="36"/>
    <n v="24"/>
    <d v="2010-12-01T08:45:00"/>
    <n v="1.95"/>
    <n v="12583"/>
    <x v="1"/>
    <n v="24"/>
    <x v="21"/>
  </r>
  <r>
    <n v="536370"/>
    <n v="22631"/>
    <x v="37"/>
    <n v="24"/>
    <d v="2010-12-01T08:45:00"/>
    <n v="1.95"/>
    <n v="12583"/>
    <x v="1"/>
    <n v="24"/>
    <x v="21"/>
  </r>
  <r>
    <n v="536370"/>
    <n v="22661"/>
    <x v="38"/>
    <n v="20"/>
    <d v="2010-12-01T08:45:00"/>
    <n v="0.85"/>
    <n v="12583"/>
    <x v="1"/>
    <n v="20"/>
    <x v="22"/>
  </r>
  <r>
    <n v="536370"/>
    <n v="21731"/>
    <x v="39"/>
    <n v="24"/>
    <d v="2010-12-01T08:45:00"/>
    <n v="1.65"/>
    <n v="12583"/>
    <x v="1"/>
    <n v="24"/>
    <x v="23"/>
  </r>
  <r>
    <n v="536370"/>
    <n v="22900"/>
    <x v="40"/>
    <n v="24"/>
    <d v="2010-12-01T08:45:00"/>
    <n v="2.95"/>
    <n v="12583"/>
    <x v="1"/>
    <n v="24"/>
    <x v="20"/>
  </r>
  <r>
    <n v="536370"/>
    <n v="21913"/>
    <x v="41"/>
    <n v="12"/>
    <d v="2010-12-01T08:45:00"/>
    <n v="3.75"/>
    <n v="12583"/>
    <x v="1"/>
    <n v="12"/>
    <x v="15"/>
  </r>
  <r>
    <n v="536370"/>
    <n v="22540"/>
    <x v="42"/>
    <n v="24"/>
    <d v="2010-12-01T08:45:00"/>
    <n v="0.42"/>
    <n v="12583"/>
    <x v="1"/>
    <n v="24"/>
    <x v="24"/>
  </r>
  <r>
    <n v="536370"/>
    <n v="22544"/>
    <x v="43"/>
    <n v="24"/>
    <d v="2010-12-01T08:45:00"/>
    <n v="0.42"/>
    <n v="12583"/>
    <x v="1"/>
    <n v="24"/>
    <x v="24"/>
  </r>
  <r>
    <n v="536370"/>
    <n v="22492"/>
    <x v="44"/>
    <n v="36"/>
    <d v="2010-12-01T08:45:00"/>
    <n v="0.65"/>
    <n v="12583"/>
    <x v="1"/>
    <n v="36"/>
    <x v="25"/>
  </r>
  <r>
    <n v="536370"/>
    <s v="POST"/>
    <x v="45"/>
    <n v="3"/>
    <d v="2010-12-01T08:45:00"/>
    <n v="18"/>
    <n v="12583"/>
    <x v="1"/>
    <n v="3"/>
    <x v="26"/>
  </r>
  <r>
    <n v="536371"/>
    <n v="22086"/>
    <x v="46"/>
    <n v="80"/>
    <d v="2010-12-01T09:00:00"/>
    <n v="2.5499999999999998"/>
    <n v="13748"/>
    <x v="0"/>
    <n v="80"/>
    <x v="27"/>
  </r>
  <r>
    <n v="536372"/>
    <n v="22632"/>
    <x v="8"/>
    <n v="6"/>
    <d v="2010-12-01T09:01:00"/>
    <n v="1.85"/>
    <n v="17850"/>
    <x v="0"/>
    <n v="6"/>
    <x v="5"/>
  </r>
  <r>
    <n v="536372"/>
    <n v="22633"/>
    <x v="7"/>
    <n v="6"/>
    <d v="2010-12-01T09:01:00"/>
    <n v="1.85"/>
    <n v="17850"/>
    <x v="0"/>
    <n v="6"/>
    <x v="5"/>
  </r>
  <r>
    <n v="536373"/>
    <s v="85123A"/>
    <x v="0"/>
    <n v="6"/>
    <d v="2010-12-01T09:02:00"/>
    <n v="2.5499999999999998"/>
    <n v="17850"/>
    <x v="0"/>
    <n v="6"/>
    <x v="0"/>
  </r>
  <r>
    <n v="536373"/>
    <n v="71053"/>
    <x v="1"/>
    <n v="6"/>
    <d v="2010-12-01T09:02:00"/>
    <n v="3.39"/>
    <n v="17850"/>
    <x v="0"/>
    <n v="6"/>
    <x v="1"/>
  </r>
  <r>
    <n v="536373"/>
    <s v="84406B"/>
    <x v="2"/>
    <n v="8"/>
    <d v="2010-12-01T09:02:00"/>
    <n v="2.75"/>
    <n v="17850"/>
    <x v="0"/>
    <n v="8"/>
    <x v="2"/>
  </r>
  <r>
    <n v="536373"/>
    <n v="20679"/>
    <x v="47"/>
    <n v="6"/>
    <d v="2010-12-01T09:02:00"/>
    <n v="4.95"/>
    <n v="17850"/>
    <x v="0"/>
    <n v="6"/>
    <x v="28"/>
  </r>
  <r>
    <n v="536373"/>
    <n v="37370"/>
    <x v="48"/>
    <n v="6"/>
    <d v="2010-12-01T09:02:00"/>
    <n v="1.06"/>
    <n v="17850"/>
    <x v="0"/>
    <n v="6"/>
    <x v="29"/>
  </r>
  <r>
    <n v="536373"/>
    <n v="21871"/>
    <x v="49"/>
    <n v="6"/>
    <d v="2010-12-01T09:02:00"/>
    <n v="1.06"/>
    <n v="17850"/>
    <x v="0"/>
    <n v="6"/>
    <x v="29"/>
  </r>
  <r>
    <n v="536373"/>
    <n v="21071"/>
    <x v="50"/>
    <n v="6"/>
    <d v="2010-12-01T09:02:00"/>
    <n v="1.06"/>
    <n v="17850"/>
    <x v="0"/>
    <n v="6"/>
    <x v="29"/>
  </r>
  <r>
    <n v="536373"/>
    <n v="21068"/>
    <x v="51"/>
    <n v="6"/>
    <d v="2010-12-01T09:02:00"/>
    <n v="1.06"/>
    <n v="17850"/>
    <x v="0"/>
    <n v="6"/>
    <x v="29"/>
  </r>
  <r>
    <n v="536373"/>
    <n v="82483"/>
    <x v="52"/>
    <n v="2"/>
    <d v="2010-12-01T09:02:00"/>
    <n v="4.95"/>
    <n v="17850"/>
    <x v="0"/>
    <n v="2"/>
    <x v="30"/>
  </r>
  <r>
    <n v="536373"/>
    <n v="82486"/>
    <x v="53"/>
    <n v="4"/>
    <d v="2010-12-01T09:02:00"/>
    <n v="6.95"/>
    <n v="17850"/>
    <x v="0"/>
    <n v="4"/>
    <x v="31"/>
  </r>
  <r>
    <n v="536373"/>
    <n v="82482"/>
    <x v="54"/>
    <n v="6"/>
    <d v="2010-12-01T09:02:00"/>
    <n v="2.1"/>
    <n v="17850"/>
    <x v="0"/>
    <n v="6"/>
    <x v="7"/>
  </r>
  <r>
    <n v="536373"/>
    <s v="82494L"/>
    <x v="55"/>
    <n v="6"/>
    <d v="2010-12-01T09:02:00"/>
    <n v="2.5499999999999998"/>
    <n v="17850"/>
    <x v="0"/>
    <n v="6"/>
    <x v="0"/>
  </r>
  <r>
    <n v="536373"/>
    <s v="84029G"/>
    <x v="3"/>
    <n v="6"/>
    <d v="2010-12-01T09:02:00"/>
    <n v="3.39"/>
    <n v="17850"/>
    <x v="0"/>
    <n v="6"/>
    <x v="1"/>
  </r>
  <r>
    <n v="536373"/>
    <s v="84029E"/>
    <x v="4"/>
    <n v="6"/>
    <d v="2010-12-01T09:02:00"/>
    <n v="3.39"/>
    <n v="17850"/>
    <x v="0"/>
    <n v="6"/>
    <x v="1"/>
  </r>
  <r>
    <n v="536373"/>
    <n v="22752"/>
    <x v="5"/>
    <n v="2"/>
    <d v="2010-12-01T09:02:00"/>
    <n v="7.65"/>
    <n v="17850"/>
    <x v="0"/>
    <n v="2"/>
    <x v="3"/>
  </r>
  <r>
    <n v="536373"/>
    <n v="21730"/>
    <x v="6"/>
    <n v="6"/>
    <d v="2010-12-01T09:02:00"/>
    <n v="4.25"/>
    <n v="17850"/>
    <x v="0"/>
    <n v="6"/>
    <x v="4"/>
  </r>
  <r>
    <n v="536374"/>
    <n v="21258"/>
    <x v="56"/>
    <n v="32"/>
    <d v="2010-12-01T09:09:00"/>
    <n v="10.95"/>
    <n v="15100"/>
    <x v="0"/>
    <n v="32"/>
    <x v="32"/>
  </r>
  <r>
    <n v="536375"/>
    <s v="85123A"/>
    <x v="0"/>
    <n v="6"/>
    <d v="2010-12-01T09:32:00"/>
    <n v="2.5499999999999998"/>
    <n v="17850"/>
    <x v="0"/>
    <n v="6"/>
    <x v="0"/>
  </r>
  <r>
    <n v="536375"/>
    <n v="71053"/>
    <x v="1"/>
    <n v="6"/>
    <d v="2010-12-01T09:32:00"/>
    <n v="3.39"/>
    <n v="17850"/>
    <x v="0"/>
    <n v="6"/>
    <x v="1"/>
  </r>
  <r>
    <n v="536375"/>
    <s v="84406B"/>
    <x v="2"/>
    <n v="8"/>
    <d v="2010-12-01T09:32:00"/>
    <n v="2.75"/>
    <n v="17850"/>
    <x v="0"/>
    <n v="8"/>
    <x v="2"/>
  </r>
  <r>
    <n v="536375"/>
    <n v="20679"/>
    <x v="47"/>
    <n v="6"/>
    <d v="2010-12-01T09:32:00"/>
    <n v="4.95"/>
    <n v="17850"/>
    <x v="0"/>
    <n v="6"/>
    <x v="28"/>
  </r>
  <r>
    <n v="536375"/>
    <n v="37370"/>
    <x v="48"/>
    <n v="6"/>
    <d v="2010-12-01T09:32:00"/>
    <n v="1.06"/>
    <n v="17850"/>
    <x v="0"/>
    <n v="6"/>
    <x v="29"/>
  </r>
  <r>
    <n v="536375"/>
    <n v="21871"/>
    <x v="49"/>
    <n v="6"/>
    <d v="2010-12-01T09:32:00"/>
    <n v="1.06"/>
    <n v="17850"/>
    <x v="0"/>
    <n v="6"/>
    <x v="29"/>
  </r>
  <r>
    <n v="536375"/>
    <n v="21071"/>
    <x v="50"/>
    <n v="6"/>
    <d v="2010-12-01T09:32:00"/>
    <n v="1.06"/>
    <n v="17850"/>
    <x v="0"/>
    <n v="6"/>
    <x v="29"/>
  </r>
  <r>
    <n v="536375"/>
    <n v="21068"/>
    <x v="51"/>
    <n v="6"/>
    <d v="2010-12-01T09:32:00"/>
    <n v="1.06"/>
    <n v="17850"/>
    <x v="0"/>
    <n v="6"/>
    <x v="29"/>
  </r>
  <r>
    <n v="536375"/>
    <n v="82483"/>
    <x v="52"/>
    <n v="2"/>
    <d v="2010-12-01T09:32:00"/>
    <n v="4.95"/>
    <n v="17850"/>
    <x v="0"/>
    <n v="2"/>
    <x v="30"/>
  </r>
  <r>
    <n v="536375"/>
    <n v="82486"/>
    <x v="53"/>
    <n v="4"/>
    <d v="2010-12-01T09:32:00"/>
    <n v="6.95"/>
    <n v="17850"/>
    <x v="0"/>
    <n v="4"/>
    <x v="31"/>
  </r>
  <r>
    <n v="536375"/>
    <n v="82482"/>
    <x v="54"/>
    <n v="6"/>
    <d v="2010-12-01T09:32:00"/>
    <n v="2.1"/>
    <n v="17850"/>
    <x v="0"/>
    <n v="6"/>
    <x v="7"/>
  </r>
  <r>
    <n v="536375"/>
    <s v="82494L"/>
    <x v="55"/>
    <n v="6"/>
    <d v="2010-12-01T09:32:00"/>
    <n v="2.5499999999999998"/>
    <n v="17850"/>
    <x v="0"/>
    <n v="6"/>
    <x v="0"/>
  </r>
  <r>
    <n v="536375"/>
    <s v="84029G"/>
    <x v="3"/>
    <n v="6"/>
    <d v="2010-12-01T09:32:00"/>
    <n v="3.39"/>
    <n v="17850"/>
    <x v="0"/>
    <n v="6"/>
    <x v="1"/>
  </r>
  <r>
    <n v="536375"/>
    <s v="84029E"/>
    <x v="4"/>
    <n v="6"/>
    <d v="2010-12-01T09:32:00"/>
    <n v="3.39"/>
    <n v="17850"/>
    <x v="0"/>
    <n v="6"/>
    <x v="1"/>
  </r>
  <r>
    <n v="536375"/>
    <n v="22752"/>
    <x v="5"/>
    <n v="2"/>
    <d v="2010-12-01T09:32:00"/>
    <n v="7.65"/>
    <n v="17850"/>
    <x v="0"/>
    <n v="2"/>
    <x v="3"/>
  </r>
  <r>
    <n v="536375"/>
    <n v="21730"/>
    <x v="6"/>
    <n v="6"/>
    <d v="2010-12-01T09:32:00"/>
    <n v="4.25"/>
    <n v="17850"/>
    <x v="0"/>
    <n v="6"/>
    <x v="4"/>
  </r>
  <r>
    <n v="536376"/>
    <n v="22114"/>
    <x v="57"/>
    <n v="48"/>
    <d v="2010-12-01T09:32:00"/>
    <n v="3.45"/>
    <n v="15291"/>
    <x v="0"/>
    <n v="48"/>
    <x v="33"/>
  </r>
  <r>
    <n v="536376"/>
    <n v="21733"/>
    <x v="58"/>
    <n v="64"/>
    <d v="2010-12-01T09:32:00"/>
    <n v="2.5499999999999998"/>
    <n v="15291"/>
    <x v="0"/>
    <n v="64"/>
    <x v="34"/>
  </r>
  <r>
    <n v="536377"/>
    <n v="22632"/>
    <x v="8"/>
    <n v="6"/>
    <d v="2010-12-01T09:34:00"/>
    <n v="1.85"/>
    <n v="17850"/>
    <x v="0"/>
    <n v="6"/>
    <x v="5"/>
  </r>
  <r>
    <n v="536377"/>
    <n v="22633"/>
    <x v="7"/>
    <n v="6"/>
    <d v="2010-12-01T09:34:00"/>
    <n v="1.85"/>
    <n v="17850"/>
    <x v="0"/>
    <n v="6"/>
    <x v="5"/>
  </r>
  <r>
    <n v="536378"/>
    <n v="22386"/>
    <x v="59"/>
    <n v="10"/>
    <d v="2010-12-01T09:37:00"/>
    <n v="1.95"/>
    <n v="14688"/>
    <x v="0"/>
    <n v="10"/>
    <x v="35"/>
  </r>
  <r>
    <n v="536378"/>
    <s v="85099C"/>
    <x v="60"/>
    <n v="10"/>
    <d v="2010-12-01T09:37:00"/>
    <n v="1.95"/>
    <n v="14688"/>
    <x v="0"/>
    <n v="10"/>
    <x v="35"/>
  </r>
  <r>
    <n v="536378"/>
    <n v="21033"/>
    <x v="61"/>
    <n v="10"/>
    <d v="2010-12-01T09:37:00"/>
    <n v="2.95"/>
    <n v="14688"/>
    <x v="0"/>
    <n v="10"/>
    <x v="36"/>
  </r>
  <r>
    <n v="536378"/>
    <n v="20723"/>
    <x v="62"/>
    <n v="10"/>
    <d v="2010-12-01T09:37:00"/>
    <n v="0.85"/>
    <n v="14688"/>
    <x v="0"/>
    <n v="10"/>
    <x v="37"/>
  </r>
  <r>
    <n v="536378"/>
    <s v="84997B"/>
    <x v="63"/>
    <n v="12"/>
    <d v="2010-12-01T09:37:00"/>
    <n v="3.75"/>
    <n v="14688"/>
    <x v="0"/>
    <n v="12"/>
    <x v="15"/>
  </r>
  <r>
    <n v="536378"/>
    <s v="84997C"/>
    <x v="64"/>
    <n v="6"/>
    <d v="2010-12-01T09:37:00"/>
    <n v="3.75"/>
    <n v="14688"/>
    <x v="0"/>
    <n v="6"/>
    <x v="38"/>
  </r>
  <r>
    <n v="536378"/>
    <n v="21094"/>
    <x v="65"/>
    <n v="12"/>
    <d v="2010-12-01T09:37:00"/>
    <n v="0.85"/>
    <n v="14688"/>
    <x v="0"/>
    <n v="12"/>
    <x v="16"/>
  </r>
  <r>
    <n v="536378"/>
    <n v="20725"/>
    <x v="66"/>
    <n v="10"/>
    <d v="2010-12-01T09:37:00"/>
    <n v="1.65"/>
    <n v="14688"/>
    <x v="0"/>
    <n v="10"/>
    <x v="39"/>
  </r>
  <r>
    <n v="536378"/>
    <n v="21559"/>
    <x v="67"/>
    <n v="6"/>
    <d v="2010-12-01T09:37:00"/>
    <n v="2.5499999999999998"/>
    <n v="14688"/>
    <x v="0"/>
    <n v="6"/>
    <x v="0"/>
  </r>
  <r>
    <n v="536378"/>
    <n v="22352"/>
    <x v="68"/>
    <n v="6"/>
    <d v="2010-12-01T09:37:00"/>
    <n v="2.5499999999999998"/>
    <n v="14688"/>
    <x v="0"/>
    <n v="6"/>
    <x v="0"/>
  </r>
  <r>
    <n v="536378"/>
    <n v="21212"/>
    <x v="69"/>
    <n v="120"/>
    <d v="2010-12-01T09:37:00"/>
    <n v="0.42"/>
    <n v="14688"/>
    <x v="0"/>
    <n v="120"/>
    <x v="40"/>
  </r>
  <r>
    <n v="536378"/>
    <n v="21975"/>
    <x v="70"/>
    <n v="24"/>
    <d v="2010-12-01T09:37:00"/>
    <n v="0.55000000000000004"/>
    <n v="14688"/>
    <x v="0"/>
    <n v="24"/>
    <x v="41"/>
  </r>
  <r>
    <n v="536378"/>
    <n v="21977"/>
    <x v="71"/>
    <n v="24"/>
    <d v="2010-12-01T09:37:00"/>
    <n v="0.55000000000000004"/>
    <n v="14688"/>
    <x v="0"/>
    <n v="24"/>
    <x v="41"/>
  </r>
  <r>
    <n v="536378"/>
    <n v="84991"/>
    <x v="72"/>
    <n v="24"/>
    <d v="2010-12-01T09:37:00"/>
    <n v="0.55000000000000004"/>
    <n v="14688"/>
    <x v="0"/>
    <n v="24"/>
    <x v="41"/>
  </r>
  <r>
    <n v="536378"/>
    <s v="84519A"/>
    <x v="73"/>
    <n v="6"/>
    <d v="2010-12-01T09:37:00"/>
    <n v="2.95"/>
    <n v="14688"/>
    <x v="0"/>
    <n v="6"/>
    <x v="42"/>
  </r>
  <r>
    <n v="536378"/>
    <s v="85183B"/>
    <x v="74"/>
    <n v="48"/>
    <d v="2010-12-01T09:37:00"/>
    <n v="1.25"/>
    <n v="14688"/>
    <x v="0"/>
    <n v="48"/>
    <x v="43"/>
  </r>
  <r>
    <n v="536378"/>
    <s v="85071B"/>
    <x v="75"/>
    <n v="96"/>
    <d v="2010-12-01T09:37:00"/>
    <n v="0.38"/>
    <n v="14688"/>
    <x v="0"/>
    <n v="96"/>
    <x v="44"/>
  </r>
  <r>
    <n v="536378"/>
    <n v="21931"/>
    <x v="76"/>
    <n v="10"/>
    <d v="2010-12-01T09:37:00"/>
    <n v="1.95"/>
    <n v="14688"/>
    <x v="0"/>
    <n v="10"/>
    <x v="35"/>
  </r>
  <r>
    <n v="536378"/>
    <n v="21929"/>
    <x v="77"/>
    <n v="10"/>
    <d v="2010-12-01T09:37:00"/>
    <n v="1.95"/>
    <n v="14688"/>
    <x v="0"/>
    <n v="10"/>
    <x v="35"/>
  </r>
  <r>
    <n v="536380"/>
    <n v="22961"/>
    <x v="78"/>
    <n v="24"/>
    <d v="2010-12-01T09:41:00"/>
    <n v="1.45"/>
    <n v="17809"/>
    <x v="0"/>
    <n v="24"/>
    <x v="45"/>
  </r>
  <r>
    <n v="536381"/>
    <n v="22139"/>
    <x v="79"/>
    <n v="23"/>
    <d v="2010-12-01T09:41:00"/>
    <n v="4.25"/>
    <n v="15311"/>
    <x v="0"/>
    <n v="23"/>
    <x v="46"/>
  </r>
  <r>
    <n v="536381"/>
    <n v="84854"/>
    <x v="80"/>
    <n v="5"/>
    <d v="2010-12-01T09:41:00"/>
    <n v="4.95"/>
    <n v="15311"/>
    <x v="0"/>
    <n v="5"/>
    <x v="47"/>
  </r>
  <r>
    <n v="536381"/>
    <n v="22411"/>
    <x v="81"/>
    <n v="10"/>
    <d v="2010-12-01T09:41:00"/>
    <n v="1.95"/>
    <n v="15311"/>
    <x v="0"/>
    <n v="10"/>
    <x v="35"/>
  </r>
  <r>
    <n v="536381"/>
    <n v="82567"/>
    <x v="82"/>
    <n v="2"/>
    <d v="2010-12-01T09:41:00"/>
    <n v="2.1"/>
    <n v="15311"/>
    <x v="0"/>
    <n v="2"/>
    <x v="48"/>
  </r>
  <r>
    <n v="536381"/>
    <n v="21672"/>
    <x v="83"/>
    <n v="6"/>
    <d v="2010-12-01T09:41:00"/>
    <n v="1.25"/>
    <n v="15311"/>
    <x v="0"/>
    <n v="6"/>
    <x v="49"/>
  </r>
  <r>
    <n v="536381"/>
    <n v="22774"/>
    <x v="84"/>
    <n v="24"/>
    <d v="2010-12-01T09:41:00"/>
    <n v="1.25"/>
    <n v="15311"/>
    <x v="0"/>
    <n v="24"/>
    <x v="8"/>
  </r>
  <r>
    <n v="536381"/>
    <n v="22771"/>
    <x v="85"/>
    <n v="24"/>
    <d v="2010-12-01T09:41:00"/>
    <n v="1.25"/>
    <n v="15311"/>
    <x v="0"/>
    <n v="24"/>
    <x v="8"/>
  </r>
  <r>
    <n v="536381"/>
    <n v="71270"/>
    <x v="86"/>
    <n v="1"/>
    <d v="2010-12-01T09:41:00"/>
    <n v="1.25"/>
    <n v="15311"/>
    <x v="0"/>
    <n v="1"/>
    <x v="50"/>
  </r>
  <r>
    <n v="536381"/>
    <n v="22262"/>
    <x v="87"/>
    <n v="1"/>
    <d v="2010-12-01T09:41:00"/>
    <n v="0.85"/>
    <n v="15311"/>
    <x v="0"/>
    <n v="1"/>
    <x v="51"/>
  </r>
  <r>
    <n v="536381"/>
    <n v="22637"/>
    <x v="88"/>
    <n v="1"/>
    <d v="2010-12-01T09:41:00"/>
    <n v="2.5499999999999998"/>
    <n v="15311"/>
    <x v="0"/>
    <n v="1"/>
    <x v="52"/>
  </r>
  <r>
    <n v="536381"/>
    <n v="21934"/>
    <x v="89"/>
    <n v="10"/>
    <d v="2010-12-01T09:41:00"/>
    <n v="1.65"/>
    <n v="15311"/>
    <x v="0"/>
    <n v="10"/>
    <x v="39"/>
  </r>
  <r>
    <n v="536381"/>
    <n v="21169"/>
    <x v="90"/>
    <n v="3"/>
    <d v="2010-12-01T09:41:00"/>
    <n v="1.69"/>
    <n v="15311"/>
    <x v="0"/>
    <n v="3"/>
    <x v="53"/>
  </r>
  <r>
    <n v="536381"/>
    <n v="21166"/>
    <x v="91"/>
    <n v="1"/>
    <d v="2010-12-01T09:41:00"/>
    <n v="1.95"/>
    <n v="15311"/>
    <x v="0"/>
    <n v="1"/>
    <x v="54"/>
  </r>
  <r>
    <n v="536381"/>
    <n v="21175"/>
    <x v="92"/>
    <n v="2"/>
    <d v="2010-12-01T09:41:00"/>
    <n v="2.1"/>
    <n v="15311"/>
    <x v="0"/>
    <n v="2"/>
    <x v="48"/>
  </r>
  <r>
    <n v="536381"/>
    <s v="37444A"/>
    <x v="93"/>
    <n v="1"/>
    <d v="2010-12-01T09:41:00"/>
    <n v="2.95"/>
    <n v="15311"/>
    <x v="0"/>
    <n v="1"/>
    <x v="55"/>
  </r>
  <r>
    <n v="536381"/>
    <s v="37444C"/>
    <x v="94"/>
    <n v="1"/>
    <d v="2010-12-01T09:41:00"/>
    <n v="2.95"/>
    <n v="15311"/>
    <x v="0"/>
    <n v="1"/>
    <x v="55"/>
  </r>
  <r>
    <n v="536381"/>
    <n v="22086"/>
    <x v="46"/>
    <n v="4"/>
    <d v="2010-12-01T09:41:00"/>
    <n v="2.95"/>
    <n v="15311"/>
    <x v="0"/>
    <n v="4"/>
    <x v="56"/>
  </r>
  <r>
    <n v="536381"/>
    <n v="22083"/>
    <x v="95"/>
    <n v="1"/>
    <d v="2010-12-01T09:41:00"/>
    <n v="2.95"/>
    <n v="15311"/>
    <x v="0"/>
    <n v="1"/>
    <x v="55"/>
  </r>
  <r>
    <n v="536381"/>
    <s v="84971S"/>
    <x v="96"/>
    <n v="6"/>
    <d v="2010-12-01T09:41:00"/>
    <n v="0.85"/>
    <n v="15311"/>
    <x v="0"/>
    <n v="6"/>
    <x v="57"/>
  </r>
  <r>
    <n v="536381"/>
    <n v="71270"/>
    <x v="86"/>
    <n v="3"/>
    <d v="2010-12-01T09:41:00"/>
    <n v="1.25"/>
    <n v="15311"/>
    <x v="0"/>
    <n v="3"/>
    <x v="58"/>
  </r>
  <r>
    <n v="536381"/>
    <n v="47580"/>
    <x v="97"/>
    <n v="2"/>
    <d v="2010-12-01T09:41:00"/>
    <n v="2.5499999999999998"/>
    <n v="15311"/>
    <x v="0"/>
    <n v="2"/>
    <x v="57"/>
  </r>
  <r>
    <n v="536381"/>
    <n v="22261"/>
    <x v="98"/>
    <n v="1"/>
    <d v="2010-12-01T09:41:00"/>
    <n v="0.85"/>
    <n v="15311"/>
    <x v="0"/>
    <n v="1"/>
    <x v="51"/>
  </r>
  <r>
    <n v="536381"/>
    <n v="84832"/>
    <x v="99"/>
    <n v="1"/>
    <d v="2010-12-01T09:41:00"/>
    <n v="0.85"/>
    <n v="15311"/>
    <x v="0"/>
    <n v="1"/>
    <x v="51"/>
  </r>
  <r>
    <n v="536381"/>
    <n v="22644"/>
    <x v="100"/>
    <n v="1"/>
    <d v="2010-12-01T09:41:00"/>
    <n v="1.45"/>
    <n v="15311"/>
    <x v="0"/>
    <n v="1"/>
    <x v="59"/>
  </r>
  <r>
    <n v="536381"/>
    <n v="21533"/>
    <x v="101"/>
    <n v="1"/>
    <d v="2010-12-01T09:41:00"/>
    <n v="4.95"/>
    <n v="15311"/>
    <x v="0"/>
    <n v="1"/>
    <x v="60"/>
  </r>
  <r>
    <n v="536381"/>
    <n v="21557"/>
    <x v="102"/>
    <n v="2"/>
    <d v="2010-12-01T09:41:00"/>
    <n v="2.95"/>
    <n v="15311"/>
    <x v="0"/>
    <n v="2"/>
    <x v="61"/>
  </r>
  <r>
    <n v="536381"/>
    <s v="15056BL"/>
    <x v="103"/>
    <n v="2"/>
    <d v="2010-12-01T09:41:00"/>
    <n v="5.95"/>
    <n v="15311"/>
    <x v="0"/>
    <n v="2"/>
    <x v="62"/>
  </r>
  <r>
    <n v="536381"/>
    <s v="15056N"/>
    <x v="104"/>
    <n v="2"/>
    <d v="2010-12-01T09:41:00"/>
    <n v="5.95"/>
    <n v="15311"/>
    <x v="0"/>
    <n v="2"/>
    <x v="62"/>
  </r>
  <r>
    <n v="536381"/>
    <n v="22646"/>
    <x v="105"/>
    <n v="4"/>
    <d v="2010-12-01T09:41:00"/>
    <n v="1.45"/>
    <n v="15311"/>
    <x v="0"/>
    <n v="4"/>
    <x v="63"/>
  </r>
  <r>
    <n v="536381"/>
    <n v="22176"/>
    <x v="106"/>
    <n v="1"/>
    <d v="2010-12-01T09:41:00"/>
    <n v="2.95"/>
    <n v="15311"/>
    <x v="0"/>
    <n v="1"/>
    <x v="55"/>
  </r>
  <r>
    <n v="536381"/>
    <n v="22438"/>
    <x v="107"/>
    <n v="1"/>
    <d v="2010-12-01T09:41:00"/>
    <n v="1.95"/>
    <n v="15311"/>
    <x v="0"/>
    <n v="1"/>
    <x v="54"/>
  </r>
  <r>
    <n v="536381"/>
    <n v="21731"/>
    <x v="39"/>
    <n v="2"/>
    <d v="2010-12-01T09:41:00"/>
    <n v="1.65"/>
    <n v="15311"/>
    <x v="0"/>
    <n v="2"/>
    <x v="64"/>
  </r>
  <r>
    <n v="536381"/>
    <n v="22778"/>
    <x v="108"/>
    <n v="3"/>
    <d v="2010-12-01T09:41:00"/>
    <n v="3.95"/>
    <n v="15311"/>
    <x v="0"/>
    <n v="3"/>
    <x v="65"/>
  </r>
  <r>
    <n v="536381"/>
    <n v="22719"/>
    <x v="109"/>
    <n v="36"/>
    <d v="2010-12-01T09:41:00"/>
    <n v="1.06"/>
    <n v="15311"/>
    <x v="0"/>
    <n v="36"/>
    <x v="66"/>
  </r>
  <r>
    <n v="536381"/>
    <n v="21523"/>
    <x v="110"/>
    <n v="10"/>
    <d v="2010-12-01T09:41:00"/>
    <n v="6.75"/>
    <n v="15311"/>
    <x v="0"/>
    <n v="10"/>
    <x v="67"/>
  </r>
  <r>
    <s v="C536379"/>
    <s v="D"/>
    <x v="111"/>
    <n v="-1"/>
    <d v="2010-12-01T09:41:00"/>
    <n v="27.5"/>
    <n v="14527"/>
    <x v="0"/>
    <n v="1"/>
    <x v="68"/>
  </r>
  <r>
    <n v="536382"/>
    <n v="10002"/>
    <x v="31"/>
    <n v="12"/>
    <d v="2010-12-01T09:45:00"/>
    <n v="0.85"/>
    <n v="16098"/>
    <x v="0"/>
    <n v="12"/>
    <x v="16"/>
  </r>
  <r>
    <n v="536382"/>
    <n v="21912"/>
    <x v="112"/>
    <n v="8"/>
    <d v="2010-12-01T09:45:00"/>
    <n v="3.75"/>
    <n v="16098"/>
    <x v="0"/>
    <n v="8"/>
    <x v="8"/>
  </r>
  <r>
    <n v="536382"/>
    <n v="21832"/>
    <x v="113"/>
    <n v="12"/>
    <d v="2010-12-01T09:45:00"/>
    <n v="1.65"/>
    <n v="16098"/>
    <x v="0"/>
    <n v="12"/>
    <x v="69"/>
  </r>
  <r>
    <n v="536382"/>
    <n v="22411"/>
    <x v="81"/>
    <n v="10"/>
    <d v="2010-12-01T09:45:00"/>
    <n v="1.95"/>
    <n v="16098"/>
    <x v="0"/>
    <n v="10"/>
    <x v="35"/>
  </r>
  <r>
    <n v="536382"/>
    <n v="22379"/>
    <x v="114"/>
    <n v="10"/>
    <d v="2010-12-01T09:45:00"/>
    <n v="2.1"/>
    <n v="16098"/>
    <x v="0"/>
    <n v="10"/>
    <x v="70"/>
  </r>
  <r>
    <n v="536382"/>
    <n v="22381"/>
    <x v="115"/>
    <n v="50"/>
    <d v="2010-12-01T09:45:00"/>
    <n v="1.85"/>
    <n v="16098"/>
    <x v="0"/>
    <n v="50"/>
    <x v="71"/>
  </r>
  <r>
    <n v="536382"/>
    <n v="22798"/>
    <x v="116"/>
    <n v="8"/>
    <d v="2010-12-01T09:45:00"/>
    <n v="2.95"/>
    <n v="16098"/>
    <x v="0"/>
    <n v="8"/>
    <x v="72"/>
  </r>
  <r>
    <n v="536382"/>
    <n v="22726"/>
    <x v="28"/>
    <n v="4"/>
    <d v="2010-12-01T09:45:00"/>
    <n v="3.75"/>
    <n v="16098"/>
    <x v="0"/>
    <n v="4"/>
    <x v="73"/>
  </r>
  <r>
    <n v="536382"/>
    <n v="22926"/>
    <x v="117"/>
    <n v="12"/>
    <d v="2010-12-01T09:45:00"/>
    <n v="5.95"/>
    <n v="16098"/>
    <x v="0"/>
    <n v="12"/>
    <x v="74"/>
  </r>
  <r>
    <n v="536382"/>
    <n v="22839"/>
    <x v="118"/>
    <n v="2"/>
    <d v="2010-12-01T09:45:00"/>
    <n v="14.95"/>
    <n v="16098"/>
    <x v="0"/>
    <n v="2"/>
    <x v="75"/>
  </r>
  <r>
    <n v="536382"/>
    <n v="22838"/>
    <x v="119"/>
    <n v="2"/>
    <d v="2010-12-01T09:45:00"/>
    <n v="14.95"/>
    <n v="16098"/>
    <x v="0"/>
    <n v="2"/>
    <x v="75"/>
  </r>
  <r>
    <n v="536382"/>
    <n v="22783"/>
    <x v="120"/>
    <n v="4"/>
    <d v="2010-12-01T09:45:00"/>
    <n v="16.95"/>
    <n v="16098"/>
    <x v="0"/>
    <n v="4"/>
    <x v="76"/>
  </r>
  <r>
    <s v="C536383"/>
    <s v="35004C"/>
    <x v="121"/>
    <n v="-1"/>
    <d v="2010-12-01T09:49:00"/>
    <n v="4.6500000000000004"/>
    <n v="15311"/>
    <x v="0"/>
    <n v="1"/>
    <x v="77"/>
  </r>
  <r>
    <n v="536384"/>
    <n v="82484"/>
    <x v="122"/>
    <n v="3"/>
    <d v="2010-12-01T09:53:00"/>
    <n v="6.45"/>
    <n v="18074"/>
    <x v="0"/>
    <n v="3"/>
    <x v="78"/>
  </r>
  <r>
    <n v="536384"/>
    <n v="84755"/>
    <x v="123"/>
    <n v="48"/>
    <d v="2010-12-01T09:53:00"/>
    <n v="0.65"/>
    <n v="18074"/>
    <x v="0"/>
    <n v="48"/>
    <x v="79"/>
  </r>
  <r>
    <n v="536384"/>
    <n v="22464"/>
    <x v="124"/>
    <n v="12"/>
    <d v="2010-12-01T09:53:00"/>
    <n v="1.65"/>
    <n v="18074"/>
    <x v="0"/>
    <n v="12"/>
    <x v="69"/>
  </r>
  <r>
    <n v="536384"/>
    <n v="21324"/>
    <x v="125"/>
    <n v="6"/>
    <d v="2010-12-01T09:53:00"/>
    <n v="2.95"/>
    <n v="18074"/>
    <x v="0"/>
    <n v="6"/>
    <x v="42"/>
  </r>
  <r>
    <n v="536384"/>
    <n v="22457"/>
    <x v="126"/>
    <n v="12"/>
    <d v="2010-12-01T09:53:00"/>
    <n v="2.95"/>
    <n v="18074"/>
    <x v="0"/>
    <n v="12"/>
    <x v="80"/>
  </r>
  <r>
    <n v="536384"/>
    <n v="22469"/>
    <x v="127"/>
    <n v="40"/>
    <d v="2010-12-01T09:53:00"/>
    <n v="1.45"/>
    <n v="18074"/>
    <x v="0"/>
    <n v="40"/>
    <x v="81"/>
  </r>
  <r>
    <n v="536384"/>
    <n v="22470"/>
    <x v="128"/>
    <n v="40"/>
    <d v="2010-12-01T09:53:00"/>
    <n v="2.5499999999999998"/>
    <n v="18074"/>
    <x v="0"/>
    <n v="40"/>
    <x v="82"/>
  </r>
  <r>
    <n v="536384"/>
    <n v="22224"/>
    <x v="129"/>
    <n v="6"/>
    <d v="2010-12-01T09:53:00"/>
    <n v="2.95"/>
    <n v="18074"/>
    <x v="0"/>
    <n v="6"/>
    <x v="42"/>
  </r>
  <r>
    <n v="536384"/>
    <n v="21340"/>
    <x v="130"/>
    <n v="2"/>
    <d v="2010-12-01T09:53:00"/>
    <n v="12.75"/>
    <n v="18074"/>
    <x v="0"/>
    <n v="2"/>
    <x v="4"/>
  </r>
  <r>
    <n v="536384"/>
    <n v="22189"/>
    <x v="131"/>
    <n v="4"/>
    <d v="2010-12-01T09:53:00"/>
    <n v="3.95"/>
    <n v="18074"/>
    <x v="0"/>
    <n v="4"/>
    <x v="83"/>
  </r>
  <r>
    <n v="536384"/>
    <n v="22427"/>
    <x v="132"/>
    <n v="3"/>
    <d v="2010-12-01T09:53:00"/>
    <n v="5.95"/>
    <n v="18074"/>
    <x v="0"/>
    <n v="3"/>
    <x v="12"/>
  </r>
  <r>
    <n v="536384"/>
    <n v="22428"/>
    <x v="133"/>
    <n v="6"/>
    <d v="2010-12-01T09:53:00"/>
    <n v="6.95"/>
    <n v="18074"/>
    <x v="0"/>
    <n v="6"/>
    <x v="84"/>
  </r>
  <r>
    <n v="536384"/>
    <n v="22424"/>
    <x v="134"/>
    <n v="8"/>
    <d v="2010-12-01T09:53:00"/>
    <n v="10.95"/>
    <n v="18074"/>
    <x v="0"/>
    <n v="8"/>
    <x v="85"/>
  </r>
  <r>
    <n v="536385"/>
    <n v="22783"/>
    <x v="120"/>
    <n v="1"/>
    <d v="2010-12-01T09:56:00"/>
    <n v="19.95"/>
    <n v="17420"/>
    <x v="0"/>
    <n v="1"/>
    <x v="86"/>
  </r>
  <r>
    <n v="536385"/>
    <n v="22961"/>
    <x v="78"/>
    <n v="12"/>
    <d v="2010-12-01T09:56:00"/>
    <n v="1.45"/>
    <n v="17420"/>
    <x v="0"/>
    <n v="12"/>
    <x v="87"/>
  </r>
  <r>
    <n v="536385"/>
    <n v="22960"/>
    <x v="21"/>
    <n v="6"/>
    <d v="2010-12-01T09:56:00"/>
    <n v="4.25"/>
    <n v="17420"/>
    <x v="0"/>
    <n v="6"/>
    <x v="4"/>
  </r>
  <r>
    <n v="536385"/>
    <n v="22663"/>
    <x v="135"/>
    <n v="10"/>
    <d v="2010-12-01T09:56:00"/>
    <n v="1.95"/>
    <n v="17420"/>
    <x v="0"/>
    <n v="10"/>
    <x v="35"/>
  </r>
  <r>
    <n v="536385"/>
    <s v="85049A"/>
    <x v="136"/>
    <n v="12"/>
    <d v="2010-12-01T09:56:00"/>
    <n v="1.25"/>
    <n v="17420"/>
    <x v="0"/>
    <n v="12"/>
    <x v="73"/>
  </r>
  <r>
    <n v="536385"/>
    <n v="22168"/>
    <x v="137"/>
    <n v="2"/>
    <d v="2010-12-01T09:56:00"/>
    <n v="8.5"/>
    <n v="17420"/>
    <x v="0"/>
    <n v="2"/>
    <x v="22"/>
  </r>
  <r>
    <n v="536385"/>
    <n v="22662"/>
    <x v="138"/>
    <n v="10"/>
    <d v="2010-12-01T09:56:00"/>
    <n v="1.65"/>
    <n v="17420"/>
    <x v="0"/>
    <n v="10"/>
    <x v="39"/>
  </r>
  <r>
    <n v="536386"/>
    <n v="84880"/>
    <x v="139"/>
    <n v="36"/>
    <d v="2010-12-01T09:57:00"/>
    <n v="4.95"/>
    <n v="16029"/>
    <x v="0"/>
    <n v="36"/>
    <x v="88"/>
  </r>
  <r>
    <n v="536386"/>
    <s v="85099C"/>
    <x v="60"/>
    <n v="100"/>
    <d v="2010-12-01T09:57:00"/>
    <n v="1.65"/>
    <n v="16029"/>
    <x v="0"/>
    <n v="100"/>
    <x v="89"/>
  </r>
  <r>
    <n v="536386"/>
    <s v="85099B"/>
    <x v="140"/>
    <n v="100"/>
    <d v="2010-12-01T09:57:00"/>
    <n v="1.65"/>
    <n v="16029"/>
    <x v="0"/>
    <n v="100"/>
    <x v="89"/>
  </r>
  <r>
    <n v="536387"/>
    <n v="79321"/>
    <x v="141"/>
    <n v="192"/>
    <d v="2010-12-01T09:58:00"/>
    <n v="3.82"/>
    <n v="16029"/>
    <x v="0"/>
    <n v="192"/>
    <x v="90"/>
  </r>
  <r>
    <n v="536387"/>
    <n v="22780"/>
    <x v="142"/>
    <n v="192"/>
    <d v="2010-12-01T09:58:00"/>
    <n v="3.37"/>
    <n v="16029"/>
    <x v="0"/>
    <n v="192"/>
    <x v="91"/>
  </r>
  <r>
    <n v="536387"/>
    <n v="22779"/>
    <x v="143"/>
    <n v="192"/>
    <d v="2010-12-01T09:58:00"/>
    <n v="3.37"/>
    <n v="16029"/>
    <x v="0"/>
    <n v="192"/>
    <x v="91"/>
  </r>
  <r>
    <n v="536387"/>
    <n v="22466"/>
    <x v="144"/>
    <n v="432"/>
    <d v="2010-12-01T09:58:00"/>
    <n v="1.45"/>
    <n v="16029"/>
    <x v="0"/>
    <n v="432"/>
    <x v="92"/>
  </r>
  <r>
    <n v="536387"/>
    <n v="21731"/>
    <x v="39"/>
    <n v="432"/>
    <d v="2010-12-01T09:58:00"/>
    <n v="1.25"/>
    <n v="16029"/>
    <x v="0"/>
    <n v="432"/>
    <x v="93"/>
  </r>
  <r>
    <n v="536388"/>
    <n v="21754"/>
    <x v="17"/>
    <n v="3"/>
    <d v="2010-12-01T09:59:00"/>
    <n v="5.95"/>
    <n v="16250"/>
    <x v="0"/>
    <n v="3"/>
    <x v="12"/>
  </r>
  <r>
    <n v="536388"/>
    <n v="21755"/>
    <x v="18"/>
    <n v="3"/>
    <d v="2010-12-01T09:59:00"/>
    <n v="5.95"/>
    <n v="16250"/>
    <x v="0"/>
    <n v="3"/>
    <x v="12"/>
  </r>
  <r>
    <n v="536388"/>
    <n v="21523"/>
    <x v="110"/>
    <n v="2"/>
    <d v="2010-12-01T09:59:00"/>
    <n v="7.95"/>
    <n v="16250"/>
    <x v="0"/>
    <n v="2"/>
    <x v="94"/>
  </r>
  <r>
    <n v="536388"/>
    <n v="21363"/>
    <x v="145"/>
    <n v="3"/>
    <d v="2010-12-01T09:59:00"/>
    <n v="4.95"/>
    <n v="16250"/>
    <x v="0"/>
    <n v="3"/>
    <x v="10"/>
  </r>
  <r>
    <n v="536388"/>
    <n v="21411"/>
    <x v="146"/>
    <n v="3"/>
    <d v="2010-12-01T09:59:00"/>
    <n v="4.25"/>
    <n v="16250"/>
    <x v="0"/>
    <n v="3"/>
    <x v="95"/>
  </r>
  <r>
    <n v="536388"/>
    <n v="22318"/>
    <x v="147"/>
    <n v="6"/>
    <d v="2010-12-01T09:59:00"/>
    <n v="2.95"/>
    <n v="16250"/>
    <x v="0"/>
    <n v="6"/>
    <x v="42"/>
  </r>
  <r>
    <n v="536388"/>
    <n v="22464"/>
    <x v="124"/>
    <n v="12"/>
    <d v="2010-12-01T09:59:00"/>
    <n v="1.65"/>
    <n v="16250"/>
    <x v="0"/>
    <n v="12"/>
    <x v="69"/>
  </r>
  <r>
    <n v="536388"/>
    <n v="22915"/>
    <x v="148"/>
    <n v="12"/>
    <d v="2010-12-01T09:59:00"/>
    <n v="0.42"/>
    <n v="16250"/>
    <x v="0"/>
    <n v="12"/>
    <x v="96"/>
  </r>
  <r>
    <n v="536388"/>
    <n v="22922"/>
    <x v="149"/>
    <n v="12"/>
    <d v="2010-12-01T09:59:00"/>
    <n v="0.85"/>
    <n v="16250"/>
    <x v="0"/>
    <n v="12"/>
    <x v="16"/>
  </r>
  <r>
    <n v="536388"/>
    <n v="22969"/>
    <x v="150"/>
    <n v="12"/>
    <d v="2010-12-01T09:59:00"/>
    <n v="1.45"/>
    <n v="16250"/>
    <x v="0"/>
    <n v="12"/>
    <x v="87"/>
  </r>
  <r>
    <n v="536388"/>
    <n v="22923"/>
    <x v="151"/>
    <n v="12"/>
    <d v="2010-12-01T09:59:00"/>
    <n v="0.85"/>
    <n v="16250"/>
    <x v="0"/>
    <n v="12"/>
    <x v="16"/>
  </r>
  <r>
    <n v="536388"/>
    <n v="21115"/>
    <x v="152"/>
    <n v="4"/>
    <d v="2010-12-01T09:59:00"/>
    <n v="6.75"/>
    <n v="16250"/>
    <x v="0"/>
    <n v="4"/>
    <x v="97"/>
  </r>
  <r>
    <n v="536388"/>
    <n v="22469"/>
    <x v="127"/>
    <n v="12"/>
    <d v="2010-12-01T09:59:00"/>
    <n v="1.65"/>
    <n v="16250"/>
    <x v="0"/>
    <n v="12"/>
    <x v="69"/>
  </r>
  <r>
    <n v="536388"/>
    <n v="22242"/>
    <x v="153"/>
    <n v="12"/>
    <d v="2010-12-01T09:59:00"/>
    <n v="1.65"/>
    <n v="16250"/>
    <x v="0"/>
    <n v="12"/>
    <x v="69"/>
  </r>
  <r>
    <n v="536389"/>
    <n v="22941"/>
    <x v="154"/>
    <n v="6"/>
    <d v="2010-12-01T10:03:00"/>
    <n v="8.5"/>
    <n v="12431"/>
    <x v="2"/>
    <n v="6"/>
    <x v="98"/>
  </r>
  <r>
    <n v="536389"/>
    <n v="21622"/>
    <x v="155"/>
    <n v="8"/>
    <d v="2010-12-01T10:03:00"/>
    <n v="4.95"/>
    <n v="12431"/>
    <x v="2"/>
    <n v="8"/>
    <x v="99"/>
  </r>
  <r>
    <n v="536389"/>
    <n v="21791"/>
    <x v="32"/>
    <n v="12"/>
    <d v="2010-12-01T10:03:00"/>
    <n v="1.25"/>
    <n v="12431"/>
    <x v="2"/>
    <n v="12"/>
    <x v="73"/>
  </r>
  <r>
    <n v="536389"/>
    <s v="35004C"/>
    <x v="121"/>
    <n v="6"/>
    <d v="2010-12-01T10:03:00"/>
    <n v="5.45"/>
    <n v="12431"/>
    <x v="2"/>
    <n v="6"/>
    <x v="100"/>
  </r>
  <r>
    <n v="536389"/>
    <s v="35004G"/>
    <x v="156"/>
    <n v="4"/>
    <d v="2010-12-01T10:03:00"/>
    <n v="6.35"/>
    <n v="12431"/>
    <x v="2"/>
    <n v="4"/>
    <x v="101"/>
  </r>
  <r>
    <n v="536389"/>
    <s v="85014B"/>
    <x v="157"/>
    <n v="6"/>
    <d v="2010-12-01T10:03:00"/>
    <n v="5.95"/>
    <n v="12431"/>
    <x v="2"/>
    <n v="6"/>
    <x v="102"/>
  </r>
  <r>
    <n v="536389"/>
    <s v="85014A"/>
    <x v="158"/>
    <n v="3"/>
    <d v="2010-12-01T10:03:00"/>
    <n v="5.95"/>
    <n v="12431"/>
    <x v="2"/>
    <n v="3"/>
    <x v="12"/>
  </r>
  <r>
    <n v="536389"/>
    <n v="22193"/>
    <x v="159"/>
    <n v="2"/>
    <d v="2010-12-01T10:03:00"/>
    <n v="8.5"/>
    <n v="12431"/>
    <x v="2"/>
    <n v="2"/>
    <x v="22"/>
  </r>
  <r>
    <n v="536389"/>
    <n v="22726"/>
    <x v="28"/>
    <n v="4"/>
    <d v="2010-12-01T10:03:00"/>
    <n v="3.75"/>
    <n v="12431"/>
    <x v="2"/>
    <n v="4"/>
    <x v="73"/>
  </r>
  <r>
    <n v="536389"/>
    <n v="22727"/>
    <x v="27"/>
    <n v="4"/>
    <d v="2010-12-01T10:03:00"/>
    <n v="3.75"/>
    <n v="12431"/>
    <x v="2"/>
    <n v="4"/>
    <x v="73"/>
  </r>
  <r>
    <n v="536389"/>
    <n v="22192"/>
    <x v="160"/>
    <n v="2"/>
    <d v="2010-12-01T10:03:00"/>
    <n v="8.5"/>
    <n v="12431"/>
    <x v="2"/>
    <n v="2"/>
    <x v="22"/>
  </r>
  <r>
    <n v="536389"/>
    <n v="22191"/>
    <x v="161"/>
    <n v="2"/>
    <d v="2010-12-01T10:03:00"/>
    <n v="8.5"/>
    <n v="12431"/>
    <x v="2"/>
    <n v="2"/>
    <x v="22"/>
  </r>
  <r>
    <n v="536389"/>
    <n v="22195"/>
    <x v="162"/>
    <n v="24"/>
    <d v="2010-12-01T10:03:00"/>
    <n v="1.65"/>
    <n v="12431"/>
    <x v="2"/>
    <n v="24"/>
    <x v="23"/>
  </r>
  <r>
    <n v="536389"/>
    <n v="22196"/>
    <x v="163"/>
    <n v="24"/>
    <d v="2010-12-01T10:03:00"/>
    <n v="0.85"/>
    <n v="12431"/>
    <x v="2"/>
    <n v="24"/>
    <x v="103"/>
  </r>
  <r>
    <n v="536390"/>
    <n v="22941"/>
    <x v="154"/>
    <n v="2"/>
    <d v="2010-12-01T10:19:00"/>
    <n v="8.5"/>
    <n v="17511"/>
    <x v="0"/>
    <n v="2"/>
    <x v="22"/>
  </r>
  <r>
    <n v="536390"/>
    <n v="22960"/>
    <x v="21"/>
    <n v="12"/>
    <d v="2010-12-01T10:19:00"/>
    <n v="3.75"/>
    <n v="17511"/>
    <x v="0"/>
    <n v="12"/>
    <x v="15"/>
  </r>
  <r>
    <n v="536390"/>
    <n v="22961"/>
    <x v="78"/>
    <n v="12"/>
    <d v="2010-12-01T10:19:00"/>
    <n v="1.45"/>
    <n v="17511"/>
    <x v="0"/>
    <n v="12"/>
    <x v="87"/>
  </r>
  <r>
    <n v="536390"/>
    <n v="22962"/>
    <x v="164"/>
    <n v="48"/>
    <d v="2010-12-01T10:19:00"/>
    <n v="0.72"/>
    <n v="17511"/>
    <x v="0"/>
    <n v="48"/>
    <x v="104"/>
  </r>
  <r>
    <n v="536390"/>
    <n v="22963"/>
    <x v="165"/>
    <n v="48"/>
    <d v="2010-12-01T10:19:00"/>
    <n v="0.72"/>
    <n v="17511"/>
    <x v="0"/>
    <n v="48"/>
    <x v="104"/>
  </r>
  <r>
    <n v="536390"/>
    <n v="22968"/>
    <x v="166"/>
    <n v="8"/>
    <d v="2010-12-01T10:19:00"/>
    <n v="8.5"/>
    <n v="17511"/>
    <x v="0"/>
    <n v="8"/>
    <x v="105"/>
  </r>
  <r>
    <n v="536390"/>
    <s v="84970S"/>
    <x v="167"/>
    <n v="144"/>
    <d v="2010-12-01T10:19:00"/>
    <n v="0.64"/>
    <n v="17511"/>
    <x v="0"/>
    <n v="144"/>
    <x v="106"/>
  </r>
  <r>
    <n v="536390"/>
    <n v="22910"/>
    <x v="168"/>
    <n v="40"/>
    <d v="2010-12-01T10:19:00"/>
    <n v="2.5499999999999998"/>
    <n v="17511"/>
    <x v="0"/>
    <n v="40"/>
    <x v="82"/>
  </r>
  <r>
    <n v="536390"/>
    <n v="20668"/>
    <x v="169"/>
    <n v="288"/>
    <d v="2010-12-01T10:19:00"/>
    <n v="0.1"/>
    <n v="17511"/>
    <x v="0"/>
    <n v="288"/>
    <x v="107"/>
  </r>
  <r>
    <n v="536390"/>
    <s v="85123A"/>
    <x v="0"/>
    <n v="64"/>
    <d v="2010-12-01T10:19:00"/>
    <n v="2.5499999999999998"/>
    <n v="17511"/>
    <x v="0"/>
    <n v="64"/>
    <x v="34"/>
  </r>
  <r>
    <n v="536390"/>
    <n v="22197"/>
    <x v="170"/>
    <n v="100"/>
    <d v="2010-12-01T10:19:00"/>
    <n v="0.72"/>
    <n v="17511"/>
    <x v="0"/>
    <n v="100"/>
    <x v="108"/>
  </r>
  <r>
    <n v="536390"/>
    <n v="22198"/>
    <x v="171"/>
    <n v="50"/>
    <d v="2010-12-01T10:19:00"/>
    <n v="1.45"/>
    <n v="17511"/>
    <x v="0"/>
    <n v="50"/>
    <x v="109"/>
  </r>
  <r>
    <n v="536390"/>
    <n v="21533"/>
    <x v="101"/>
    <n v="12"/>
    <d v="2010-12-01T10:19:00"/>
    <n v="4.25"/>
    <n v="17511"/>
    <x v="0"/>
    <n v="12"/>
    <x v="98"/>
  </r>
  <r>
    <n v="536390"/>
    <n v="21080"/>
    <x v="172"/>
    <n v="96"/>
    <d v="2010-12-01T10:19:00"/>
    <n v="0.64"/>
    <n v="17511"/>
    <x v="0"/>
    <n v="96"/>
    <x v="110"/>
  </r>
  <r>
    <n v="536390"/>
    <n v="21094"/>
    <x v="65"/>
    <n v="96"/>
    <d v="2010-12-01T10:19:00"/>
    <n v="0.64"/>
    <n v="17511"/>
    <x v="0"/>
    <n v="96"/>
    <x v="110"/>
  </r>
  <r>
    <n v="536390"/>
    <n v="21086"/>
    <x v="173"/>
    <n v="48"/>
    <d v="2010-12-01T10:19:00"/>
    <n v="0.65"/>
    <n v="17511"/>
    <x v="0"/>
    <n v="48"/>
    <x v="79"/>
  </r>
  <r>
    <n v="536390"/>
    <n v="21786"/>
    <x v="174"/>
    <n v="144"/>
    <d v="2010-12-01T10:19:00"/>
    <n v="0.32"/>
    <n v="17511"/>
    <x v="0"/>
    <n v="144"/>
    <x v="111"/>
  </r>
  <r>
    <n v="536390"/>
    <n v="22654"/>
    <x v="175"/>
    <n v="40"/>
    <d v="2010-12-01T10:19:00"/>
    <n v="4.95"/>
    <n v="17511"/>
    <x v="0"/>
    <n v="40"/>
    <x v="112"/>
  </r>
  <r>
    <n v="536390"/>
    <n v="21485"/>
    <x v="176"/>
    <n v="24"/>
    <d v="2010-12-01T10:19:00"/>
    <n v="4.25"/>
    <n v="17511"/>
    <x v="0"/>
    <n v="24"/>
    <x v="82"/>
  </r>
  <r>
    <n v="536390"/>
    <s v="84029G"/>
    <x v="3"/>
    <n v="24"/>
    <d v="2010-12-01T10:19:00"/>
    <n v="3.39"/>
    <n v="17511"/>
    <x v="0"/>
    <n v="24"/>
    <x v="113"/>
  </r>
  <r>
    <n v="536390"/>
    <s v="84030E"/>
    <x v="177"/>
    <n v="24"/>
    <d v="2010-12-01T10:19:00"/>
    <n v="3.75"/>
    <n v="17511"/>
    <x v="0"/>
    <n v="24"/>
    <x v="14"/>
  </r>
  <r>
    <n v="536390"/>
    <n v="22174"/>
    <x v="178"/>
    <n v="48"/>
    <d v="2010-12-01T10:19:00"/>
    <n v="1.48"/>
    <n v="17511"/>
    <x v="0"/>
    <n v="48"/>
    <x v="114"/>
  </r>
  <r>
    <n v="536390"/>
    <n v="22969"/>
    <x v="150"/>
    <n v="96"/>
    <d v="2010-12-01T10:19:00"/>
    <n v="1.25"/>
    <n v="17511"/>
    <x v="0"/>
    <n v="96"/>
    <x v="115"/>
  </r>
  <r>
    <n v="536390"/>
    <s v="85099B"/>
    <x v="140"/>
    <n v="100"/>
    <d v="2010-12-01T10:19:00"/>
    <n v="1.65"/>
    <n v="17511"/>
    <x v="0"/>
    <n v="100"/>
    <x v="89"/>
  </r>
  <r>
    <s v="C536391"/>
    <n v="22556"/>
    <x v="179"/>
    <n v="-12"/>
    <d v="2010-12-01T10:24:00"/>
    <n v="1.65"/>
    <n v="17548"/>
    <x v="0"/>
    <n v="12"/>
    <x v="69"/>
  </r>
  <r>
    <s v="C536391"/>
    <n v="21984"/>
    <x v="180"/>
    <n v="-24"/>
    <d v="2010-12-01T10:24:00"/>
    <n v="0.28999999999999998"/>
    <n v="17548"/>
    <x v="0"/>
    <n v="24"/>
    <x v="116"/>
  </r>
  <r>
    <s v="C536391"/>
    <n v="21983"/>
    <x v="181"/>
    <n v="-24"/>
    <d v="2010-12-01T10:24:00"/>
    <n v="0.28999999999999998"/>
    <n v="17548"/>
    <x v="0"/>
    <n v="24"/>
    <x v="116"/>
  </r>
  <r>
    <s v="C536391"/>
    <n v="21980"/>
    <x v="182"/>
    <n v="-24"/>
    <d v="2010-12-01T10:24:00"/>
    <n v="0.28999999999999998"/>
    <n v="17548"/>
    <x v="0"/>
    <n v="24"/>
    <x v="116"/>
  </r>
  <r>
    <s v="C536391"/>
    <n v="21484"/>
    <x v="183"/>
    <n v="-12"/>
    <d v="2010-12-01T10:24:00"/>
    <n v="3.45"/>
    <n v="17548"/>
    <x v="0"/>
    <n v="12"/>
    <x v="117"/>
  </r>
  <r>
    <s v="C536391"/>
    <n v="22557"/>
    <x v="184"/>
    <n v="-12"/>
    <d v="2010-12-01T10:24:00"/>
    <n v="1.65"/>
    <n v="17548"/>
    <x v="0"/>
    <n v="12"/>
    <x v="69"/>
  </r>
  <r>
    <s v="C536391"/>
    <n v="22553"/>
    <x v="185"/>
    <n v="-24"/>
    <d v="2010-12-01T10:24:00"/>
    <n v="1.65"/>
    <n v="17548"/>
    <x v="0"/>
    <n v="24"/>
    <x v="23"/>
  </r>
  <r>
    <n v="536392"/>
    <n v="22150"/>
    <x v="186"/>
    <n v="6"/>
    <d v="2010-12-01T10:29:00"/>
    <n v="1.95"/>
    <n v="13705"/>
    <x v="0"/>
    <n v="6"/>
    <x v="118"/>
  </r>
  <r>
    <n v="536392"/>
    <n v="22619"/>
    <x v="187"/>
    <n v="4"/>
    <d v="2010-12-01T10:29:00"/>
    <n v="3.75"/>
    <n v="13705"/>
    <x v="0"/>
    <n v="4"/>
    <x v="73"/>
  </r>
  <r>
    <n v="536392"/>
    <n v="21891"/>
    <x v="188"/>
    <n v="12"/>
    <d v="2010-12-01T10:29:00"/>
    <n v="1.25"/>
    <n v="13705"/>
    <x v="0"/>
    <n v="12"/>
    <x v="73"/>
  </r>
  <r>
    <n v="536392"/>
    <n v="21889"/>
    <x v="189"/>
    <n v="12"/>
    <d v="2010-12-01T10:29:00"/>
    <n v="1.25"/>
    <n v="13705"/>
    <x v="0"/>
    <n v="12"/>
    <x v="73"/>
  </r>
  <r>
    <n v="536392"/>
    <n v="22827"/>
    <x v="190"/>
    <n v="1"/>
    <d v="2010-12-01T10:29:00"/>
    <n v="165"/>
    <n v="13705"/>
    <x v="0"/>
    <n v="1"/>
    <x v="89"/>
  </r>
  <r>
    <n v="536392"/>
    <n v="22127"/>
    <x v="191"/>
    <n v="12"/>
    <d v="2010-12-01T10:29:00"/>
    <n v="1.25"/>
    <n v="13705"/>
    <x v="0"/>
    <n v="12"/>
    <x v="73"/>
  </r>
  <r>
    <n v="536392"/>
    <n v="22128"/>
    <x v="192"/>
    <n v="12"/>
    <d v="2010-12-01T10:29:00"/>
    <n v="1.25"/>
    <n v="13705"/>
    <x v="0"/>
    <n v="12"/>
    <x v="73"/>
  </r>
  <r>
    <n v="536392"/>
    <n v="22502"/>
    <x v="193"/>
    <n v="4"/>
    <d v="2010-12-01T10:29:00"/>
    <n v="5.95"/>
    <n v="13705"/>
    <x v="0"/>
    <n v="4"/>
    <x v="119"/>
  </r>
  <r>
    <n v="536392"/>
    <n v="84879"/>
    <x v="9"/>
    <n v="16"/>
    <d v="2010-12-01T10:29:00"/>
    <n v="1.69"/>
    <n v="13705"/>
    <x v="0"/>
    <n v="16"/>
    <x v="120"/>
  </r>
  <r>
    <n v="536392"/>
    <n v="22338"/>
    <x v="194"/>
    <n v="24"/>
    <d v="2010-12-01T10:29:00"/>
    <n v="0.65"/>
    <n v="13705"/>
    <x v="0"/>
    <n v="24"/>
    <x v="17"/>
  </r>
  <r>
    <n v="536393"/>
    <n v="22180"/>
    <x v="195"/>
    <n v="8"/>
    <d v="2010-12-01T10:37:00"/>
    <n v="9.9499999999999993"/>
    <n v="13747"/>
    <x v="0"/>
    <n v="8"/>
    <x v="121"/>
  </r>
  <r>
    <n v="536394"/>
    <n v="21506"/>
    <x v="196"/>
    <n v="24"/>
    <d v="2010-12-01T10:39:00"/>
    <n v="0.42"/>
    <n v="13408"/>
    <x v="0"/>
    <n v="24"/>
    <x v="24"/>
  </r>
  <r>
    <n v="536394"/>
    <n v="22633"/>
    <x v="7"/>
    <n v="96"/>
    <d v="2010-12-01T10:39:00"/>
    <n v="1.85"/>
    <n v="13408"/>
    <x v="0"/>
    <n v="96"/>
    <x v="122"/>
  </r>
  <r>
    <n v="536394"/>
    <n v="22866"/>
    <x v="197"/>
    <n v="96"/>
    <d v="2010-12-01T10:39:00"/>
    <n v="1.85"/>
    <n v="13408"/>
    <x v="0"/>
    <n v="96"/>
    <x v="122"/>
  </r>
  <r>
    <n v="536394"/>
    <n v="22865"/>
    <x v="198"/>
    <n v="96"/>
    <d v="2010-12-01T10:39:00"/>
    <n v="1.85"/>
    <n v="13408"/>
    <x v="0"/>
    <n v="96"/>
    <x v="122"/>
  </r>
  <r>
    <n v="536394"/>
    <n v="22632"/>
    <x v="199"/>
    <n v="96"/>
    <d v="2010-12-01T10:39:00"/>
    <n v="1.85"/>
    <n v="13408"/>
    <x v="0"/>
    <n v="96"/>
    <x v="122"/>
  </r>
  <r>
    <n v="536394"/>
    <n v="21485"/>
    <x v="176"/>
    <n v="12"/>
    <d v="2010-12-01T10:39:00"/>
    <n v="4.95"/>
    <n v="13408"/>
    <x v="0"/>
    <n v="12"/>
    <x v="123"/>
  </r>
  <r>
    <n v="536394"/>
    <n v="22349"/>
    <x v="200"/>
    <n v="12"/>
    <d v="2010-12-01T10:39:00"/>
    <n v="3.75"/>
    <n v="13408"/>
    <x v="0"/>
    <n v="12"/>
    <x v="15"/>
  </r>
  <r>
    <n v="536394"/>
    <n v="22558"/>
    <x v="201"/>
    <n v="48"/>
    <d v="2010-12-01T10:39:00"/>
    <n v="1.25"/>
    <n v="13408"/>
    <x v="0"/>
    <n v="48"/>
    <x v="43"/>
  </r>
  <r>
    <n v="536394"/>
    <n v="85152"/>
    <x v="202"/>
    <n v="12"/>
    <d v="2010-12-01T10:39:00"/>
    <n v="2.1"/>
    <n v="13408"/>
    <x v="0"/>
    <n v="12"/>
    <x v="124"/>
  </r>
  <r>
    <n v="536394"/>
    <s v="85123A"/>
    <x v="0"/>
    <n v="32"/>
    <d v="2010-12-01T10:39:00"/>
    <n v="2.5499999999999998"/>
    <n v="13408"/>
    <x v="0"/>
    <n v="32"/>
    <x v="125"/>
  </r>
  <r>
    <n v="536394"/>
    <n v="22652"/>
    <x v="203"/>
    <n v="20"/>
    <d v="2010-12-01T10:39:00"/>
    <n v="1.65"/>
    <n v="13408"/>
    <x v="0"/>
    <n v="20"/>
    <x v="126"/>
  </r>
  <r>
    <n v="536395"/>
    <n v="22188"/>
    <x v="204"/>
    <n v="8"/>
    <d v="2010-12-01T10:47:00"/>
    <n v="3.95"/>
    <n v="13767"/>
    <x v="0"/>
    <n v="8"/>
    <x v="127"/>
  </r>
  <r>
    <n v="536395"/>
    <n v="84879"/>
    <x v="9"/>
    <n v="32"/>
    <d v="2010-12-01T10:47:00"/>
    <n v="1.69"/>
    <n v="13767"/>
    <x v="0"/>
    <n v="32"/>
    <x v="6"/>
  </r>
  <r>
    <n v="536395"/>
    <n v="21977"/>
    <x v="71"/>
    <n v="24"/>
    <d v="2010-12-01T10:47:00"/>
    <n v="0.55000000000000004"/>
    <n v="13767"/>
    <x v="0"/>
    <n v="24"/>
    <x v="41"/>
  </r>
  <r>
    <n v="536395"/>
    <n v="84991"/>
    <x v="72"/>
    <n v="24"/>
    <d v="2010-12-01T10:47:00"/>
    <n v="0.55000000000000004"/>
    <n v="13767"/>
    <x v="0"/>
    <n v="24"/>
    <x v="41"/>
  </r>
  <r>
    <n v="536395"/>
    <n v="21212"/>
    <x v="69"/>
    <n v="24"/>
    <d v="2010-12-01T10:47:00"/>
    <n v="0.55000000000000004"/>
    <n v="13767"/>
    <x v="0"/>
    <n v="24"/>
    <x v="41"/>
  </r>
  <r>
    <n v="536395"/>
    <n v="21484"/>
    <x v="183"/>
    <n v="8"/>
    <d v="2010-12-01T10:47:00"/>
    <n v="3.45"/>
    <n v="13767"/>
    <x v="0"/>
    <n v="8"/>
    <x v="128"/>
  </r>
  <r>
    <n v="536395"/>
    <n v="21314"/>
    <x v="205"/>
    <n v="8"/>
    <d v="2010-12-01T10:47:00"/>
    <n v="2.1"/>
    <n v="13767"/>
    <x v="0"/>
    <n v="8"/>
    <x v="129"/>
  </r>
  <r>
    <n v="536395"/>
    <n v="22730"/>
    <x v="206"/>
    <n v="4"/>
    <d v="2010-12-01T10:47:00"/>
    <n v="3.75"/>
    <n v="13767"/>
    <x v="0"/>
    <n v="4"/>
    <x v="73"/>
  </r>
  <r>
    <n v="536395"/>
    <n v="22727"/>
    <x v="27"/>
    <n v="8"/>
    <d v="2010-12-01T10:47:00"/>
    <n v="3.75"/>
    <n v="13767"/>
    <x v="0"/>
    <n v="8"/>
    <x v="8"/>
  </r>
  <r>
    <n v="536395"/>
    <n v="22729"/>
    <x v="207"/>
    <n v="8"/>
    <d v="2010-12-01T10:47:00"/>
    <n v="3.75"/>
    <n v="13767"/>
    <x v="0"/>
    <n v="8"/>
    <x v="8"/>
  </r>
  <r>
    <n v="536395"/>
    <n v="22726"/>
    <x v="28"/>
    <n v="8"/>
    <d v="2010-12-01T10:47:00"/>
    <n v="3.75"/>
    <n v="13767"/>
    <x v="0"/>
    <n v="8"/>
    <x v="8"/>
  </r>
  <r>
    <n v="536395"/>
    <n v="22114"/>
    <x v="57"/>
    <n v="8"/>
    <d v="2010-12-01T10:47:00"/>
    <n v="3.95"/>
    <n v="13767"/>
    <x v="0"/>
    <n v="8"/>
    <x v="127"/>
  </r>
  <r>
    <n v="536395"/>
    <n v="22867"/>
    <x v="208"/>
    <n v="48"/>
    <d v="2010-12-01T10:47:00"/>
    <n v="2.1"/>
    <n v="13767"/>
    <x v="0"/>
    <n v="48"/>
    <x v="130"/>
  </r>
  <r>
    <n v="536395"/>
    <n v="22866"/>
    <x v="197"/>
    <n v="48"/>
    <d v="2010-12-01T10:47:00"/>
    <n v="2.1"/>
    <n v="13767"/>
    <x v="0"/>
    <n v="48"/>
    <x v="130"/>
  </r>
  <r>
    <n v="536396"/>
    <s v="85123A"/>
    <x v="0"/>
    <n v="6"/>
    <d v="2010-12-01T10:51:00"/>
    <n v="2.5499999999999998"/>
    <n v="17850"/>
    <x v="0"/>
    <n v="6"/>
    <x v="0"/>
  </r>
  <r>
    <n v="536396"/>
    <n v="71053"/>
    <x v="1"/>
    <n v="6"/>
    <d v="2010-12-01T10:51:00"/>
    <n v="3.39"/>
    <n v="17850"/>
    <x v="0"/>
    <n v="6"/>
    <x v="1"/>
  </r>
  <r>
    <n v="536396"/>
    <s v="84406B"/>
    <x v="2"/>
    <n v="8"/>
    <d v="2010-12-01T10:51:00"/>
    <n v="2.75"/>
    <n v="17850"/>
    <x v="0"/>
    <n v="8"/>
    <x v="2"/>
  </r>
  <r>
    <n v="536396"/>
    <s v="15056BL"/>
    <x v="103"/>
    <n v="6"/>
    <d v="2010-12-01T10:51:00"/>
    <n v="4.95"/>
    <n v="17850"/>
    <x v="0"/>
    <n v="6"/>
    <x v="28"/>
  </r>
  <r>
    <n v="536396"/>
    <n v="20679"/>
    <x v="47"/>
    <n v="6"/>
    <d v="2010-12-01T10:51:00"/>
    <n v="4.95"/>
    <n v="17850"/>
    <x v="0"/>
    <n v="6"/>
    <x v="28"/>
  </r>
  <r>
    <n v="536396"/>
    <n v="37370"/>
    <x v="48"/>
    <n v="6"/>
    <d v="2010-12-01T10:51:00"/>
    <n v="1.06"/>
    <n v="17850"/>
    <x v="0"/>
    <n v="6"/>
    <x v="29"/>
  </r>
  <r>
    <n v="536396"/>
    <n v="21871"/>
    <x v="49"/>
    <n v="6"/>
    <d v="2010-12-01T10:51:00"/>
    <n v="1.06"/>
    <n v="17850"/>
    <x v="0"/>
    <n v="6"/>
    <x v="29"/>
  </r>
  <r>
    <n v="536396"/>
    <n v="21071"/>
    <x v="50"/>
    <n v="6"/>
    <d v="2010-12-01T10:51:00"/>
    <n v="1.06"/>
    <n v="17850"/>
    <x v="0"/>
    <n v="6"/>
    <x v="29"/>
  </r>
  <r>
    <n v="536396"/>
    <n v="21068"/>
    <x v="51"/>
    <n v="6"/>
    <d v="2010-12-01T10:51:00"/>
    <n v="1.06"/>
    <n v="17850"/>
    <x v="0"/>
    <n v="6"/>
    <x v="29"/>
  </r>
  <r>
    <n v="536396"/>
    <n v="82483"/>
    <x v="52"/>
    <n v="2"/>
    <d v="2010-12-01T10:51:00"/>
    <n v="4.95"/>
    <n v="17850"/>
    <x v="0"/>
    <n v="2"/>
    <x v="30"/>
  </r>
  <r>
    <n v="536396"/>
    <n v="82486"/>
    <x v="53"/>
    <n v="4"/>
    <d v="2010-12-01T10:51:00"/>
    <n v="6.95"/>
    <n v="17850"/>
    <x v="0"/>
    <n v="4"/>
    <x v="31"/>
  </r>
  <r>
    <n v="536396"/>
    <n v="82482"/>
    <x v="54"/>
    <n v="6"/>
    <d v="2010-12-01T10:51:00"/>
    <n v="2.1"/>
    <n v="17850"/>
    <x v="0"/>
    <n v="6"/>
    <x v="7"/>
  </r>
  <r>
    <n v="536396"/>
    <s v="82494L"/>
    <x v="55"/>
    <n v="12"/>
    <d v="2010-12-01T10:51:00"/>
    <n v="2.5499999999999998"/>
    <n v="17850"/>
    <x v="0"/>
    <n v="12"/>
    <x v="131"/>
  </r>
  <r>
    <n v="536396"/>
    <s v="84029G"/>
    <x v="3"/>
    <n v="6"/>
    <d v="2010-12-01T10:51:00"/>
    <n v="3.39"/>
    <n v="17850"/>
    <x v="0"/>
    <n v="6"/>
    <x v="1"/>
  </r>
  <r>
    <n v="536396"/>
    <s v="84029E"/>
    <x v="4"/>
    <n v="6"/>
    <d v="2010-12-01T10:51:00"/>
    <n v="3.39"/>
    <n v="17850"/>
    <x v="0"/>
    <n v="6"/>
    <x v="1"/>
  </r>
  <r>
    <n v="536396"/>
    <n v="22752"/>
    <x v="5"/>
    <n v="2"/>
    <d v="2010-12-01T10:51:00"/>
    <n v="7.65"/>
    <n v="17850"/>
    <x v="0"/>
    <n v="2"/>
    <x v="3"/>
  </r>
  <r>
    <n v="536396"/>
    <n v="22803"/>
    <x v="209"/>
    <n v="2"/>
    <d v="2010-12-01T10:51:00"/>
    <n v="35.75"/>
    <n v="17850"/>
    <x v="0"/>
    <n v="2"/>
    <x v="132"/>
  </r>
  <r>
    <n v="536396"/>
    <n v="21730"/>
    <x v="6"/>
    <n v="6"/>
    <d v="2010-12-01T10:51:00"/>
    <n v="4.25"/>
    <n v="17850"/>
    <x v="0"/>
    <n v="6"/>
    <x v="4"/>
  </r>
  <r>
    <n v="536397"/>
    <s v="35004B"/>
    <x v="210"/>
    <n v="12"/>
    <d v="2010-12-01T10:51:00"/>
    <n v="4.6500000000000004"/>
    <n v="17924"/>
    <x v="0"/>
    <n v="12"/>
    <x v="133"/>
  </r>
  <r>
    <n v="536397"/>
    <s v="35004C"/>
    <x v="121"/>
    <n v="48"/>
    <d v="2010-12-01T10:51:00"/>
    <n v="4.6500000000000004"/>
    <n v="17924"/>
    <x v="0"/>
    <n v="48"/>
    <x v="134"/>
  </r>
  <r>
    <n v="536398"/>
    <n v="21980"/>
    <x v="182"/>
    <n v="24"/>
    <d v="2010-12-01T10:52:00"/>
    <n v="0.28999999999999998"/>
    <n v="13448"/>
    <x v="0"/>
    <n v="24"/>
    <x v="116"/>
  </r>
  <r>
    <n v="536398"/>
    <n v="21844"/>
    <x v="211"/>
    <n v="6"/>
    <d v="2010-12-01T10:52:00"/>
    <n v="2.95"/>
    <n v="13448"/>
    <x v="0"/>
    <n v="6"/>
    <x v="42"/>
  </r>
  <r>
    <n v="536398"/>
    <n v="22468"/>
    <x v="212"/>
    <n v="4"/>
    <d v="2010-12-01T10:52:00"/>
    <n v="6.75"/>
    <n v="13448"/>
    <x v="0"/>
    <n v="4"/>
    <x v="97"/>
  </r>
  <r>
    <n v="536398"/>
    <n v="22637"/>
    <x v="88"/>
    <n v="8"/>
    <d v="2010-12-01T10:52:00"/>
    <n v="2.5499999999999998"/>
    <n v="13448"/>
    <x v="0"/>
    <n v="8"/>
    <x v="103"/>
  </r>
  <r>
    <n v="536398"/>
    <n v="22752"/>
    <x v="5"/>
    <n v="6"/>
    <d v="2010-12-01T10:52:00"/>
    <n v="8.5"/>
    <n v="13448"/>
    <x v="0"/>
    <n v="6"/>
    <x v="98"/>
  </r>
  <r>
    <n v="536398"/>
    <n v="48185"/>
    <x v="213"/>
    <n v="2"/>
    <d v="2010-12-01T10:52:00"/>
    <n v="7.95"/>
    <n v="13448"/>
    <x v="0"/>
    <n v="2"/>
    <x v="94"/>
  </r>
  <r>
    <n v="536398"/>
    <n v="22632"/>
    <x v="199"/>
    <n v="12"/>
    <d v="2010-12-01T10:52:00"/>
    <n v="2.1"/>
    <n v="13448"/>
    <x v="0"/>
    <n v="12"/>
    <x v="124"/>
  </r>
  <r>
    <n v="536398"/>
    <n v="22866"/>
    <x v="197"/>
    <n v="12"/>
    <d v="2010-12-01T10:52:00"/>
    <n v="2.1"/>
    <n v="13448"/>
    <x v="0"/>
    <n v="12"/>
    <x v="124"/>
  </r>
  <r>
    <n v="536398"/>
    <n v="22865"/>
    <x v="198"/>
    <n v="12"/>
    <d v="2010-12-01T10:52:00"/>
    <n v="2.1"/>
    <n v="13448"/>
    <x v="0"/>
    <n v="12"/>
    <x v="124"/>
  </r>
  <r>
    <n v="536398"/>
    <n v="21232"/>
    <x v="214"/>
    <n v="12"/>
    <d v="2010-12-01T10:52:00"/>
    <n v="1.25"/>
    <n v="13448"/>
    <x v="0"/>
    <n v="12"/>
    <x v="73"/>
  </r>
  <r>
    <n v="536398"/>
    <n v="22064"/>
    <x v="215"/>
    <n v="12"/>
    <d v="2010-12-01T10:52:00"/>
    <n v="1.65"/>
    <n v="13448"/>
    <x v="0"/>
    <n v="12"/>
    <x v="69"/>
  </r>
  <r>
    <n v="536398"/>
    <n v="22449"/>
    <x v="216"/>
    <n v="6"/>
    <d v="2010-12-01T10:52:00"/>
    <n v="3.35"/>
    <n v="13448"/>
    <x v="0"/>
    <n v="6"/>
    <x v="135"/>
  </r>
  <r>
    <n v="536398"/>
    <n v="22114"/>
    <x v="57"/>
    <n v="4"/>
    <d v="2010-12-01T10:52:00"/>
    <n v="3.95"/>
    <n v="13448"/>
    <x v="0"/>
    <n v="4"/>
    <x v="83"/>
  </r>
  <r>
    <n v="536398"/>
    <n v="22835"/>
    <x v="217"/>
    <n v="8"/>
    <d v="2010-12-01T10:52:00"/>
    <n v="4.6500000000000004"/>
    <n v="13448"/>
    <x v="0"/>
    <n v="8"/>
    <x v="136"/>
  </r>
  <r>
    <n v="536398"/>
    <n v="22112"/>
    <x v="218"/>
    <n v="9"/>
    <d v="2010-12-01T10:52:00"/>
    <n v="4.95"/>
    <n v="13448"/>
    <x v="0"/>
    <n v="9"/>
    <x v="137"/>
  </r>
  <r>
    <n v="536398"/>
    <n v="21479"/>
    <x v="219"/>
    <n v="4"/>
    <d v="2010-12-01T10:52:00"/>
    <n v="3.75"/>
    <n v="13448"/>
    <x v="0"/>
    <n v="4"/>
    <x v="73"/>
  </r>
  <r>
    <n v="536398"/>
    <n v="22111"/>
    <x v="220"/>
    <n v="9"/>
    <d v="2010-12-01T10:52:00"/>
    <n v="4.95"/>
    <n v="13448"/>
    <x v="0"/>
    <n v="9"/>
    <x v="137"/>
  </r>
  <r>
    <n v="536399"/>
    <n v="22632"/>
    <x v="8"/>
    <n v="6"/>
    <d v="2010-12-01T10:52:00"/>
    <n v="1.85"/>
    <n v="17850"/>
    <x v="0"/>
    <n v="6"/>
    <x v="5"/>
  </r>
  <r>
    <n v="536399"/>
    <n v="22633"/>
    <x v="7"/>
    <n v="6"/>
    <d v="2010-12-01T10:52:00"/>
    <n v="1.85"/>
    <n v="17850"/>
    <x v="0"/>
    <n v="6"/>
    <x v="5"/>
  </r>
  <r>
    <n v="536400"/>
    <n v="22969"/>
    <x v="150"/>
    <n v="12"/>
    <d v="2010-12-01T10:53:00"/>
    <n v="1.45"/>
    <n v="13448"/>
    <x v="0"/>
    <n v="12"/>
    <x v="87"/>
  </r>
  <r>
    <n v="536401"/>
    <n v="22110"/>
    <x v="221"/>
    <n v="1"/>
    <d v="2010-12-01T11:21:00"/>
    <n v="2.5499999999999998"/>
    <n v="15862"/>
    <x v="0"/>
    <n v="1"/>
    <x v="52"/>
  </r>
  <r>
    <n v="536401"/>
    <n v="22098"/>
    <x v="222"/>
    <n v="1"/>
    <d v="2010-12-01T11:21:00"/>
    <n v="1.25"/>
    <n v="15862"/>
    <x v="0"/>
    <n v="1"/>
    <x v="50"/>
  </r>
  <r>
    <n v="536401"/>
    <n v="22100"/>
    <x v="223"/>
    <n v="2"/>
    <d v="2010-12-01T11:21:00"/>
    <n v="1.25"/>
    <n v="15862"/>
    <x v="0"/>
    <n v="2"/>
    <x v="138"/>
  </r>
  <r>
    <n v="536401"/>
    <n v="22766"/>
    <x v="224"/>
    <n v="1"/>
    <d v="2010-12-01T11:21:00"/>
    <n v="2.95"/>
    <n v="15862"/>
    <x v="0"/>
    <n v="1"/>
    <x v="55"/>
  </r>
  <r>
    <n v="536401"/>
    <n v="22451"/>
    <x v="225"/>
    <n v="1"/>
    <d v="2010-12-01T11:21:00"/>
    <n v="3.35"/>
    <n v="15862"/>
    <x v="0"/>
    <n v="1"/>
    <x v="139"/>
  </r>
  <r>
    <n v="536401"/>
    <n v="22549"/>
    <x v="226"/>
    <n v="1"/>
    <d v="2010-12-01T11:21:00"/>
    <n v="1.45"/>
    <n v="15862"/>
    <x v="0"/>
    <n v="1"/>
    <x v="59"/>
  </r>
  <r>
    <n v="536401"/>
    <n v="84744"/>
    <x v="227"/>
    <n v="1"/>
    <d v="2010-12-01T11:21:00"/>
    <n v="1.25"/>
    <n v="15862"/>
    <x v="0"/>
    <n v="1"/>
    <x v="50"/>
  </r>
  <r>
    <n v="536401"/>
    <s v="85049E"/>
    <x v="228"/>
    <n v="2"/>
    <d v="2010-12-01T11:21:00"/>
    <n v="1.25"/>
    <n v="15862"/>
    <x v="0"/>
    <n v="2"/>
    <x v="138"/>
  </r>
  <r>
    <n v="536401"/>
    <n v="21328"/>
    <x v="229"/>
    <n v="1"/>
    <d v="2010-12-01T11:21:00"/>
    <n v="1.65"/>
    <n v="15862"/>
    <x v="0"/>
    <n v="1"/>
    <x v="140"/>
  </r>
  <r>
    <n v="536401"/>
    <n v="22961"/>
    <x v="78"/>
    <n v="4"/>
    <d v="2010-12-01T11:21:00"/>
    <n v="1.45"/>
    <n v="15862"/>
    <x v="0"/>
    <n v="4"/>
    <x v="63"/>
  </r>
  <r>
    <n v="536401"/>
    <s v="17091A"/>
    <x v="230"/>
    <n v="1"/>
    <d v="2010-12-01T11:21:00"/>
    <n v="1.25"/>
    <n v="15862"/>
    <x v="0"/>
    <n v="1"/>
    <x v="50"/>
  </r>
  <r>
    <n v="536401"/>
    <n v="22473"/>
    <x v="231"/>
    <n v="1"/>
    <d v="2010-12-01T11:21:00"/>
    <n v="4.95"/>
    <n v="15862"/>
    <x v="0"/>
    <n v="1"/>
    <x v="60"/>
  </r>
  <r>
    <n v="536401"/>
    <s v="84509A"/>
    <x v="232"/>
    <n v="2"/>
    <d v="2010-12-01T11:21:00"/>
    <n v="3.75"/>
    <n v="15862"/>
    <x v="0"/>
    <n v="2"/>
    <x v="49"/>
  </r>
  <r>
    <n v="536401"/>
    <s v="84510A"/>
    <x v="233"/>
    <n v="2"/>
    <d v="2010-12-01T11:21:00"/>
    <n v="1.25"/>
    <n v="15862"/>
    <x v="0"/>
    <n v="2"/>
    <x v="138"/>
  </r>
  <r>
    <n v="536401"/>
    <n v="22767"/>
    <x v="234"/>
    <n v="2"/>
    <d v="2010-12-01T11:21:00"/>
    <n v="9.9499999999999993"/>
    <n v="15862"/>
    <x v="0"/>
    <n v="2"/>
    <x v="11"/>
  </r>
  <r>
    <n v="536401"/>
    <n v="22768"/>
    <x v="235"/>
    <n v="1"/>
    <d v="2010-12-01T11:21:00"/>
    <n v="9.9499999999999993"/>
    <n v="15862"/>
    <x v="0"/>
    <n v="1"/>
    <x v="141"/>
  </r>
  <r>
    <n v="536401"/>
    <n v="21463"/>
    <x v="236"/>
    <n v="1"/>
    <d v="2010-12-01T11:21:00"/>
    <n v="5.95"/>
    <n v="15862"/>
    <x v="0"/>
    <n v="1"/>
    <x v="142"/>
  </r>
  <r>
    <n v="536401"/>
    <n v="21464"/>
    <x v="237"/>
    <n v="1"/>
    <d v="2010-12-01T11:21:00"/>
    <n v="4.25"/>
    <n v="15862"/>
    <x v="0"/>
    <n v="1"/>
    <x v="143"/>
  </r>
  <r>
    <n v="536401"/>
    <n v="20820"/>
    <x v="238"/>
    <n v="3"/>
    <d v="2010-12-01T11:21:00"/>
    <n v="4.95"/>
    <n v="15862"/>
    <x v="0"/>
    <n v="3"/>
    <x v="10"/>
  </r>
  <r>
    <n v="536401"/>
    <n v="85150"/>
    <x v="239"/>
    <n v="1"/>
    <d v="2010-12-01T11:21:00"/>
    <n v="2.5499999999999998"/>
    <n v="15862"/>
    <x v="0"/>
    <n v="1"/>
    <x v="52"/>
  </r>
  <r>
    <n v="536401"/>
    <n v="22117"/>
    <x v="240"/>
    <n v="1"/>
    <d v="2010-12-01T11:21:00"/>
    <n v="2.95"/>
    <n v="15862"/>
    <x v="0"/>
    <n v="1"/>
    <x v="55"/>
  </r>
  <r>
    <n v="536401"/>
    <n v="21169"/>
    <x v="90"/>
    <n v="2"/>
    <d v="2010-12-01T11:21:00"/>
    <n v="1.69"/>
    <n v="15862"/>
    <x v="0"/>
    <n v="2"/>
    <x v="144"/>
  </r>
  <r>
    <n v="536401"/>
    <n v="48129"/>
    <x v="241"/>
    <n v="1"/>
    <d v="2010-12-01T11:21:00"/>
    <n v="7.95"/>
    <n v="15862"/>
    <x v="0"/>
    <n v="1"/>
    <x v="145"/>
  </r>
  <r>
    <n v="536401"/>
    <n v="82580"/>
    <x v="242"/>
    <n v="1"/>
    <d v="2010-12-01T11:21:00"/>
    <n v="0.55000000000000004"/>
    <n v="15862"/>
    <x v="0"/>
    <n v="1"/>
    <x v="146"/>
  </r>
  <r>
    <n v="536401"/>
    <n v="82578"/>
    <x v="243"/>
    <n v="1"/>
    <d v="2010-12-01T11:21:00"/>
    <n v="0.55000000000000004"/>
    <n v="15862"/>
    <x v="0"/>
    <n v="1"/>
    <x v="146"/>
  </r>
  <r>
    <n v="536401"/>
    <n v="82581"/>
    <x v="244"/>
    <n v="2"/>
    <d v="2010-12-01T11:21:00"/>
    <n v="0.55000000000000004"/>
    <n v="15862"/>
    <x v="0"/>
    <n v="2"/>
    <x v="147"/>
  </r>
  <r>
    <n v="536401"/>
    <n v="22413"/>
    <x v="245"/>
    <n v="4"/>
    <d v="2010-12-01T11:21:00"/>
    <n v="2.95"/>
    <n v="15862"/>
    <x v="0"/>
    <n v="4"/>
    <x v="56"/>
  </r>
  <r>
    <n v="536401"/>
    <n v="21907"/>
    <x v="246"/>
    <n v="2"/>
    <d v="2010-12-01T11:21:00"/>
    <n v="2.1"/>
    <n v="15862"/>
    <x v="0"/>
    <n v="2"/>
    <x v="48"/>
  </r>
  <r>
    <n v="536401"/>
    <n v="22441"/>
    <x v="247"/>
    <n v="1"/>
    <d v="2010-12-01T11:21:00"/>
    <n v="2.1"/>
    <n v="15862"/>
    <x v="0"/>
    <n v="1"/>
    <x v="148"/>
  </r>
  <r>
    <n v="536401"/>
    <n v="21122"/>
    <x v="248"/>
    <n v="1"/>
    <d v="2010-12-01T11:21:00"/>
    <n v="1.25"/>
    <n v="15862"/>
    <x v="0"/>
    <n v="1"/>
    <x v="50"/>
  </r>
  <r>
    <n v="536401"/>
    <n v="22851"/>
    <x v="249"/>
    <n v="1"/>
    <d v="2010-12-01T11:21:00"/>
    <n v="0.85"/>
    <n v="15862"/>
    <x v="0"/>
    <n v="1"/>
    <x v="51"/>
  </r>
  <r>
    <n v="536401"/>
    <n v="84991"/>
    <x v="72"/>
    <n v="3"/>
    <d v="2010-12-01T11:21:00"/>
    <n v="0.55000000000000004"/>
    <n v="15862"/>
    <x v="0"/>
    <n v="3"/>
    <x v="149"/>
  </r>
  <r>
    <n v="536401"/>
    <n v="22810"/>
    <x v="250"/>
    <n v="1"/>
    <d v="2010-12-01T11:21:00"/>
    <n v="2.95"/>
    <n v="15862"/>
    <x v="0"/>
    <n v="1"/>
    <x v="55"/>
  </r>
  <r>
    <n v="536401"/>
    <n v="22809"/>
    <x v="251"/>
    <n v="1"/>
    <d v="2010-12-01T11:21:00"/>
    <n v="2.95"/>
    <n v="15862"/>
    <x v="0"/>
    <n v="1"/>
    <x v="55"/>
  </r>
  <r>
    <n v="536401"/>
    <n v="22435"/>
    <x v="252"/>
    <n v="2"/>
    <d v="2010-12-01T11:21:00"/>
    <n v="1.25"/>
    <n v="15862"/>
    <x v="0"/>
    <n v="2"/>
    <x v="138"/>
  </r>
  <r>
    <n v="536401"/>
    <n v="20966"/>
    <x v="253"/>
    <n v="3"/>
    <d v="2010-12-01T11:21:00"/>
    <n v="1.25"/>
    <n v="15862"/>
    <x v="0"/>
    <n v="3"/>
    <x v="58"/>
  </r>
  <r>
    <n v="536401"/>
    <n v="20963"/>
    <x v="254"/>
    <n v="1"/>
    <d v="2010-12-01T11:21:00"/>
    <n v="1.25"/>
    <n v="15862"/>
    <x v="0"/>
    <n v="1"/>
    <x v="50"/>
  </r>
  <r>
    <n v="536401"/>
    <n v="20961"/>
    <x v="255"/>
    <n v="1"/>
    <d v="2010-12-01T11:21:00"/>
    <n v="1.25"/>
    <n v="15862"/>
    <x v="0"/>
    <n v="1"/>
    <x v="50"/>
  </r>
  <r>
    <n v="536401"/>
    <n v="22068"/>
    <x v="256"/>
    <n v="2"/>
    <d v="2010-12-01T11:21:00"/>
    <n v="1.65"/>
    <n v="15862"/>
    <x v="0"/>
    <n v="2"/>
    <x v="64"/>
  </r>
  <r>
    <n v="536401"/>
    <n v="21743"/>
    <x v="257"/>
    <n v="2"/>
    <d v="2010-12-01T11:21:00"/>
    <n v="2.95"/>
    <n v="15862"/>
    <x v="0"/>
    <n v="2"/>
    <x v="61"/>
  </r>
  <r>
    <n v="536401"/>
    <n v="21744"/>
    <x v="258"/>
    <n v="2"/>
    <d v="2010-12-01T11:21:00"/>
    <n v="2.95"/>
    <n v="15862"/>
    <x v="0"/>
    <n v="2"/>
    <x v="61"/>
  </r>
  <r>
    <n v="536401"/>
    <s v="84709B"/>
    <x v="259"/>
    <n v="1"/>
    <d v="2010-12-01T11:21:00"/>
    <n v="5.95"/>
    <n v="15862"/>
    <x v="0"/>
    <n v="1"/>
    <x v="142"/>
  </r>
  <r>
    <n v="536401"/>
    <n v="21592"/>
    <x v="260"/>
    <n v="1"/>
    <d v="2010-12-01T11:21:00"/>
    <n v="1.25"/>
    <n v="15862"/>
    <x v="0"/>
    <n v="1"/>
    <x v="50"/>
  </r>
  <r>
    <n v="536401"/>
    <n v="21587"/>
    <x v="261"/>
    <n v="2"/>
    <d v="2010-12-01T11:21:00"/>
    <n v="2.5499999999999998"/>
    <n v="15862"/>
    <x v="0"/>
    <n v="2"/>
    <x v="57"/>
  </r>
  <r>
    <n v="536401"/>
    <n v="20992"/>
    <x v="262"/>
    <n v="9"/>
    <d v="2010-12-01T11:21:00"/>
    <n v="0.85"/>
    <n v="15862"/>
    <x v="0"/>
    <n v="9"/>
    <x v="150"/>
  </r>
  <r>
    <n v="536401"/>
    <n v="22662"/>
    <x v="138"/>
    <n v="1"/>
    <d v="2010-12-01T11:21:00"/>
    <n v="1.65"/>
    <n v="15862"/>
    <x v="0"/>
    <n v="1"/>
    <x v="140"/>
  </r>
  <r>
    <n v="536401"/>
    <s v="85123A"/>
    <x v="0"/>
    <n v="4"/>
    <d v="2010-12-01T11:21:00"/>
    <n v="2.95"/>
    <n v="15862"/>
    <x v="0"/>
    <n v="4"/>
    <x v="56"/>
  </r>
  <r>
    <n v="536401"/>
    <n v="22804"/>
    <x v="263"/>
    <n v="3"/>
    <d v="2010-12-01T11:21:00"/>
    <n v="2.95"/>
    <n v="15862"/>
    <x v="0"/>
    <n v="3"/>
    <x v="151"/>
  </r>
  <r>
    <n v="536401"/>
    <n v="82483"/>
    <x v="52"/>
    <n v="1"/>
    <d v="2010-12-01T11:21:00"/>
    <n v="5.95"/>
    <n v="15862"/>
    <x v="0"/>
    <n v="1"/>
    <x v="142"/>
  </r>
  <r>
    <n v="536401"/>
    <n v="20749"/>
    <x v="264"/>
    <n v="1"/>
    <d v="2010-12-01T11:21:00"/>
    <n v="7.95"/>
    <n v="15862"/>
    <x v="0"/>
    <n v="1"/>
    <x v="145"/>
  </r>
  <r>
    <n v="536401"/>
    <n v="20725"/>
    <x v="66"/>
    <n v="1"/>
    <d v="2010-12-01T11:21:00"/>
    <n v="1.65"/>
    <n v="15862"/>
    <x v="0"/>
    <n v="1"/>
    <x v="140"/>
  </r>
  <r>
    <n v="536401"/>
    <n v="22382"/>
    <x v="265"/>
    <n v="2"/>
    <d v="2010-12-01T11:21:00"/>
    <n v="1.65"/>
    <n v="15862"/>
    <x v="0"/>
    <n v="2"/>
    <x v="64"/>
  </r>
  <r>
    <n v="536401"/>
    <n v="20726"/>
    <x v="266"/>
    <n v="1"/>
    <d v="2010-12-01T11:21:00"/>
    <n v="1.65"/>
    <n v="15862"/>
    <x v="0"/>
    <n v="1"/>
    <x v="140"/>
  </r>
  <r>
    <n v="536401"/>
    <n v="22384"/>
    <x v="267"/>
    <n v="1"/>
    <d v="2010-12-01T11:21:00"/>
    <n v="1.65"/>
    <n v="15862"/>
    <x v="0"/>
    <n v="1"/>
    <x v="140"/>
  </r>
  <r>
    <n v="536401"/>
    <n v="22467"/>
    <x v="268"/>
    <n v="5"/>
    <d v="2010-12-01T11:21:00"/>
    <n v="2.5499999999999998"/>
    <n v="15862"/>
    <x v="0"/>
    <n v="5"/>
    <x v="95"/>
  </r>
  <r>
    <n v="536401"/>
    <s v="84625C"/>
    <x v="269"/>
    <n v="3"/>
    <d v="2010-12-01T11:21:00"/>
    <n v="2.95"/>
    <n v="15862"/>
    <x v="0"/>
    <n v="3"/>
    <x v="151"/>
  </r>
  <r>
    <n v="536401"/>
    <s v="84625A"/>
    <x v="270"/>
    <n v="3"/>
    <d v="2010-12-01T11:21:00"/>
    <n v="2.95"/>
    <n v="15862"/>
    <x v="0"/>
    <n v="3"/>
    <x v="151"/>
  </r>
  <r>
    <n v="536401"/>
    <n v="21108"/>
    <x v="271"/>
    <n v="9"/>
    <d v="2010-12-01T11:21:00"/>
    <n v="2.5499999999999998"/>
    <n v="15862"/>
    <x v="0"/>
    <n v="9"/>
    <x v="152"/>
  </r>
  <r>
    <n v="536401"/>
    <n v="22848"/>
    <x v="272"/>
    <n v="1"/>
    <d v="2010-12-01T11:21:00"/>
    <n v="16.95"/>
    <n v="15862"/>
    <x v="0"/>
    <n v="1"/>
    <x v="153"/>
  </r>
  <r>
    <n v="536401"/>
    <n v="21033"/>
    <x v="61"/>
    <n v="4"/>
    <d v="2010-12-01T11:21:00"/>
    <n v="2.95"/>
    <n v="15862"/>
    <x v="0"/>
    <n v="4"/>
    <x v="56"/>
  </r>
  <r>
    <n v="536401"/>
    <s v="47570B"/>
    <x v="273"/>
    <n v="1"/>
    <d v="2010-12-01T11:21:00"/>
    <n v="10.65"/>
    <n v="15862"/>
    <x v="0"/>
    <n v="1"/>
    <x v="154"/>
  </r>
  <r>
    <n v="536401"/>
    <s v="84030E"/>
    <x v="177"/>
    <n v="1"/>
    <d v="2010-12-01T11:21:00"/>
    <n v="4.25"/>
    <n v="15862"/>
    <x v="0"/>
    <n v="1"/>
    <x v="143"/>
  </r>
  <r>
    <n v="536401"/>
    <n v="22428"/>
    <x v="133"/>
    <n v="2"/>
    <d v="2010-12-01T11:21:00"/>
    <n v="6.95"/>
    <n v="15862"/>
    <x v="0"/>
    <n v="2"/>
    <x v="155"/>
  </r>
  <r>
    <n v="536401"/>
    <n v="22502"/>
    <x v="193"/>
    <n v="2"/>
    <d v="2010-12-01T11:21:00"/>
    <n v="5.95"/>
    <n v="15862"/>
    <x v="0"/>
    <n v="2"/>
    <x v="62"/>
  </r>
  <r>
    <n v="536402"/>
    <n v="22086"/>
    <x v="46"/>
    <n v="40"/>
    <d v="2010-12-01T11:22:00"/>
    <n v="2.5499999999999998"/>
    <n v="15513"/>
    <x v="0"/>
    <n v="40"/>
    <x v="82"/>
  </r>
  <r>
    <n v="536402"/>
    <n v="22910"/>
    <x v="168"/>
    <n v="40"/>
    <d v="2010-12-01T11:22:00"/>
    <n v="2.5499999999999998"/>
    <n v="15513"/>
    <x v="0"/>
    <n v="40"/>
    <x v="82"/>
  </r>
  <r>
    <n v="536402"/>
    <n v="22837"/>
    <x v="274"/>
    <n v="36"/>
    <d v="2010-12-01T11:22:00"/>
    <n v="4.25"/>
    <n v="15513"/>
    <x v="0"/>
    <n v="36"/>
    <x v="156"/>
  </r>
  <r>
    <n v="536403"/>
    <n v="22867"/>
    <x v="208"/>
    <n v="96"/>
    <d v="2010-12-01T11:27:00"/>
    <n v="1.85"/>
    <n v="12791"/>
    <x v="3"/>
    <n v="96"/>
    <x v="122"/>
  </r>
  <r>
    <n v="536403"/>
    <s v="POST"/>
    <x v="45"/>
    <n v="1"/>
    <d v="2010-12-01T11:27:00"/>
    <n v="15"/>
    <n v="12791"/>
    <x v="3"/>
    <n v="1"/>
    <x v="73"/>
  </r>
  <r>
    <n v="536404"/>
    <n v="22297"/>
    <x v="275"/>
    <n v="24"/>
    <d v="2010-12-01T11:29:00"/>
    <n v="1.25"/>
    <n v="16218"/>
    <x v="0"/>
    <n v="24"/>
    <x v="8"/>
  </r>
  <r>
    <n v="536404"/>
    <n v="22771"/>
    <x v="85"/>
    <n v="12"/>
    <d v="2010-12-01T11:29:00"/>
    <n v="1.25"/>
    <n v="16218"/>
    <x v="0"/>
    <n v="12"/>
    <x v="73"/>
  </r>
  <r>
    <n v="536404"/>
    <n v="22772"/>
    <x v="276"/>
    <n v="12"/>
    <d v="2010-12-01T11:29:00"/>
    <n v="1.25"/>
    <n v="16218"/>
    <x v="0"/>
    <n v="12"/>
    <x v="73"/>
  </r>
  <r>
    <n v="536404"/>
    <n v="22773"/>
    <x v="277"/>
    <n v="12"/>
    <d v="2010-12-01T11:29:00"/>
    <n v="1.25"/>
    <n v="16218"/>
    <x v="0"/>
    <n v="12"/>
    <x v="73"/>
  </r>
  <r>
    <n v="536404"/>
    <n v="22805"/>
    <x v="278"/>
    <n v="12"/>
    <d v="2010-12-01T11:29:00"/>
    <n v="1.25"/>
    <n v="16218"/>
    <x v="0"/>
    <n v="12"/>
    <x v="73"/>
  </r>
  <r>
    <n v="536404"/>
    <n v="22469"/>
    <x v="127"/>
    <n v="12"/>
    <d v="2010-12-01T11:29:00"/>
    <n v="1.65"/>
    <n v="16218"/>
    <x v="0"/>
    <n v="12"/>
    <x v="69"/>
  </r>
  <r>
    <n v="536404"/>
    <n v="22197"/>
    <x v="170"/>
    <n v="36"/>
    <d v="2010-12-01T11:29:00"/>
    <n v="0.85"/>
    <n v="16218"/>
    <x v="0"/>
    <n v="36"/>
    <x v="131"/>
  </r>
  <r>
    <n v="536404"/>
    <n v="21125"/>
    <x v="279"/>
    <n v="12"/>
    <d v="2010-12-01T11:29:00"/>
    <n v="1.25"/>
    <n v="16218"/>
    <x v="0"/>
    <n v="12"/>
    <x v="73"/>
  </r>
  <r>
    <n v="536404"/>
    <n v="21126"/>
    <x v="280"/>
    <n v="12"/>
    <d v="2010-12-01T11:29:00"/>
    <n v="1.25"/>
    <n v="16218"/>
    <x v="0"/>
    <n v="12"/>
    <x v="73"/>
  </r>
  <r>
    <n v="536404"/>
    <s v="85049C"/>
    <x v="281"/>
    <n v="12"/>
    <d v="2010-12-01T11:29:00"/>
    <n v="1.25"/>
    <n v="16218"/>
    <x v="0"/>
    <n v="12"/>
    <x v="73"/>
  </r>
  <r>
    <n v="536404"/>
    <s v="85049D"/>
    <x v="282"/>
    <n v="12"/>
    <d v="2010-12-01T11:29:00"/>
    <n v="1.25"/>
    <n v="16218"/>
    <x v="0"/>
    <n v="12"/>
    <x v="73"/>
  </r>
  <r>
    <n v="536404"/>
    <s v="85049E"/>
    <x v="228"/>
    <n v="12"/>
    <d v="2010-12-01T11:29:00"/>
    <n v="1.25"/>
    <n v="16218"/>
    <x v="0"/>
    <n v="12"/>
    <x v="73"/>
  </r>
  <r>
    <n v="536404"/>
    <s v="85049G"/>
    <x v="283"/>
    <n v="12"/>
    <d v="2010-12-01T11:29:00"/>
    <n v="1.25"/>
    <n v="16218"/>
    <x v="0"/>
    <n v="12"/>
    <x v="73"/>
  </r>
  <r>
    <n v="536404"/>
    <n v="21061"/>
    <x v="284"/>
    <n v="12"/>
    <d v="2010-12-01T11:29:00"/>
    <n v="0.85"/>
    <n v="16218"/>
    <x v="0"/>
    <n v="12"/>
    <x v="16"/>
  </r>
  <r>
    <n v="536404"/>
    <n v="21063"/>
    <x v="285"/>
    <n v="12"/>
    <d v="2010-12-01T11:29:00"/>
    <n v="0.85"/>
    <n v="16218"/>
    <x v="0"/>
    <n v="12"/>
    <x v="16"/>
  </r>
  <r>
    <n v="536404"/>
    <n v="21062"/>
    <x v="286"/>
    <n v="12"/>
    <d v="2010-12-01T11:29:00"/>
    <n v="0.85"/>
    <n v="16218"/>
    <x v="0"/>
    <n v="12"/>
    <x v="16"/>
  </r>
  <r>
    <n v="536404"/>
    <n v="84380"/>
    <x v="287"/>
    <n v="12"/>
    <d v="2010-12-01T11:29:00"/>
    <n v="1.25"/>
    <n v="16218"/>
    <x v="0"/>
    <n v="12"/>
    <x v="73"/>
  </r>
  <r>
    <n v="536404"/>
    <n v="84378"/>
    <x v="288"/>
    <n v="12"/>
    <d v="2010-12-01T11:29:00"/>
    <n v="1.25"/>
    <n v="16218"/>
    <x v="0"/>
    <n v="12"/>
    <x v="73"/>
  </r>
  <r>
    <n v="536404"/>
    <n v="22964"/>
    <x v="289"/>
    <n v="12"/>
    <d v="2010-12-01T11:29:00"/>
    <n v="2.1"/>
    <n v="16218"/>
    <x v="0"/>
    <n v="12"/>
    <x v="124"/>
  </r>
  <r>
    <n v="536404"/>
    <n v="21213"/>
    <x v="290"/>
    <n v="24"/>
    <d v="2010-12-01T11:29:00"/>
    <n v="0.55000000000000004"/>
    <n v="16218"/>
    <x v="0"/>
    <n v="24"/>
    <x v="41"/>
  </r>
  <r>
    <n v="536404"/>
    <n v="22417"/>
    <x v="291"/>
    <n v="24"/>
    <d v="2010-12-01T11:29:00"/>
    <n v="0.55000000000000004"/>
    <n v="16218"/>
    <x v="0"/>
    <n v="24"/>
    <x v="41"/>
  </r>
  <r>
    <n v="536404"/>
    <n v="21212"/>
    <x v="69"/>
    <n v="24"/>
    <d v="2010-12-01T11:29:00"/>
    <n v="0.55000000000000004"/>
    <n v="16218"/>
    <x v="0"/>
    <n v="24"/>
    <x v="41"/>
  </r>
  <r>
    <n v="536404"/>
    <n v="84992"/>
    <x v="292"/>
    <n v="24"/>
    <d v="2010-12-01T11:29:00"/>
    <n v="0.55000000000000004"/>
    <n v="16218"/>
    <x v="0"/>
    <n v="24"/>
    <x v="41"/>
  </r>
  <r>
    <n v="536404"/>
    <n v="21975"/>
    <x v="70"/>
    <n v="24"/>
    <d v="2010-12-01T11:29:00"/>
    <n v="0.55000000000000004"/>
    <n v="16218"/>
    <x v="0"/>
    <n v="24"/>
    <x v="41"/>
  </r>
  <r>
    <n v="536404"/>
    <n v="22383"/>
    <x v="293"/>
    <n v="10"/>
    <d v="2010-12-01T11:29:00"/>
    <n v="1.65"/>
    <n v="16218"/>
    <x v="0"/>
    <n v="10"/>
    <x v="39"/>
  </r>
  <r>
    <n v="536404"/>
    <n v="20728"/>
    <x v="294"/>
    <n v="10"/>
    <d v="2010-12-01T11:29:00"/>
    <n v="1.65"/>
    <n v="16218"/>
    <x v="0"/>
    <n v="10"/>
    <x v="39"/>
  </r>
  <r>
    <n v="536404"/>
    <n v="20727"/>
    <x v="295"/>
    <n v="10"/>
    <d v="2010-12-01T11:29:00"/>
    <n v="1.65"/>
    <n v="16218"/>
    <x v="0"/>
    <n v="10"/>
    <x v="39"/>
  </r>
  <r>
    <n v="536404"/>
    <n v="22296"/>
    <x v="296"/>
    <n v="24"/>
    <d v="2010-12-01T11:29:00"/>
    <n v="1.65"/>
    <n v="16218"/>
    <x v="0"/>
    <n v="24"/>
    <x v="23"/>
  </r>
  <r>
    <n v="536405"/>
    <n v="20914"/>
    <x v="297"/>
    <n v="128"/>
    <d v="2010-12-01T11:32:00"/>
    <n v="2.5499999999999998"/>
    <n v="14045"/>
    <x v="0"/>
    <n v="128"/>
    <x v="157"/>
  </r>
  <r>
    <n v="536406"/>
    <s v="85123A"/>
    <x v="0"/>
    <n v="8"/>
    <d v="2010-12-01T11:33:00"/>
    <n v="2.5499999999999998"/>
    <n v="17850"/>
    <x v="0"/>
    <n v="8"/>
    <x v="103"/>
  </r>
  <r>
    <n v="536406"/>
    <n v="71053"/>
    <x v="1"/>
    <n v="8"/>
    <d v="2010-12-01T11:33:00"/>
    <n v="3.39"/>
    <n v="17850"/>
    <x v="0"/>
    <n v="8"/>
    <x v="158"/>
  </r>
  <r>
    <n v="536406"/>
    <s v="84406B"/>
    <x v="2"/>
    <n v="8"/>
    <d v="2010-12-01T11:33:00"/>
    <n v="2.75"/>
    <n v="17850"/>
    <x v="0"/>
    <n v="8"/>
    <x v="2"/>
  </r>
  <r>
    <n v="536406"/>
    <n v="20679"/>
    <x v="47"/>
    <n v="6"/>
    <d v="2010-12-01T11:33:00"/>
    <n v="4.95"/>
    <n v="17850"/>
    <x v="0"/>
    <n v="6"/>
    <x v="28"/>
  </r>
  <r>
    <n v="536406"/>
    <n v="37370"/>
    <x v="48"/>
    <n v="6"/>
    <d v="2010-12-01T11:33:00"/>
    <n v="1.06"/>
    <n v="17850"/>
    <x v="0"/>
    <n v="6"/>
    <x v="29"/>
  </r>
  <r>
    <n v="536406"/>
    <n v="21871"/>
    <x v="49"/>
    <n v="6"/>
    <d v="2010-12-01T11:33:00"/>
    <n v="1.06"/>
    <n v="17850"/>
    <x v="0"/>
    <n v="6"/>
    <x v="29"/>
  </r>
  <r>
    <n v="536406"/>
    <n v="21071"/>
    <x v="50"/>
    <n v="6"/>
    <d v="2010-12-01T11:33:00"/>
    <n v="1.06"/>
    <n v="17850"/>
    <x v="0"/>
    <n v="6"/>
    <x v="29"/>
  </r>
  <r>
    <n v="536406"/>
    <n v="21068"/>
    <x v="51"/>
    <n v="6"/>
    <d v="2010-12-01T11:33:00"/>
    <n v="1.06"/>
    <n v="17850"/>
    <x v="0"/>
    <n v="6"/>
    <x v="29"/>
  </r>
  <r>
    <n v="536406"/>
    <n v="82483"/>
    <x v="52"/>
    <n v="4"/>
    <d v="2010-12-01T11:33:00"/>
    <n v="4.95"/>
    <n v="17850"/>
    <x v="0"/>
    <n v="4"/>
    <x v="159"/>
  </r>
  <r>
    <n v="536406"/>
    <n v="82486"/>
    <x v="53"/>
    <n v="4"/>
    <d v="2010-12-01T11:33:00"/>
    <n v="6.95"/>
    <n v="17850"/>
    <x v="0"/>
    <n v="4"/>
    <x v="31"/>
  </r>
  <r>
    <n v="536406"/>
    <n v="82482"/>
    <x v="54"/>
    <n v="6"/>
    <d v="2010-12-01T11:33:00"/>
    <n v="2.1"/>
    <n v="17850"/>
    <x v="0"/>
    <n v="6"/>
    <x v="7"/>
  </r>
  <r>
    <n v="536406"/>
    <s v="82494L"/>
    <x v="55"/>
    <n v="6"/>
    <d v="2010-12-01T11:33:00"/>
    <n v="2.5499999999999998"/>
    <n v="17850"/>
    <x v="0"/>
    <n v="6"/>
    <x v="0"/>
  </r>
  <r>
    <n v="536406"/>
    <s v="84029G"/>
    <x v="3"/>
    <n v="6"/>
    <d v="2010-12-01T11:33:00"/>
    <n v="3.39"/>
    <n v="17850"/>
    <x v="0"/>
    <n v="6"/>
    <x v="1"/>
  </r>
  <r>
    <n v="536406"/>
    <s v="84029E"/>
    <x v="4"/>
    <n v="6"/>
    <d v="2010-12-01T11:33:00"/>
    <n v="3.39"/>
    <n v="17850"/>
    <x v="0"/>
    <n v="6"/>
    <x v="1"/>
  </r>
  <r>
    <n v="536406"/>
    <n v="22752"/>
    <x v="5"/>
    <n v="2"/>
    <d v="2010-12-01T11:33:00"/>
    <n v="7.65"/>
    <n v="17850"/>
    <x v="0"/>
    <n v="2"/>
    <x v="3"/>
  </r>
  <r>
    <n v="536406"/>
    <n v="22803"/>
    <x v="209"/>
    <n v="2"/>
    <d v="2010-12-01T11:33:00"/>
    <n v="35.75"/>
    <n v="17850"/>
    <x v="0"/>
    <n v="2"/>
    <x v="132"/>
  </r>
  <r>
    <n v="536406"/>
    <n v="21730"/>
    <x v="6"/>
    <n v="6"/>
    <d v="2010-12-01T11:33:00"/>
    <n v="4.25"/>
    <n v="17850"/>
    <x v="0"/>
    <n v="6"/>
    <x v="4"/>
  </r>
  <r>
    <n v="536407"/>
    <n v="22632"/>
    <x v="8"/>
    <n v="6"/>
    <d v="2010-12-01T11:34:00"/>
    <n v="1.85"/>
    <n v="17850"/>
    <x v="0"/>
    <n v="6"/>
    <x v="5"/>
  </r>
  <r>
    <n v="536407"/>
    <n v="22633"/>
    <x v="7"/>
    <n v="6"/>
    <d v="2010-12-01T11:34:00"/>
    <n v="1.85"/>
    <n v="17850"/>
    <x v="0"/>
    <n v="6"/>
    <x v="5"/>
  </r>
  <r>
    <n v="536408"/>
    <n v="22537"/>
    <x v="298"/>
    <n v="24"/>
    <d v="2010-12-01T11:41:00"/>
    <n v="0.42"/>
    <n v="14307"/>
    <x v="0"/>
    <n v="24"/>
    <x v="24"/>
  </r>
  <r>
    <n v="536408"/>
    <n v="22533"/>
    <x v="299"/>
    <n v="24"/>
    <d v="2010-12-01T11:41:00"/>
    <n v="0.42"/>
    <n v="14307"/>
    <x v="0"/>
    <n v="24"/>
    <x v="24"/>
  </r>
  <r>
    <n v="536408"/>
    <n v="20982"/>
    <x v="300"/>
    <n v="12"/>
    <d v="2010-12-01T11:41:00"/>
    <n v="0.85"/>
    <n v="14307"/>
    <x v="0"/>
    <n v="12"/>
    <x v="16"/>
  </r>
  <r>
    <n v="536408"/>
    <n v="21832"/>
    <x v="113"/>
    <n v="12"/>
    <d v="2010-12-01T11:41:00"/>
    <n v="1.65"/>
    <n v="14307"/>
    <x v="0"/>
    <n v="12"/>
    <x v="69"/>
  </r>
  <r>
    <n v="536408"/>
    <n v="21915"/>
    <x v="301"/>
    <n v="12"/>
    <d v="2010-12-01T11:41:00"/>
    <n v="1.25"/>
    <n v="14307"/>
    <x v="0"/>
    <n v="12"/>
    <x v="73"/>
  </r>
  <r>
    <n v="536408"/>
    <n v="21914"/>
    <x v="302"/>
    <n v="12"/>
    <d v="2010-12-01T11:41:00"/>
    <n v="1.25"/>
    <n v="14307"/>
    <x v="0"/>
    <n v="12"/>
    <x v="73"/>
  </r>
  <r>
    <n v="536408"/>
    <n v="21544"/>
    <x v="303"/>
    <n v="12"/>
    <d v="2010-12-01T11:41:00"/>
    <n v="0.85"/>
    <n v="14307"/>
    <x v="0"/>
    <n v="12"/>
    <x v="16"/>
  </r>
  <r>
    <n v="536408"/>
    <n v="22813"/>
    <x v="304"/>
    <n v="12"/>
    <d v="2010-12-01T11:41:00"/>
    <n v="1.95"/>
    <n v="14307"/>
    <x v="0"/>
    <n v="12"/>
    <x v="160"/>
  </r>
  <r>
    <n v="536408"/>
    <n v="22114"/>
    <x v="57"/>
    <n v="4"/>
    <d v="2010-12-01T11:41:00"/>
    <n v="3.95"/>
    <n v="14307"/>
    <x v="0"/>
    <n v="4"/>
    <x v="83"/>
  </r>
  <r>
    <n v="536408"/>
    <s v="84029E"/>
    <x v="4"/>
    <n v="4"/>
    <d v="2010-12-01T11:41:00"/>
    <n v="3.75"/>
    <n v="14307"/>
    <x v="0"/>
    <n v="4"/>
    <x v="73"/>
  </r>
  <r>
    <n v="536408"/>
    <n v="21479"/>
    <x v="219"/>
    <n v="4"/>
    <d v="2010-12-01T11:41:00"/>
    <n v="3.75"/>
    <n v="14307"/>
    <x v="0"/>
    <n v="4"/>
    <x v="73"/>
  </r>
  <r>
    <n v="536408"/>
    <n v="22964"/>
    <x v="289"/>
    <n v="6"/>
    <d v="2010-12-01T11:41:00"/>
    <n v="2.1"/>
    <n v="14307"/>
    <x v="0"/>
    <n v="6"/>
    <x v="7"/>
  </r>
  <r>
    <n v="536408"/>
    <n v="84375"/>
    <x v="305"/>
    <n v="12"/>
    <d v="2010-12-01T11:41:00"/>
    <n v="2.1"/>
    <n v="14307"/>
    <x v="0"/>
    <n v="12"/>
    <x v="124"/>
  </r>
  <r>
    <n v="536408"/>
    <n v="22418"/>
    <x v="306"/>
    <n v="24"/>
    <d v="2010-12-01T11:41:00"/>
    <n v="0.85"/>
    <n v="14307"/>
    <x v="0"/>
    <n v="24"/>
    <x v="103"/>
  </r>
  <r>
    <n v="536408"/>
    <n v="22178"/>
    <x v="307"/>
    <n v="12"/>
    <d v="2010-12-01T11:41:00"/>
    <n v="1.25"/>
    <n v="14307"/>
    <x v="0"/>
    <n v="12"/>
    <x v="73"/>
  </r>
  <r>
    <n v="536408"/>
    <s v="84970L"/>
    <x v="308"/>
    <n v="12"/>
    <d v="2010-12-01T11:41:00"/>
    <n v="0.95"/>
    <n v="14307"/>
    <x v="0"/>
    <n v="12"/>
    <x v="161"/>
  </r>
  <r>
    <n v="536408"/>
    <n v="21733"/>
    <x v="58"/>
    <n v="6"/>
    <d v="2010-12-01T11:41:00"/>
    <n v="2.95"/>
    <n v="14307"/>
    <x v="0"/>
    <n v="6"/>
    <x v="42"/>
  </r>
  <r>
    <n v="536408"/>
    <n v="22465"/>
    <x v="309"/>
    <n v="12"/>
    <d v="2010-12-01T11:41:00"/>
    <n v="1.65"/>
    <n v="14307"/>
    <x v="0"/>
    <n v="12"/>
    <x v="69"/>
  </r>
  <r>
    <n v="536408"/>
    <n v="84949"/>
    <x v="310"/>
    <n v="6"/>
    <d v="2010-12-01T11:41:00"/>
    <n v="1.65"/>
    <n v="14307"/>
    <x v="0"/>
    <n v="6"/>
    <x v="9"/>
  </r>
  <r>
    <n v="536408"/>
    <n v="20685"/>
    <x v="311"/>
    <n v="2"/>
    <d v="2010-12-01T11:41:00"/>
    <n v="7.95"/>
    <n v="14307"/>
    <x v="0"/>
    <n v="2"/>
    <x v="94"/>
  </r>
  <r>
    <n v="536408"/>
    <n v="48194"/>
    <x v="312"/>
    <n v="2"/>
    <d v="2010-12-01T11:41:00"/>
    <n v="7.95"/>
    <n v="14307"/>
    <x v="0"/>
    <n v="2"/>
    <x v="94"/>
  </r>
  <r>
    <n v="536408"/>
    <n v="22488"/>
    <x v="313"/>
    <n v="12"/>
    <d v="2010-12-01T11:41:00"/>
    <n v="1.65"/>
    <n v="14307"/>
    <x v="0"/>
    <n v="12"/>
    <x v="69"/>
  </r>
  <r>
    <n v="536408"/>
    <n v="22219"/>
    <x v="314"/>
    <n v="12"/>
    <d v="2010-12-01T11:41:00"/>
    <n v="0.85"/>
    <n v="14307"/>
    <x v="0"/>
    <n v="12"/>
    <x v="16"/>
  </r>
  <r>
    <n v="536408"/>
    <n v="84879"/>
    <x v="9"/>
    <n v="8"/>
    <d v="2010-12-01T11:41:00"/>
    <n v="1.69"/>
    <n v="14307"/>
    <x v="0"/>
    <n v="8"/>
    <x v="162"/>
  </r>
  <r>
    <n v="536408"/>
    <n v="21754"/>
    <x v="17"/>
    <n v="3"/>
    <d v="2010-12-01T11:41:00"/>
    <n v="5.95"/>
    <n v="14307"/>
    <x v="0"/>
    <n v="3"/>
    <x v="12"/>
  </r>
  <r>
    <n v="536408"/>
    <n v="21755"/>
    <x v="18"/>
    <n v="3"/>
    <d v="2010-12-01T11:41:00"/>
    <n v="5.95"/>
    <n v="14307"/>
    <x v="0"/>
    <n v="3"/>
    <x v="12"/>
  </r>
  <r>
    <n v="536408"/>
    <n v="22766"/>
    <x v="224"/>
    <n v="8"/>
    <d v="2010-12-01T11:41:00"/>
    <n v="2.95"/>
    <n v="14307"/>
    <x v="0"/>
    <n v="8"/>
    <x v="72"/>
  </r>
  <r>
    <n v="536408"/>
    <n v="22610"/>
    <x v="315"/>
    <n v="36"/>
    <d v="2010-12-01T11:41:00"/>
    <n v="0.85"/>
    <n v="14307"/>
    <x v="0"/>
    <n v="36"/>
    <x v="131"/>
  </r>
  <r>
    <n v="536408"/>
    <n v="22716"/>
    <x v="316"/>
    <n v="12"/>
    <d v="2010-12-01T11:41:00"/>
    <n v="0.42"/>
    <n v="14307"/>
    <x v="0"/>
    <n v="12"/>
    <x v="96"/>
  </r>
  <r>
    <n v="536408"/>
    <n v="22706"/>
    <x v="317"/>
    <n v="25"/>
    <d v="2010-12-01T11:41:00"/>
    <n v="0.42"/>
    <n v="14307"/>
    <x v="0"/>
    <n v="25"/>
    <x v="163"/>
  </r>
  <r>
    <n v="536408"/>
    <n v="22371"/>
    <x v="318"/>
    <n v="4"/>
    <d v="2010-12-01T11:41:00"/>
    <n v="4.25"/>
    <n v="14307"/>
    <x v="0"/>
    <n v="4"/>
    <x v="22"/>
  </r>
  <r>
    <n v="536408"/>
    <s v="85014B"/>
    <x v="157"/>
    <n v="3"/>
    <d v="2010-12-01T11:41:00"/>
    <n v="5.95"/>
    <n v="14307"/>
    <x v="0"/>
    <n v="3"/>
    <x v="12"/>
  </r>
  <r>
    <n v="536408"/>
    <s v="85014A"/>
    <x v="158"/>
    <n v="3"/>
    <d v="2010-12-01T11:41:00"/>
    <n v="5.95"/>
    <n v="14307"/>
    <x v="0"/>
    <n v="3"/>
    <x v="12"/>
  </r>
  <r>
    <n v="536408"/>
    <s v="84997B"/>
    <x v="63"/>
    <n v="6"/>
    <d v="2010-12-01T11:41:00"/>
    <n v="3.75"/>
    <n v="14307"/>
    <x v="0"/>
    <n v="6"/>
    <x v="38"/>
  </r>
  <r>
    <n v="536408"/>
    <n v="21212"/>
    <x v="69"/>
    <n v="24"/>
    <d v="2010-12-01T11:41:00"/>
    <n v="0.55000000000000004"/>
    <n v="14307"/>
    <x v="0"/>
    <n v="24"/>
    <x v="41"/>
  </r>
  <r>
    <n v="536408"/>
    <n v="21210"/>
    <x v="319"/>
    <n v="12"/>
    <d v="2010-12-01T11:41:00"/>
    <n v="1.45"/>
    <n v="14307"/>
    <x v="0"/>
    <n v="12"/>
    <x v="87"/>
  </r>
  <r>
    <n v="536408"/>
    <n v="22914"/>
    <x v="24"/>
    <n v="3"/>
    <d v="2010-12-01T11:41:00"/>
    <n v="4.95"/>
    <n v="14307"/>
    <x v="0"/>
    <n v="3"/>
    <x v="10"/>
  </r>
  <r>
    <n v="536408"/>
    <n v="22553"/>
    <x v="185"/>
    <n v="12"/>
    <d v="2010-12-01T11:41:00"/>
    <n v="1.65"/>
    <n v="14307"/>
    <x v="0"/>
    <n v="12"/>
    <x v="69"/>
  </r>
  <r>
    <n v="536408"/>
    <n v="16237"/>
    <x v="320"/>
    <n v="30"/>
    <d v="2010-12-01T11:41:00"/>
    <n v="0.21"/>
    <n v="14307"/>
    <x v="0"/>
    <n v="30"/>
    <x v="164"/>
  </r>
  <r>
    <n v="536408"/>
    <n v="22714"/>
    <x v="321"/>
    <n v="12"/>
    <d v="2010-12-01T11:41:00"/>
    <n v="0.42"/>
    <n v="14307"/>
    <x v="0"/>
    <n v="12"/>
    <x v="96"/>
  </r>
  <r>
    <n v="536408"/>
    <n v="22812"/>
    <x v="322"/>
    <n v="12"/>
    <d v="2010-12-01T11:41:00"/>
    <n v="1.95"/>
    <n v="14307"/>
    <x v="0"/>
    <n v="12"/>
    <x v="160"/>
  </r>
  <r>
    <n v="536408"/>
    <n v="84347"/>
    <x v="323"/>
    <n v="6"/>
    <d v="2010-12-01T11:41:00"/>
    <n v="2.5499999999999998"/>
    <n v="14307"/>
    <x v="0"/>
    <n v="6"/>
    <x v="0"/>
  </r>
  <r>
    <n v="536408"/>
    <n v="21587"/>
    <x v="261"/>
    <n v="12"/>
    <d v="2010-12-01T11:41:00"/>
    <n v="2.5499999999999998"/>
    <n v="14307"/>
    <x v="0"/>
    <n v="12"/>
    <x v="131"/>
  </r>
  <r>
    <n v="536408"/>
    <n v="22736"/>
    <x v="324"/>
    <n v="10"/>
    <d v="2010-12-01T11:41:00"/>
    <n v="1.65"/>
    <n v="14307"/>
    <x v="0"/>
    <n v="10"/>
    <x v="39"/>
  </r>
  <r>
    <n v="536408"/>
    <n v="22492"/>
    <x v="44"/>
    <n v="36"/>
    <d v="2010-12-01T11:41:00"/>
    <n v="0.65"/>
    <n v="14307"/>
    <x v="0"/>
    <n v="36"/>
    <x v="25"/>
  </r>
  <r>
    <n v="536408"/>
    <n v="22620"/>
    <x v="325"/>
    <n v="12"/>
    <d v="2010-12-01T11:41:00"/>
    <n v="1.25"/>
    <n v="14307"/>
    <x v="0"/>
    <n v="12"/>
    <x v="73"/>
  </r>
  <r>
    <n v="536408"/>
    <n v="22619"/>
    <x v="187"/>
    <n v="4"/>
    <d v="2010-12-01T11:41:00"/>
    <n v="3.75"/>
    <n v="14307"/>
    <x v="0"/>
    <n v="4"/>
    <x v="73"/>
  </r>
  <r>
    <n v="536408"/>
    <n v="21705"/>
    <x v="326"/>
    <n v="12"/>
    <d v="2010-12-01T11:41:00"/>
    <n v="1.65"/>
    <n v="14307"/>
    <x v="0"/>
    <n v="12"/>
    <x v="69"/>
  </r>
  <r>
    <n v="536409"/>
    <s v="90199C"/>
    <x v="327"/>
    <n v="3"/>
    <d v="2010-12-01T11:45:00"/>
    <n v="6.35"/>
    <n v="17908"/>
    <x v="0"/>
    <n v="3"/>
    <x v="165"/>
  </r>
  <r>
    <n v="536409"/>
    <n v="21479"/>
    <x v="219"/>
    <n v="1"/>
    <d v="2010-12-01T11:45:00"/>
    <n v="3.75"/>
    <n v="17908"/>
    <x v="0"/>
    <n v="1"/>
    <x v="58"/>
  </r>
  <r>
    <n v="536409"/>
    <n v="22111"/>
    <x v="220"/>
    <n v="1"/>
    <d v="2010-12-01T11:45:00"/>
    <n v="4.95"/>
    <n v="17908"/>
    <x v="0"/>
    <n v="1"/>
    <x v="60"/>
  </r>
  <r>
    <n v="536409"/>
    <n v="22785"/>
    <x v="328"/>
    <n v="1"/>
    <d v="2010-12-01T11:45:00"/>
    <n v="6.75"/>
    <n v="17908"/>
    <x v="0"/>
    <n v="1"/>
    <x v="166"/>
  </r>
  <r>
    <n v="536409"/>
    <n v="22975"/>
    <x v="329"/>
    <n v="1"/>
    <d v="2010-12-01T11:45:00"/>
    <n v="1.25"/>
    <n v="17908"/>
    <x v="0"/>
    <n v="1"/>
    <x v="50"/>
  </r>
  <r>
    <n v="536409"/>
    <n v="22972"/>
    <x v="330"/>
    <n v="1"/>
    <d v="2010-12-01T11:45:00"/>
    <n v="1.65"/>
    <n v="17908"/>
    <x v="0"/>
    <n v="1"/>
    <x v="140"/>
  </r>
  <r>
    <n v="536409"/>
    <n v="22866"/>
    <x v="197"/>
    <n v="1"/>
    <d v="2010-12-01T11:45:00"/>
    <n v="2.1"/>
    <n v="17908"/>
    <x v="0"/>
    <n v="1"/>
    <x v="148"/>
  </r>
  <r>
    <n v="536409"/>
    <n v="22568"/>
    <x v="331"/>
    <n v="1"/>
    <d v="2010-12-01T11:45:00"/>
    <n v="3.75"/>
    <n v="17908"/>
    <x v="0"/>
    <n v="1"/>
    <x v="58"/>
  </r>
  <r>
    <n v="536409"/>
    <n v="85116"/>
    <x v="332"/>
    <n v="1"/>
    <d v="2010-12-01T11:45:00"/>
    <n v="2.1"/>
    <n v="17908"/>
    <x v="0"/>
    <n v="1"/>
    <x v="148"/>
  </r>
  <r>
    <n v="536409"/>
    <n v="22664"/>
    <x v="333"/>
    <n v="1"/>
    <d v="2010-12-01T11:45:00"/>
    <n v="2.1"/>
    <n v="17908"/>
    <x v="0"/>
    <n v="1"/>
    <x v="148"/>
  </r>
  <r>
    <n v="536409"/>
    <n v="21609"/>
    <x v="334"/>
    <n v="1"/>
    <d v="2010-12-01T11:45:00"/>
    <n v="2.95"/>
    <n v="17908"/>
    <x v="0"/>
    <n v="1"/>
    <x v="55"/>
  </r>
  <r>
    <n v="536409"/>
    <n v="21866"/>
    <x v="335"/>
    <n v="1"/>
    <d v="2010-12-01T11:45:00"/>
    <n v="1.25"/>
    <n v="17908"/>
    <x v="0"/>
    <n v="1"/>
    <x v="50"/>
  </r>
  <r>
    <n v="536409"/>
    <n v="20669"/>
    <x v="336"/>
    <n v="1"/>
    <d v="2010-12-01T11:45:00"/>
    <n v="1.25"/>
    <n v="17908"/>
    <x v="0"/>
    <n v="1"/>
    <x v="50"/>
  </r>
  <r>
    <n v="536409"/>
    <s v="90129F"/>
    <x v="337"/>
    <n v="1"/>
    <d v="2010-12-01T11:45:00"/>
    <n v="2.95"/>
    <n v="17908"/>
    <x v="0"/>
    <n v="1"/>
    <x v="55"/>
  </r>
  <r>
    <n v="536409"/>
    <s v="90210B"/>
    <x v="338"/>
    <n v="1"/>
    <d v="2010-12-01T11:45:00"/>
    <n v="2.95"/>
    <n v="17908"/>
    <x v="0"/>
    <n v="1"/>
    <x v="55"/>
  </r>
  <r>
    <n v="536409"/>
    <s v="90199C"/>
    <x v="327"/>
    <n v="1"/>
    <d v="2010-12-01T11:45:00"/>
    <n v="6.35"/>
    <n v="17908"/>
    <x v="0"/>
    <n v="1"/>
    <x v="167"/>
  </r>
  <r>
    <n v="536409"/>
    <n v="21955"/>
    <x v="339"/>
    <n v="1"/>
    <d v="2010-12-01T11:45:00"/>
    <n v="7.95"/>
    <n v="17908"/>
    <x v="0"/>
    <n v="1"/>
    <x v="145"/>
  </r>
  <r>
    <n v="536409"/>
    <s v="72802C"/>
    <x v="340"/>
    <n v="1"/>
    <d v="2010-12-01T11:45:00"/>
    <n v="4.25"/>
    <n v="17908"/>
    <x v="0"/>
    <n v="1"/>
    <x v="143"/>
  </r>
  <r>
    <n v="536409"/>
    <n v="22109"/>
    <x v="341"/>
    <n v="1"/>
    <d v="2010-12-01T11:45:00"/>
    <n v="3.75"/>
    <n v="17908"/>
    <x v="0"/>
    <n v="1"/>
    <x v="58"/>
  </r>
  <r>
    <n v="536409"/>
    <n v="85116"/>
    <x v="332"/>
    <n v="5"/>
    <d v="2010-12-01T11:45:00"/>
    <n v="2.1"/>
    <n v="17908"/>
    <x v="0"/>
    <n v="5"/>
    <x v="163"/>
  </r>
  <r>
    <n v="536409"/>
    <n v="22531"/>
    <x v="342"/>
    <n v="1"/>
    <d v="2010-12-01T11:45:00"/>
    <n v="0.42"/>
    <n v="17908"/>
    <x v="0"/>
    <n v="1"/>
    <x v="168"/>
  </r>
  <r>
    <n v="536409"/>
    <n v="21811"/>
    <x v="343"/>
    <n v="1"/>
    <d v="2010-12-01T11:45:00"/>
    <n v="1.25"/>
    <n v="17908"/>
    <x v="0"/>
    <n v="1"/>
    <x v="50"/>
  </r>
  <r>
    <n v="536409"/>
    <n v="22183"/>
    <x v="344"/>
    <n v="1"/>
    <d v="2010-12-01T11:45:00"/>
    <n v="6.75"/>
    <n v="17908"/>
    <x v="0"/>
    <n v="1"/>
    <x v="166"/>
  </r>
  <r>
    <n v="536409"/>
    <n v="21678"/>
    <x v="345"/>
    <n v="6"/>
    <d v="2010-12-01T11:45:00"/>
    <n v="0.85"/>
    <n v="17908"/>
    <x v="0"/>
    <n v="6"/>
    <x v="57"/>
  </r>
  <r>
    <n v="536409"/>
    <n v="21676"/>
    <x v="346"/>
    <n v="6"/>
    <d v="2010-12-01T11:45:00"/>
    <n v="0.85"/>
    <n v="17908"/>
    <x v="0"/>
    <n v="6"/>
    <x v="57"/>
  </r>
  <r>
    <n v="536409"/>
    <s v="84625A"/>
    <x v="270"/>
    <n v="1"/>
    <d v="2010-12-01T11:45:00"/>
    <n v="2.95"/>
    <n v="17908"/>
    <x v="0"/>
    <n v="1"/>
    <x v="55"/>
  </r>
  <r>
    <n v="536409"/>
    <s v="84625C"/>
    <x v="269"/>
    <n v="3"/>
    <d v="2010-12-01T11:45:00"/>
    <n v="2.95"/>
    <n v="17908"/>
    <x v="0"/>
    <n v="3"/>
    <x v="151"/>
  </r>
  <r>
    <n v="536409"/>
    <n v="21931"/>
    <x v="76"/>
    <n v="2"/>
    <d v="2010-12-01T11:45:00"/>
    <n v="1.95"/>
    <n v="17908"/>
    <x v="0"/>
    <n v="2"/>
    <x v="169"/>
  </r>
  <r>
    <n v="536409"/>
    <s v="85169B"/>
    <x v="347"/>
    <n v="12"/>
    <d v="2010-12-01T11:45:00"/>
    <n v="1.25"/>
    <n v="17908"/>
    <x v="0"/>
    <n v="12"/>
    <x v="73"/>
  </r>
  <r>
    <n v="536409"/>
    <n v="16238"/>
    <x v="348"/>
    <n v="28"/>
    <d v="2010-12-01T11:45:00"/>
    <n v="0.21"/>
    <n v="17908"/>
    <x v="0"/>
    <n v="28"/>
    <x v="170"/>
  </r>
  <r>
    <n v="536409"/>
    <n v="20668"/>
    <x v="169"/>
    <n v="24"/>
    <d v="2010-12-01T11:45:00"/>
    <n v="0.12"/>
    <n v="17908"/>
    <x v="0"/>
    <n v="24"/>
    <x v="171"/>
  </r>
  <r>
    <n v="536409"/>
    <n v="84906"/>
    <x v="349"/>
    <n v="1"/>
    <d v="2010-12-01T11:45:00"/>
    <n v="5.95"/>
    <n v="17908"/>
    <x v="0"/>
    <n v="1"/>
    <x v="142"/>
  </r>
  <r>
    <n v="536409"/>
    <n v="21867"/>
    <x v="350"/>
    <n v="1"/>
    <d v="2010-12-01T11:45:00"/>
    <n v="1.25"/>
    <n v="17908"/>
    <x v="0"/>
    <n v="1"/>
    <x v="50"/>
  </r>
  <r>
    <n v="536409"/>
    <n v="22075"/>
    <x v="351"/>
    <n v="1"/>
    <d v="2010-12-01T11:45:00"/>
    <n v="1.65"/>
    <n v="17908"/>
    <x v="0"/>
    <n v="1"/>
    <x v="140"/>
  </r>
  <r>
    <n v="536409"/>
    <n v="21866"/>
    <x v="335"/>
    <n v="1"/>
    <d v="2010-12-01T11:45:00"/>
    <n v="1.25"/>
    <n v="17908"/>
    <x v="0"/>
    <n v="1"/>
    <x v="50"/>
  </r>
  <r>
    <n v="536409"/>
    <n v="21326"/>
    <x v="352"/>
    <n v="12"/>
    <d v="2010-12-01T11:45:00"/>
    <n v="0.65"/>
    <n v="17908"/>
    <x v="0"/>
    <n v="12"/>
    <x v="172"/>
  </r>
  <r>
    <n v="536409"/>
    <n v="21065"/>
    <x v="353"/>
    <n v="1"/>
    <d v="2010-12-01T11:45:00"/>
    <n v="5.95"/>
    <n v="17908"/>
    <x v="0"/>
    <n v="1"/>
    <x v="142"/>
  </r>
  <r>
    <n v="536409"/>
    <n v="22074"/>
    <x v="354"/>
    <n v="1"/>
    <d v="2010-12-01T11:45:00"/>
    <n v="1.65"/>
    <n v="17908"/>
    <x v="0"/>
    <n v="1"/>
    <x v="140"/>
  </r>
  <r>
    <n v="536409"/>
    <n v="22900"/>
    <x v="40"/>
    <n v="1"/>
    <d v="2010-12-01T11:45:00"/>
    <n v="2.95"/>
    <n v="17908"/>
    <x v="0"/>
    <n v="1"/>
    <x v="55"/>
  </r>
  <r>
    <n v="536409"/>
    <n v="20713"/>
    <x v="355"/>
    <n v="1"/>
    <d v="2010-12-01T11:45:00"/>
    <n v="1.95"/>
    <n v="17908"/>
    <x v="0"/>
    <n v="1"/>
    <x v="54"/>
  </r>
  <r>
    <n v="536409"/>
    <n v="20966"/>
    <x v="253"/>
    <n v="2"/>
    <d v="2010-12-01T11:45:00"/>
    <n v="1.25"/>
    <n v="17908"/>
    <x v="0"/>
    <n v="2"/>
    <x v="138"/>
  </r>
  <r>
    <n v="536409"/>
    <n v="21116"/>
    <x v="356"/>
    <n v="1"/>
    <d v="2010-12-01T11:45:00"/>
    <n v="4.95"/>
    <n v="17908"/>
    <x v="0"/>
    <n v="1"/>
    <x v="60"/>
  </r>
  <r>
    <n v="536409"/>
    <s v="90199C"/>
    <x v="327"/>
    <n v="2"/>
    <d v="2010-12-01T11:45:00"/>
    <n v="6.35"/>
    <n v="17908"/>
    <x v="0"/>
    <n v="2"/>
    <x v="173"/>
  </r>
  <r>
    <n v="536409"/>
    <n v="22633"/>
    <x v="7"/>
    <n v="1"/>
    <d v="2010-12-01T11:45:00"/>
    <n v="2.1"/>
    <n v="17908"/>
    <x v="0"/>
    <n v="1"/>
    <x v="148"/>
  </r>
  <r>
    <n v="536409"/>
    <n v="22866"/>
    <x v="197"/>
    <n v="1"/>
    <d v="2010-12-01T11:45:00"/>
    <n v="2.1"/>
    <n v="17908"/>
    <x v="0"/>
    <n v="1"/>
    <x v="148"/>
  </r>
  <r>
    <n v="536409"/>
    <n v="22198"/>
    <x v="171"/>
    <n v="1"/>
    <d v="2010-12-01T11:45:00"/>
    <n v="1.65"/>
    <n v="17908"/>
    <x v="0"/>
    <n v="1"/>
    <x v="140"/>
  </r>
  <r>
    <n v="536409"/>
    <n v="21824"/>
    <x v="357"/>
    <n v="3"/>
    <d v="2010-12-01T11:45:00"/>
    <n v="1.45"/>
    <n v="17908"/>
    <x v="0"/>
    <n v="3"/>
    <x v="174"/>
  </r>
  <r>
    <n v="536409"/>
    <n v="21823"/>
    <x v="358"/>
    <n v="3"/>
    <d v="2010-12-01T11:45:00"/>
    <n v="1.45"/>
    <n v="17908"/>
    <x v="0"/>
    <n v="3"/>
    <x v="174"/>
  </r>
  <r>
    <n v="536409"/>
    <n v="22153"/>
    <x v="359"/>
    <n v="6"/>
    <d v="2010-12-01T11:45:00"/>
    <n v="0.42"/>
    <n v="17908"/>
    <x v="0"/>
    <n v="6"/>
    <x v="175"/>
  </r>
  <r>
    <n v="536409"/>
    <n v="22197"/>
    <x v="170"/>
    <n v="2"/>
    <d v="2010-12-01T11:45:00"/>
    <n v="0.85"/>
    <n v="17908"/>
    <x v="0"/>
    <n v="2"/>
    <x v="176"/>
  </r>
  <r>
    <n v="536409"/>
    <s v="85099B"/>
    <x v="140"/>
    <n v="2"/>
    <d v="2010-12-01T11:45:00"/>
    <n v="1.95"/>
    <n v="17908"/>
    <x v="0"/>
    <n v="2"/>
    <x v="169"/>
  </r>
  <r>
    <n v="536409"/>
    <s v="85099F"/>
    <x v="360"/>
    <n v="1"/>
    <d v="2010-12-01T11:45:00"/>
    <n v="1.95"/>
    <n v="17908"/>
    <x v="0"/>
    <n v="1"/>
    <x v="54"/>
  </r>
  <r>
    <n v="536409"/>
    <n v="20717"/>
    <x v="361"/>
    <n v="1"/>
    <d v="2010-12-01T11:45:00"/>
    <n v="1.25"/>
    <n v="17908"/>
    <x v="0"/>
    <n v="1"/>
    <x v="50"/>
  </r>
  <r>
    <n v="536409"/>
    <n v="20723"/>
    <x v="62"/>
    <n v="1"/>
    <d v="2010-12-01T11:45:00"/>
    <n v="0.85"/>
    <n v="17908"/>
    <x v="0"/>
    <n v="1"/>
    <x v="51"/>
  </r>
  <r>
    <n v="536409"/>
    <n v="22900"/>
    <x v="40"/>
    <n v="1"/>
    <d v="2010-12-01T11:45:00"/>
    <n v="2.95"/>
    <n v="17908"/>
    <x v="0"/>
    <n v="1"/>
    <x v="55"/>
  </r>
  <r>
    <n v="536409"/>
    <n v="21980"/>
    <x v="182"/>
    <n v="12"/>
    <d v="2010-12-01T11:45:00"/>
    <n v="0.28999999999999998"/>
    <n v="17908"/>
    <x v="0"/>
    <n v="12"/>
    <x v="177"/>
  </r>
  <r>
    <n v="536409"/>
    <n v="22111"/>
    <x v="220"/>
    <n v="1"/>
    <d v="2010-12-01T11:45:00"/>
    <n v="4.95"/>
    <n v="17908"/>
    <x v="0"/>
    <n v="1"/>
    <x v="60"/>
  </r>
  <r>
    <n v="536409"/>
    <n v="22112"/>
    <x v="218"/>
    <n v="1"/>
    <d v="2010-12-01T11:45:00"/>
    <n v="4.95"/>
    <n v="17908"/>
    <x v="0"/>
    <n v="1"/>
    <x v="60"/>
  </r>
  <r>
    <n v="536412"/>
    <n v="20728"/>
    <x v="294"/>
    <n v="3"/>
    <d v="2010-12-01T11:49:00"/>
    <n v="1.65"/>
    <n v="17920"/>
    <x v="0"/>
    <n v="3"/>
    <x v="178"/>
  </r>
  <r>
    <n v="536412"/>
    <n v="22382"/>
    <x v="265"/>
    <n v="3"/>
    <d v="2010-12-01T11:49:00"/>
    <n v="1.65"/>
    <n v="17920"/>
    <x v="0"/>
    <n v="3"/>
    <x v="178"/>
  </r>
  <r>
    <n v="536412"/>
    <n v="22326"/>
    <x v="34"/>
    <n v="1"/>
    <d v="2010-12-01T11:49:00"/>
    <n v="2.95"/>
    <n v="17920"/>
    <x v="0"/>
    <n v="1"/>
    <x v="55"/>
  </r>
  <r>
    <n v="536412"/>
    <n v="22662"/>
    <x v="138"/>
    <n v="4"/>
    <d v="2010-12-01T11:49:00"/>
    <n v="1.65"/>
    <n v="17920"/>
    <x v="0"/>
    <n v="4"/>
    <x v="179"/>
  </r>
  <r>
    <n v="536412"/>
    <n v="22383"/>
    <x v="293"/>
    <n v="3"/>
    <d v="2010-12-01T11:49:00"/>
    <n v="1.65"/>
    <n v="17920"/>
    <x v="0"/>
    <n v="3"/>
    <x v="178"/>
  </r>
  <r>
    <n v="536412"/>
    <n v="20727"/>
    <x v="295"/>
    <n v="3"/>
    <d v="2010-12-01T11:49:00"/>
    <n v="1.65"/>
    <n v="17920"/>
    <x v="0"/>
    <n v="3"/>
    <x v="178"/>
  </r>
  <r>
    <n v="536412"/>
    <n v="22328"/>
    <x v="362"/>
    <n v="1"/>
    <d v="2010-12-01T11:49:00"/>
    <n v="2.95"/>
    <n v="17920"/>
    <x v="0"/>
    <n v="1"/>
    <x v="55"/>
  </r>
  <r>
    <n v="536412"/>
    <n v="22327"/>
    <x v="363"/>
    <n v="1"/>
    <d v="2010-12-01T11:49:00"/>
    <n v="2.95"/>
    <n v="17920"/>
    <x v="0"/>
    <n v="1"/>
    <x v="55"/>
  </r>
  <r>
    <n v="536412"/>
    <n v="22630"/>
    <x v="364"/>
    <n v="1"/>
    <d v="2010-12-01T11:49:00"/>
    <n v="1.95"/>
    <n v="17920"/>
    <x v="0"/>
    <n v="1"/>
    <x v="54"/>
  </r>
  <r>
    <n v="536412"/>
    <n v="22629"/>
    <x v="35"/>
    <n v="1"/>
    <d v="2010-12-01T11:49:00"/>
    <n v="1.95"/>
    <n v="17920"/>
    <x v="0"/>
    <n v="1"/>
    <x v="54"/>
  </r>
  <r>
    <n v="536412"/>
    <n v="21245"/>
    <x v="365"/>
    <n v="1"/>
    <d v="2010-12-01T11:49:00"/>
    <n v="1.69"/>
    <n v="17920"/>
    <x v="0"/>
    <n v="1"/>
    <x v="180"/>
  </r>
  <r>
    <n v="536412"/>
    <n v="21244"/>
    <x v="366"/>
    <n v="1"/>
    <d v="2010-12-01T11:49:00"/>
    <n v="1.69"/>
    <n v="17920"/>
    <x v="0"/>
    <n v="1"/>
    <x v="180"/>
  </r>
  <r>
    <n v="536412"/>
    <n v="21242"/>
    <x v="367"/>
    <n v="1"/>
    <d v="2010-12-01T11:49:00"/>
    <n v="1.69"/>
    <n v="17920"/>
    <x v="0"/>
    <n v="1"/>
    <x v="180"/>
  </r>
  <r>
    <n v="536412"/>
    <n v="21243"/>
    <x v="368"/>
    <n v="1"/>
    <d v="2010-12-01T11:49:00"/>
    <n v="1.69"/>
    <n v="17920"/>
    <x v="0"/>
    <n v="1"/>
    <x v="180"/>
  </r>
  <r>
    <n v="536412"/>
    <n v="22327"/>
    <x v="363"/>
    <n v="1"/>
    <d v="2010-12-01T11:49:00"/>
    <n v="2.95"/>
    <n v="17920"/>
    <x v="0"/>
    <n v="1"/>
    <x v="55"/>
  </r>
  <r>
    <n v="536412"/>
    <n v="22273"/>
    <x v="369"/>
    <n v="1"/>
    <d v="2010-12-01T11:49:00"/>
    <n v="2.95"/>
    <n v="17920"/>
    <x v="0"/>
    <n v="1"/>
    <x v="55"/>
  </r>
  <r>
    <n v="536412"/>
    <n v="22940"/>
    <x v="370"/>
    <n v="3"/>
    <d v="2010-12-01T11:49:00"/>
    <n v="4.25"/>
    <n v="17920"/>
    <x v="0"/>
    <n v="3"/>
    <x v="95"/>
  </r>
  <r>
    <n v="536412"/>
    <n v="22652"/>
    <x v="203"/>
    <n v="5"/>
    <d v="2010-12-01T11:49:00"/>
    <n v="1.65"/>
    <n v="17920"/>
    <x v="0"/>
    <n v="5"/>
    <x v="181"/>
  </r>
  <r>
    <n v="536412"/>
    <n v="22759"/>
    <x v="371"/>
    <n v="1"/>
    <d v="2010-12-01T11:49:00"/>
    <n v="1.65"/>
    <n v="17920"/>
    <x v="0"/>
    <n v="1"/>
    <x v="140"/>
  </r>
  <r>
    <n v="536412"/>
    <n v="21880"/>
    <x v="372"/>
    <n v="10"/>
    <d v="2010-12-01T11:49:00"/>
    <n v="0.65"/>
    <n v="17920"/>
    <x v="0"/>
    <n v="10"/>
    <x v="182"/>
  </r>
  <r>
    <n v="536412"/>
    <n v="21738"/>
    <x v="373"/>
    <n v="1"/>
    <d v="2010-12-01T11:49:00"/>
    <n v="2.95"/>
    <n v="17920"/>
    <x v="0"/>
    <n v="1"/>
    <x v="55"/>
  </r>
  <r>
    <n v="536412"/>
    <n v="22077"/>
    <x v="374"/>
    <n v="1"/>
    <d v="2010-12-01T11:49:00"/>
    <n v="1.65"/>
    <n v="17920"/>
    <x v="0"/>
    <n v="1"/>
    <x v="140"/>
  </r>
  <r>
    <n v="536412"/>
    <s v="85049E"/>
    <x v="228"/>
    <n v="3"/>
    <d v="2010-12-01T11:49:00"/>
    <n v="1.25"/>
    <n v="17920"/>
    <x v="0"/>
    <n v="3"/>
    <x v="58"/>
  </r>
  <r>
    <n v="536412"/>
    <n v="22961"/>
    <x v="78"/>
    <n v="24"/>
    <d v="2010-12-01T11:49:00"/>
    <n v="1.45"/>
    <n v="17920"/>
    <x v="0"/>
    <n v="24"/>
    <x v="45"/>
  </r>
  <r>
    <n v="536412"/>
    <n v="21448"/>
    <x v="375"/>
    <n v="2"/>
    <d v="2010-12-01T11:49:00"/>
    <n v="1.65"/>
    <n v="17920"/>
    <x v="0"/>
    <n v="2"/>
    <x v="64"/>
  </r>
  <r>
    <n v="536412"/>
    <n v="22837"/>
    <x v="274"/>
    <n v="3"/>
    <d v="2010-12-01T11:49:00"/>
    <n v="4.6500000000000004"/>
    <n v="17920"/>
    <x v="0"/>
    <n v="3"/>
    <x v="183"/>
  </r>
  <r>
    <n v="536412"/>
    <n v="22749"/>
    <x v="12"/>
    <n v="2"/>
    <d v="2010-12-01T11:49:00"/>
    <n v="3.75"/>
    <n v="17920"/>
    <x v="0"/>
    <n v="2"/>
    <x v="49"/>
  </r>
  <r>
    <n v="536412"/>
    <n v="22940"/>
    <x v="370"/>
    <n v="1"/>
    <d v="2010-12-01T11:49:00"/>
    <n v="4.25"/>
    <n v="17920"/>
    <x v="0"/>
    <n v="1"/>
    <x v="143"/>
  </r>
  <r>
    <n v="536412"/>
    <n v="22749"/>
    <x v="12"/>
    <n v="1"/>
    <d v="2010-12-01T11:49:00"/>
    <n v="3.75"/>
    <n v="17920"/>
    <x v="0"/>
    <n v="1"/>
    <x v="58"/>
  </r>
  <r>
    <n v="536412"/>
    <n v="22077"/>
    <x v="374"/>
    <n v="2"/>
    <d v="2010-12-01T11:49:00"/>
    <n v="1.65"/>
    <n v="17920"/>
    <x v="0"/>
    <n v="2"/>
    <x v="64"/>
  </r>
  <r>
    <n v="536412"/>
    <n v="21738"/>
    <x v="373"/>
    <n v="2"/>
    <d v="2010-12-01T11:49:00"/>
    <n v="2.95"/>
    <n v="17920"/>
    <x v="0"/>
    <n v="2"/>
    <x v="61"/>
  </r>
  <r>
    <n v="536412"/>
    <s v="85049E"/>
    <x v="228"/>
    <n v="1"/>
    <d v="2010-12-01T11:49:00"/>
    <n v="1.25"/>
    <n v="17920"/>
    <x v="0"/>
    <n v="1"/>
    <x v="50"/>
  </r>
  <r>
    <n v="536412"/>
    <n v="22243"/>
    <x v="376"/>
    <n v="6"/>
    <d v="2010-12-01T11:49:00"/>
    <n v="1.65"/>
    <n v="17920"/>
    <x v="0"/>
    <n v="6"/>
    <x v="9"/>
  </r>
  <r>
    <n v="536412"/>
    <n v="22141"/>
    <x v="377"/>
    <n v="1"/>
    <d v="2010-12-01T11:49:00"/>
    <n v="2.1"/>
    <n v="17920"/>
    <x v="0"/>
    <n v="1"/>
    <x v="148"/>
  </r>
  <r>
    <n v="536412"/>
    <n v="22144"/>
    <x v="378"/>
    <n v="2"/>
    <d v="2010-12-01T11:49:00"/>
    <n v="2.1"/>
    <n v="17920"/>
    <x v="0"/>
    <n v="2"/>
    <x v="48"/>
  </r>
  <r>
    <n v="536412"/>
    <n v="22243"/>
    <x v="376"/>
    <n v="3"/>
    <d v="2010-12-01T11:49:00"/>
    <n v="1.65"/>
    <n v="17920"/>
    <x v="0"/>
    <n v="3"/>
    <x v="178"/>
  </r>
  <r>
    <n v="536412"/>
    <n v="22077"/>
    <x v="374"/>
    <n v="7"/>
    <d v="2010-12-01T11:49:00"/>
    <n v="1.65"/>
    <n v="17920"/>
    <x v="0"/>
    <n v="7"/>
    <x v="184"/>
  </r>
  <r>
    <n v="536412"/>
    <n v="21448"/>
    <x v="375"/>
    <n v="1"/>
    <d v="2010-12-01T11:49:00"/>
    <n v="1.65"/>
    <n v="17920"/>
    <x v="0"/>
    <n v="1"/>
    <x v="140"/>
  </r>
  <r>
    <n v="536412"/>
    <n v="22759"/>
    <x v="371"/>
    <n v="5"/>
    <d v="2010-12-01T11:49:00"/>
    <n v="1.65"/>
    <n v="17920"/>
    <x v="0"/>
    <n v="5"/>
    <x v="181"/>
  </r>
  <r>
    <n v="536412"/>
    <n v="22242"/>
    <x v="153"/>
    <n v="5"/>
    <d v="2010-12-01T11:49:00"/>
    <n v="1.65"/>
    <n v="17920"/>
    <x v="0"/>
    <n v="5"/>
    <x v="181"/>
  </r>
  <r>
    <n v="536412"/>
    <s v="85049E"/>
    <x v="228"/>
    <n v="12"/>
    <d v="2010-12-01T11:49:00"/>
    <n v="1.25"/>
    <n v="17920"/>
    <x v="0"/>
    <n v="12"/>
    <x v="73"/>
  </r>
  <r>
    <n v="536412"/>
    <n v="21731"/>
    <x v="39"/>
    <n v="5"/>
    <d v="2010-12-01T11:49:00"/>
    <n v="1.65"/>
    <n v="17920"/>
    <x v="0"/>
    <n v="5"/>
    <x v="181"/>
  </r>
  <r>
    <n v="536412"/>
    <n v="22243"/>
    <x v="376"/>
    <n v="1"/>
    <d v="2010-12-01T11:49:00"/>
    <n v="1.65"/>
    <n v="17920"/>
    <x v="0"/>
    <n v="1"/>
    <x v="140"/>
  </r>
  <r>
    <n v="536412"/>
    <n v="21739"/>
    <x v="379"/>
    <n v="2"/>
    <d v="2010-12-01T11:49:00"/>
    <n v="2.95"/>
    <n v="17920"/>
    <x v="0"/>
    <n v="2"/>
    <x v="61"/>
  </r>
  <r>
    <n v="536412"/>
    <n v="21738"/>
    <x v="373"/>
    <n v="5"/>
    <d v="2010-12-01T11:49:00"/>
    <n v="2.95"/>
    <n v="17920"/>
    <x v="0"/>
    <n v="5"/>
    <x v="185"/>
  </r>
  <r>
    <n v="536412"/>
    <n v="22271"/>
    <x v="380"/>
    <n v="2"/>
    <d v="2010-12-01T11:49:00"/>
    <n v="2.95"/>
    <n v="17920"/>
    <x v="0"/>
    <n v="2"/>
    <x v="61"/>
  </r>
  <r>
    <n v="536412"/>
    <n v="22273"/>
    <x v="369"/>
    <n v="1"/>
    <d v="2010-12-01T11:49:00"/>
    <n v="2.95"/>
    <n v="17920"/>
    <x v="0"/>
    <n v="1"/>
    <x v="55"/>
  </r>
  <r>
    <n v="536412"/>
    <n v="22274"/>
    <x v="381"/>
    <n v="2"/>
    <d v="2010-12-01T11:49:00"/>
    <n v="2.95"/>
    <n v="17920"/>
    <x v="0"/>
    <n v="2"/>
    <x v="61"/>
  </r>
  <r>
    <n v="536412"/>
    <n v="22749"/>
    <x v="12"/>
    <n v="1"/>
    <d v="2010-12-01T11:49:00"/>
    <n v="3.75"/>
    <n v="17920"/>
    <x v="0"/>
    <n v="1"/>
    <x v="58"/>
  </r>
  <r>
    <n v="536412"/>
    <n v="22751"/>
    <x v="382"/>
    <n v="2"/>
    <d v="2010-12-01T11:49:00"/>
    <n v="3.75"/>
    <n v="17920"/>
    <x v="0"/>
    <n v="2"/>
    <x v="49"/>
  </r>
  <r>
    <n v="536412"/>
    <n v="21034"/>
    <x v="383"/>
    <n v="1"/>
    <d v="2010-12-01T11:49:00"/>
    <n v="0.95"/>
    <n v="17920"/>
    <x v="0"/>
    <n v="1"/>
    <x v="186"/>
  </r>
  <r>
    <n v="536412"/>
    <n v="22273"/>
    <x v="369"/>
    <n v="2"/>
    <d v="2010-12-01T11:49:00"/>
    <n v="2.95"/>
    <n v="17920"/>
    <x v="0"/>
    <n v="2"/>
    <x v="61"/>
  </r>
  <r>
    <n v="536412"/>
    <n v="22568"/>
    <x v="331"/>
    <n v="3"/>
    <d v="2010-12-01T11:49:00"/>
    <n v="3.75"/>
    <n v="17920"/>
    <x v="0"/>
    <n v="3"/>
    <x v="187"/>
  </r>
  <r>
    <n v="536412"/>
    <n v="22141"/>
    <x v="377"/>
    <n v="1"/>
    <d v="2010-12-01T11:49:00"/>
    <n v="2.1"/>
    <n v="17920"/>
    <x v="0"/>
    <n v="1"/>
    <x v="148"/>
  </r>
  <r>
    <n v="536412"/>
    <n v="22144"/>
    <x v="378"/>
    <n v="1"/>
    <d v="2010-12-01T11:49:00"/>
    <n v="2.1"/>
    <n v="17920"/>
    <x v="0"/>
    <n v="1"/>
    <x v="148"/>
  </r>
  <r>
    <n v="536412"/>
    <n v="22570"/>
    <x v="384"/>
    <n v="3"/>
    <d v="2010-12-01T11:49:00"/>
    <n v="3.75"/>
    <n v="17920"/>
    <x v="0"/>
    <n v="3"/>
    <x v="187"/>
  </r>
  <r>
    <n v="536412"/>
    <n v="22569"/>
    <x v="385"/>
    <n v="2"/>
    <d v="2010-12-01T11:49:00"/>
    <n v="3.75"/>
    <n v="17920"/>
    <x v="0"/>
    <n v="2"/>
    <x v="49"/>
  </r>
  <r>
    <n v="536412"/>
    <n v="21448"/>
    <x v="375"/>
    <n v="1"/>
    <d v="2010-12-01T11:49:00"/>
    <n v="1.65"/>
    <n v="17920"/>
    <x v="0"/>
    <n v="1"/>
    <x v="140"/>
  </r>
  <r>
    <n v="536412"/>
    <n v="22086"/>
    <x v="46"/>
    <n v="1"/>
    <d v="2010-12-01T11:49:00"/>
    <n v="2.95"/>
    <n v="17920"/>
    <x v="0"/>
    <n v="1"/>
    <x v="55"/>
  </r>
  <r>
    <n v="536412"/>
    <n v="22569"/>
    <x v="385"/>
    <n v="2"/>
    <d v="2010-12-01T11:49:00"/>
    <n v="3.75"/>
    <n v="17920"/>
    <x v="0"/>
    <n v="2"/>
    <x v="49"/>
  </r>
  <r>
    <n v="536412"/>
    <n v="21448"/>
    <x v="375"/>
    <n v="2"/>
    <d v="2010-12-01T11:49:00"/>
    <n v="1.65"/>
    <n v="17920"/>
    <x v="0"/>
    <n v="2"/>
    <x v="64"/>
  </r>
  <r>
    <n v="536412"/>
    <n v="22968"/>
    <x v="166"/>
    <n v="4"/>
    <d v="2010-12-01T11:49:00"/>
    <n v="9.9499999999999993"/>
    <n v="17920"/>
    <x v="0"/>
    <n v="4"/>
    <x v="188"/>
  </r>
  <r>
    <n v="536412"/>
    <n v="22902"/>
    <x v="386"/>
    <n v="7"/>
    <d v="2010-12-01T11:49:00"/>
    <n v="2.1"/>
    <n v="17920"/>
    <x v="0"/>
    <n v="7"/>
    <x v="189"/>
  </r>
  <r>
    <n v="536412"/>
    <n v="21448"/>
    <x v="375"/>
    <n v="2"/>
    <d v="2010-12-01T11:49:00"/>
    <n v="1.65"/>
    <n v="17920"/>
    <x v="0"/>
    <n v="2"/>
    <x v="64"/>
  </r>
  <r>
    <n v="536412"/>
    <n v="22902"/>
    <x v="386"/>
    <n v="7"/>
    <d v="2010-12-01T11:49:00"/>
    <n v="2.1"/>
    <n v="17920"/>
    <x v="0"/>
    <n v="7"/>
    <x v="189"/>
  </r>
  <r>
    <n v="536412"/>
    <n v="21710"/>
    <x v="387"/>
    <n v="1"/>
    <d v="2010-12-01T11:49:00"/>
    <n v="4.95"/>
    <n v="17920"/>
    <x v="0"/>
    <n v="1"/>
    <x v="60"/>
  </r>
  <r>
    <n v="536412"/>
    <n v="21708"/>
    <x v="388"/>
    <n v="1"/>
    <d v="2010-12-01T11:49:00"/>
    <n v="4.95"/>
    <n v="17920"/>
    <x v="0"/>
    <n v="1"/>
    <x v="60"/>
  </r>
  <r>
    <n v="536412"/>
    <n v="21711"/>
    <x v="389"/>
    <n v="1"/>
    <d v="2010-12-01T11:49:00"/>
    <n v="4.95"/>
    <n v="17920"/>
    <x v="0"/>
    <n v="1"/>
    <x v="60"/>
  </r>
  <r>
    <n v="536412"/>
    <n v="22179"/>
    <x v="390"/>
    <n v="2"/>
    <d v="2010-12-01T11:49:00"/>
    <n v="6.75"/>
    <n v="17920"/>
    <x v="0"/>
    <n v="2"/>
    <x v="190"/>
  </r>
  <r>
    <n v="536412"/>
    <n v="22197"/>
    <x v="170"/>
    <n v="5"/>
    <d v="2010-12-01T11:49:00"/>
    <n v="0.85"/>
    <n v="17920"/>
    <x v="0"/>
    <n v="5"/>
    <x v="143"/>
  </r>
  <r>
    <n v="536412"/>
    <n v="22900"/>
    <x v="40"/>
    <n v="2"/>
    <d v="2010-12-01T11:49:00"/>
    <n v="2.95"/>
    <n v="17920"/>
    <x v="0"/>
    <n v="2"/>
    <x v="61"/>
  </r>
  <r>
    <n v="536412"/>
    <n v="21706"/>
    <x v="391"/>
    <n v="1"/>
    <d v="2010-12-01T11:49:00"/>
    <n v="4.95"/>
    <n v="17920"/>
    <x v="0"/>
    <n v="1"/>
    <x v="60"/>
  </r>
  <r>
    <n v="536412"/>
    <n v="22468"/>
    <x v="212"/>
    <n v="2"/>
    <d v="2010-12-01T11:49:00"/>
    <n v="6.75"/>
    <n v="17920"/>
    <x v="0"/>
    <n v="2"/>
    <x v="190"/>
  </r>
  <r>
    <n v="536412"/>
    <n v="20725"/>
    <x v="66"/>
    <n v="1"/>
    <d v="2010-12-01T11:49:00"/>
    <n v="1.65"/>
    <n v="17920"/>
    <x v="0"/>
    <n v="1"/>
    <x v="140"/>
  </r>
  <r>
    <n v="536412"/>
    <s v="85184C"/>
    <x v="392"/>
    <n v="1"/>
    <d v="2010-12-01T11:49:00"/>
    <n v="2.95"/>
    <n v="17920"/>
    <x v="0"/>
    <n v="1"/>
    <x v="55"/>
  </r>
  <r>
    <n v="536412"/>
    <n v="21708"/>
    <x v="388"/>
    <n v="1"/>
    <d v="2010-12-01T11:49:00"/>
    <n v="4.95"/>
    <n v="17920"/>
    <x v="0"/>
    <n v="1"/>
    <x v="60"/>
  </r>
  <r>
    <n v="536412"/>
    <n v="22900"/>
    <x v="40"/>
    <n v="2"/>
    <d v="2010-12-01T11:49:00"/>
    <n v="2.95"/>
    <n v="17920"/>
    <x v="0"/>
    <n v="2"/>
    <x v="61"/>
  </r>
  <r>
    <n v="536412"/>
    <n v="21706"/>
    <x v="391"/>
    <n v="1"/>
    <d v="2010-12-01T11:49:00"/>
    <n v="4.95"/>
    <n v="17920"/>
    <x v="0"/>
    <n v="1"/>
    <x v="60"/>
  </r>
  <r>
    <n v="536412"/>
    <n v="22988"/>
    <x v="393"/>
    <n v="6"/>
    <d v="2010-12-01T11:49:00"/>
    <n v="1.25"/>
    <n v="17920"/>
    <x v="0"/>
    <n v="6"/>
    <x v="49"/>
  </r>
  <r>
    <n v="536412"/>
    <s v="85184C"/>
    <x v="392"/>
    <n v="1"/>
    <d v="2010-12-01T11:49:00"/>
    <n v="2.95"/>
    <n v="17920"/>
    <x v="0"/>
    <n v="1"/>
    <x v="55"/>
  </r>
  <r>
    <n v="536412"/>
    <n v="20750"/>
    <x v="394"/>
    <n v="1"/>
    <d v="2010-12-01T11:49:00"/>
    <n v="7.95"/>
    <n v="17920"/>
    <x v="0"/>
    <n v="1"/>
    <x v="145"/>
  </r>
  <r>
    <n v="536414"/>
    <n v="22139"/>
    <x v="395"/>
    <n v="56"/>
    <d v="2010-12-01T11:52:00"/>
    <n v="0"/>
    <m/>
    <x v="0"/>
    <n v="56"/>
    <x v="191"/>
  </r>
  <r>
    <n v="536415"/>
    <n v="22952"/>
    <x v="396"/>
    <n v="10"/>
    <d v="2010-12-01T11:57:00"/>
    <n v="0.55000000000000004"/>
    <n v="12838"/>
    <x v="0"/>
    <n v="10"/>
    <x v="192"/>
  </r>
  <r>
    <n v="536415"/>
    <n v="22910"/>
    <x v="168"/>
    <n v="5"/>
    <d v="2010-12-01T11:57:00"/>
    <n v="2.95"/>
    <n v="12838"/>
    <x v="0"/>
    <n v="5"/>
    <x v="185"/>
  </r>
  <r>
    <n v="536415"/>
    <n v="22739"/>
    <x v="397"/>
    <n v="3"/>
    <d v="2010-12-01T11:57:00"/>
    <n v="1.65"/>
    <n v="12838"/>
    <x v="0"/>
    <n v="3"/>
    <x v="178"/>
  </r>
  <r>
    <n v="536415"/>
    <n v="22738"/>
    <x v="398"/>
    <n v="3"/>
    <d v="2010-12-01T11:57:00"/>
    <n v="1.65"/>
    <n v="12838"/>
    <x v="0"/>
    <n v="3"/>
    <x v="178"/>
  </r>
  <r>
    <n v="536415"/>
    <n v="22736"/>
    <x v="324"/>
    <n v="3"/>
    <d v="2010-12-01T11:57:00"/>
    <n v="1.65"/>
    <n v="12838"/>
    <x v="0"/>
    <n v="3"/>
    <x v="178"/>
  </r>
  <r>
    <n v="536415"/>
    <n v="22909"/>
    <x v="399"/>
    <n v="5"/>
    <d v="2010-12-01T11:57:00"/>
    <n v="0.85"/>
    <n v="12838"/>
    <x v="0"/>
    <n v="5"/>
    <x v="143"/>
  </r>
  <r>
    <n v="536415"/>
    <s v="35591T"/>
    <x v="400"/>
    <n v="2"/>
    <d v="2010-12-01T11:57:00"/>
    <n v="1.25"/>
    <n v="12838"/>
    <x v="0"/>
    <n v="2"/>
    <x v="138"/>
  </r>
  <r>
    <n v="536415"/>
    <n v="22186"/>
    <x v="401"/>
    <n v="5"/>
    <d v="2010-12-01T11:57:00"/>
    <n v="2.95"/>
    <n v="12838"/>
    <x v="0"/>
    <n v="5"/>
    <x v="185"/>
  </r>
  <r>
    <n v="536415"/>
    <n v="22695"/>
    <x v="402"/>
    <n v="3"/>
    <d v="2010-12-01T11:57:00"/>
    <n v="1.45"/>
    <n v="12838"/>
    <x v="0"/>
    <n v="3"/>
    <x v="174"/>
  </r>
  <r>
    <n v="536415"/>
    <n v="22470"/>
    <x v="128"/>
    <n v="1"/>
    <d v="2010-12-01T11:57:00"/>
    <n v="2.95"/>
    <n v="12838"/>
    <x v="0"/>
    <n v="1"/>
    <x v="55"/>
  </r>
  <r>
    <n v="536415"/>
    <n v="22580"/>
    <x v="403"/>
    <n v="1"/>
    <d v="2010-12-01T11:57:00"/>
    <n v="5.95"/>
    <n v="12838"/>
    <x v="0"/>
    <n v="1"/>
    <x v="142"/>
  </r>
  <r>
    <n v="536415"/>
    <n v="22469"/>
    <x v="127"/>
    <n v="5"/>
    <d v="2010-12-01T11:57:00"/>
    <n v="1.65"/>
    <n v="12838"/>
    <x v="0"/>
    <n v="5"/>
    <x v="181"/>
  </r>
  <r>
    <n v="536415"/>
    <n v="22147"/>
    <x v="404"/>
    <n v="4"/>
    <d v="2010-12-01T11:57:00"/>
    <n v="1.45"/>
    <n v="12838"/>
    <x v="0"/>
    <n v="4"/>
    <x v="63"/>
  </r>
  <r>
    <n v="536415"/>
    <n v="22130"/>
    <x v="405"/>
    <n v="6"/>
    <d v="2010-12-01T11:57:00"/>
    <n v="0.85"/>
    <n v="12838"/>
    <x v="0"/>
    <n v="6"/>
    <x v="57"/>
  </r>
  <r>
    <n v="536415"/>
    <n v="21791"/>
    <x v="32"/>
    <n v="3"/>
    <d v="2010-12-01T11:57:00"/>
    <n v="1.25"/>
    <n v="12838"/>
    <x v="0"/>
    <n v="3"/>
    <x v="58"/>
  </r>
  <r>
    <n v="536415"/>
    <n v="22694"/>
    <x v="406"/>
    <n v="5"/>
    <d v="2010-12-01T11:57:00"/>
    <n v="2.1"/>
    <n v="12838"/>
    <x v="0"/>
    <n v="5"/>
    <x v="163"/>
  </r>
  <r>
    <n v="536415"/>
    <n v="21790"/>
    <x v="407"/>
    <n v="3"/>
    <d v="2010-12-01T11:57:00"/>
    <n v="0.85"/>
    <n v="12838"/>
    <x v="0"/>
    <n v="3"/>
    <x v="52"/>
  </r>
  <r>
    <n v="536415"/>
    <n v="22149"/>
    <x v="408"/>
    <n v="4"/>
    <d v="2010-12-01T11:57:00"/>
    <n v="2.1"/>
    <n v="12838"/>
    <x v="0"/>
    <n v="4"/>
    <x v="193"/>
  </r>
  <r>
    <n v="536415"/>
    <n v="22900"/>
    <x v="40"/>
    <n v="3"/>
    <d v="2010-12-01T11:57:00"/>
    <n v="2.95"/>
    <n v="12838"/>
    <x v="0"/>
    <n v="3"/>
    <x v="151"/>
  </r>
  <r>
    <n v="536415"/>
    <n v="22961"/>
    <x v="78"/>
    <n v="3"/>
    <d v="2010-12-01T11:57:00"/>
    <n v="1.45"/>
    <n v="12838"/>
    <x v="0"/>
    <n v="3"/>
    <x v="174"/>
  </r>
  <r>
    <n v="536415"/>
    <n v="22321"/>
    <x v="409"/>
    <n v="12"/>
    <d v="2010-12-01T11:57:00"/>
    <n v="0.85"/>
    <n v="12838"/>
    <x v="0"/>
    <n v="12"/>
    <x v="16"/>
  </r>
  <r>
    <n v="536415"/>
    <n v="22594"/>
    <x v="410"/>
    <n v="5"/>
    <d v="2010-12-01T11:57:00"/>
    <n v="0.85"/>
    <n v="12838"/>
    <x v="0"/>
    <n v="5"/>
    <x v="143"/>
  </r>
  <r>
    <n v="536415"/>
    <n v="22593"/>
    <x v="411"/>
    <n v="4"/>
    <d v="2010-12-01T11:57:00"/>
    <n v="0.85"/>
    <n v="12838"/>
    <x v="0"/>
    <n v="4"/>
    <x v="194"/>
  </r>
  <r>
    <n v="536415"/>
    <n v="22595"/>
    <x v="412"/>
    <n v="6"/>
    <d v="2010-12-01T11:57:00"/>
    <n v="0.85"/>
    <n v="12838"/>
    <x v="0"/>
    <n v="6"/>
    <x v="57"/>
  </r>
  <r>
    <n v="536415"/>
    <n v="21986"/>
    <x v="413"/>
    <n v="12"/>
    <d v="2010-12-01T11:57:00"/>
    <n v="0.28999999999999998"/>
    <n v="12838"/>
    <x v="0"/>
    <n v="12"/>
    <x v="177"/>
  </r>
  <r>
    <n v="536415"/>
    <n v="22750"/>
    <x v="414"/>
    <n v="2"/>
    <d v="2010-12-01T11:57:00"/>
    <n v="3.75"/>
    <n v="12838"/>
    <x v="0"/>
    <n v="2"/>
    <x v="49"/>
  </r>
  <r>
    <n v="536415"/>
    <n v="22616"/>
    <x v="415"/>
    <n v="12"/>
    <d v="2010-12-01T11:57:00"/>
    <n v="0.28999999999999998"/>
    <n v="12838"/>
    <x v="0"/>
    <n v="12"/>
    <x v="177"/>
  </r>
  <r>
    <n v="536415"/>
    <n v="22775"/>
    <x v="416"/>
    <n v="1"/>
    <d v="2010-12-01T11:57:00"/>
    <n v="1.25"/>
    <n v="12838"/>
    <x v="0"/>
    <n v="1"/>
    <x v="50"/>
  </r>
  <r>
    <n v="536415"/>
    <n v="22899"/>
    <x v="417"/>
    <n v="2"/>
    <d v="2010-12-01T11:57:00"/>
    <n v="2.1"/>
    <n v="12838"/>
    <x v="0"/>
    <n v="2"/>
    <x v="48"/>
  </r>
  <r>
    <n v="536415"/>
    <n v="22367"/>
    <x v="418"/>
    <n v="3"/>
    <d v="2010-12-01T11:57:00"/>
    <n v="1.95"/>
    <n v="12838"/>
    <x v="0"/>
    <n v="3"/>
    <x v="195"/>
  </r>
  <r>
    <n v="536415"/>
    <n v="22942"/>
    <x v="419"/>
    <n v="3"/>
    <d v="2010-12-01T11:57:00"/>
    <n v="8.5"/>
    <n v="12838"/>
    <x v="0"/>
    <n v="3"/>
    <x v="4"/>
  </r>
  <r>
    <n v="536415"/>
    <n v="22941"/>
    <x v="154"/>
    <n v="3"/>
    <d v="2010-12-01T11:57:00"/>
    <n v="8.5"/>
    <n v="12838"/>
    <x v="0"/>
    <n v="3"/>
    <x v="4"/>
  </r>
  <r>
    <n v="536415"/>
    <n v="22086"/>
    <x v="46"/>
    <n v="6"/>
    <d v="2010-12-01T11:57:00"/>
    <n v="2.95"/>
    <n v="12838"/>
    <x v="0"/>
    <n v="6"/>
    <x v="42"/>
  </r>
  <r>
    <n v="536415"/>
    <n v="22940"/>
    <x v="370"/>
    <n v="2"/>
    <d v="2010-12-01T11:57:00"/>
    <n v="4.25"/>
    <n v="12838"/>
    <x v="0"/>
    <n v="2"/>
    <x v="37"/>
  </r>
  <r>
    <n v="536415"/>
    <n v="21212"/>
    <x v="69"/>
    <n v="2"/>
    <d v="2010-12-01T11:57:00"/>
    <n v="0.55000000000000004"/>
    <n v="12838"/>
    <x v="0"/>
    <n v="2"/>
    <x v="147"/>
  </r>
  <r>
    <n v="536415"/>
    <n v="21976"/>
    <x v="420"/>
    <n v="2"/>
    <d v="2010-12-01T11:57:00"/>
    <n v="0.55000000000000004"/>
    <n v="12838"/>
    <x v="0"/>
    <n v="2"/>
    <x v="147"/>
  </r>
  <r>
    <n v="536415"/>
    <n v="22951"/>
    <x v="421"/>
    <n v="2"/>
    <d v="2010-12-01T11:57:00"/>
    <n v="0.55000000000000004"/>
    <n v="12838"/>
    <x v="0"/>
    <n v="2"/>
    <x v="147"/>
  </r>
  <r>
    <n v="536415"/>
    <n v="21977"/>
    <x v="71"/>
    <n v="3"/>
    <d v="2010-12-01T11:57:00"/>
    <n v="0.55000000000000004"/>
    <n v="12838"/>
    <x v="0"/>
    <n v="3"/>
    <x v="149"/>
  </r>
  <r>
    <n v="536415"/>
    <n v="22834"/>
    <x v="422"/>
    <n v="3"/>
    <d v="2010-12-01T11:57:00"/>
    <n v="2.1"/>
    <n v="12838"/>
    <x v="0"/>
    <n v="3"/>
    <x v="196"/>
  </r>
  <r>
    <n v="536415"/>
    <n v="22867"/>
    <x v="208"/>
    <n v="3"/>
    <d v="2010-12-01T11:57:00"/>
    <n v="2.1"/>
    <n v="12838"/>
    <x v="0"/>
    <n v="3"/>
    <x v="196"/>
  </r>
  <r>
    <n v="536415"/>
    <n v="22865"/>
    <x v="198"/>
    <n v="3"/>
    <d v="2010-12-01T11:57:00"/>
    <n v="2.1"/>
    <n v="12838"/>
    <x v="0"/>
    <n v="3"/>
    <x v="196"/>
  </r>
  <r>
    <n v="536415"/>
    <n v="22632"/>
    <x v="199"/>
    <n v="3"/>
    <d v="2010-12-01T11:57:00"/>
    <n v="2.1"/>
    <n v="12838"/>
    <x v="0"/>
    <n v="3"/>
    <x v="196"/>
  </r>
  <r>
    <n v="536415"/>
    <n v="21916"/>
    <x v="423"/>
    <n v="2"/>
    <d v="2010-12-01T11:57:00"/>
    <n v="0.42"/>
    <n v="12838"/>
    <x v="0"/>
    <n v="2"/>
    <x v="197"/>
  </r>
  <r>
    <n v="536415"/>
    <n v="22587"/>
    <x v="424"/>
    <n v="4"/>
    <d v="2010-12-01T11:57:00"/>
    <n v="0.85"/>
    <n v="12838"/>
    <x v="0"/>
    <n v="4"/>
    <x v="194"/>
  </r>
  <r>
    <n v="536415"/>
    <n v="22566"/>
    <x v="425"/>
    <n v="3"/>
    <d v="2010-12-01T11:57:00"/>
    <n v="0.85"/>
    <n v="12838"/>
    <x v="0"/>
    <n v="3"/>
    <x v="52"/>
  </r>
  <r>
    <n v="536415"/>
    <n v="22565"/>
    <x v="426"/>
    <n v="3"/>
    <d v="2010-12-01T11:57:00"/>
    <n v="0.85"/>
    <n v="12838"/>
    <x v="0"/>
    <n v="3"/>
    <x v="52"/>
  </r>
  <r>
    <n v="536415"/>
    <n v="22472"/>
    <x v="427"/>
    <n v="2"/>
    <d v="2010-12-01T11:57:00"/>
    <n v="4.95"/>
    <n v="12838"/>
    <x v="0"/>
    <n v="2"/>
    <x v="30"/>
  </r>
  <r>
    <n v="536415"/>
    <n v="22557"/>
    <x v="184"/>
    <n v="3"/>
    <d v="2010-12-01T11:57:00"/>
    <n v="1.65"/>
    <n v="12838"/>
    <x v="0"/>
    <n v="3"/>
    <x v="178"/>
  </r>
  <r>
    <n v="536415"/>
    <n v="22551"/>
    <x v="428"/>
    <n v="3"/>
    <d v="2010-12-01T11:57:00"/>
    <n v="1.65"/>
    <n v="12838"/>
    <x v="0"/>
    <n v="3"/>
    <x v="178"/>
  </r>
  <r>
    <n v="536415"/>
    <n v="22554"/>
    <x v="429"/>
    <n v="3"/>
    <d v="2010-12-01T11:57:00"/>
    <n v="1.65"/>
    <n v="12838"/>
    <x v="0"/>
    <n v="3"/>
    <x v="178"/>
  </r>
  <r>
    <n v="536415"/>
    <n v="22534"/>
    <x v="430"/>
    <n v="3"/>
    <d v="2010-12-01T11:57:00"/>
    <n v="0.42"/>
    <n v="12838"/>
    <x v="0"/>
    <n v="3"/>
    <x v="198"/>
  </r>
  <r>
    <n v="536415"/>
    <n v="22531"/>
    <x v="342"/>
    <n v="3"/>
    <d v="2010-12-01T11:57:00"/>
    <n v="0.42"/>
    <n v="12838"/>
    <x v="0"/>
    <n v="3"/>
    <x v="198"/>
  </r>
  <r>
    <n v="536415"/>
    <n v="22529"/>
    <x v="431"/>
    <n v="3"/>
    <d v="2010-12-01T11:57:00"/>
    <n v="0.42"/>
    <n v="12838"/>
    <x v="0"/>
    <n v="3"/>
    <x v="198"/>
  </r>
  <r>
    <n v="536415"/>
    <n v="22530"/>
    <x v="432"/>
    <n v="3"/>
    <d v="2010-12-01T11:57:00"/>
    <n v="0.42"/>
    <n v="12838"/>
    <x v="0"/>
    <n v="3"/>
    <x v="198"/>
  </r>
  <r>
    <n v="536415"/>
    <s v="84032B"/>
    <x v="433"/>
    <n v="3"/>
    <d v="2010-12-01T11:57:00"/>
    <n v="2.95"/>
    <n v="12838"/>
    <x v="0"/>
    <n v="3"/>
    <x v="151"/>
  </r>
  <r>
    <n v="536415"/>
    <n v="22837"/>
    <x v="274"/>
    <n v="3"/>
    <d v="2010-12-01T11:57:00"/>
    <n v="4.6500000000000004"/>
    <n v="12838"/>
    <x v="0"/>
    <n v="3"/>
    <x v="183"/>
  </r>
  <r>
    <n v="536415"/>
    <s v="85049H"/>
    <x v="434"/>
    <n v="2"/>
    <d v="2010-12-01T11:57:00"/>
    <n v="1.25"/>
    <n v="12838"/>
    <x v="0"/>
    <n v="2"/>
    <x v="138"/>
  </r>
  <r>
    <n v="536415"/>
    <n v="22749"/>
    <x v="12"/>
    <n v="2"/>
    <d v="2010-12-01T11:57:00"/>
    <n v="3.75"/>
    <n v="12838"/>
    <x v="0"/>
    <n v="2"/>
    <x v="49"/>
  </r>
  <r>
    <n v="536415"/>
    <n v="22807"/>
    <x v="435"/>
    <n v="12"/>
    <d v="2010-12-01T11:57:00"/>
    <n v="2.95"/>
    <n v="12838"/>
    <x v="0"/>
    <n v="12"/>
    <x v="80"/>
  </r>
  <r>
    <n v="536416"/>
    <n v="21494"/>
    <x v="436"/>
    <n v="12"/>
    <d v="2010-12-01T11:58:00"/>
    <n v="1.25"/>
    <n v="13255"/>
    <x v="0"/>
    <n v="12"/>
    <x v="73"/>
  </r>
  <r>
    <n v="536416"/>
    <n v="21915"/>
    <x v="301"/>
    <n v="72"/>
    <d v="2010-12-01T11:58:00"/>
    <n v="1.25"/>
    <n v="13255"/>
    <x v="0"/>
    <n v="72"/>
    <x v="14"/>
  </r>
  <r>
    <n v="536416"/>
    <n v="22938"/>
    <x v="437"/>
    <n v="12"/>
    <d v="2010-12-01T11:58:00"/>
    <n v="1.95"/>
    <n v="13255"/>
    <x v="0"/>
    <n v="12"/>
    <x v="160"/>
  </r>
  <r>
    <n v="536416"/>
    <n v="22768"/>
    <x v="235"/>
    <n v="4"/>
    <d v="2010-12-01T11:58:00"/>
    <n v="9.9499999999999993"/>
    <n v="13255"/>
    <x v="0"/>
    <n v="4"/>
    <x v="188"/>
  </r>
  <r>
    <n v="536416"/>
    <n v="22767"/>
    <x v="234"/>
    <n v="4"/>
    <d v="2010-12-01T11:58:00"/>
    <n v="9.9499999999999993"/>
    <n v="13255"/>
    <x v="0"/>
    <n v="4"/>
    <x v="188"/>
  </r>
  <r>
    <n v="536416"/>
    <s v="82494L"/>
    <x v="55"/>
    <n v="6"/>
    <d v="2010-12-01T11:58:00"/>
    <n v="2.95"/>
    <n v="13255"/>
    <x v="0"/>
    <n v="6"/>
    <x v="42"/>
  </r>
  <r>
    <n v="536420"/>
    <n v="21889"/>
    <x v="189"/>
    <n v="12"/>
    <d v="2010-12-01T12:03:00"/>
    <n v="1.25"/>
    <n v="16583"/>
    <x v="0"/>
    <n v="12"/>
    <x v="73"/>
  </r>
  <r>
    <n v="536420"/>
    <n v="21892"/>
    <x v="438"/>
    <n v="12"/>
    <d v="2010-12-01T12:03:00"/>
    <n v="1.25"/>
    <n v="16583"/>
    <x v="0"/>
    <n v="12"/>
    <x v="73"/>
  </r>
  <r>
    <n v="536420"/>
    <n v="21891"/>
    <x v="188"/>
    <n v="12"/>
    <d v="2010-12-01T12:03:00"/>
    <n v="1.25"/>
    <n v="16583"/>
    <x v="0"/>
    <n v="12"/>
    <x v="73"/>
  </r>
  <r>
    <n v="536420"/>
    <n v="21890"/>
    <x v="439"/>
    <n v="6"/>
    <d v="2010-12-01T12:03:00"/>
    <n v="2.95"/>
    <n v="16583"/>
    <x v="0"/>
    <n v="6"/>
    <x v="42"/>
  </r>
  <r>
    <n v="536420"/>
    <n v="21718"/>
    <x v="440"/>
    <n v="12"/>
    <d v="2010-12-01T12:03:00"/>
    <n v="1.25"/>
    <n v="16583"/>
    <x v="0"/>
    <n v="12"/>
    <x v="73"/>
  </r>
  <r>
    <n v="536420"/>
    <n v="21716"/>
    <x v="441"/>
    <n v="8"/>
    <d v="2010-12-01T12:03:00"/>
    <n v="2.5499999999999998"/>
    <n v="16583"/>
    <x v="0"/>
    <n v="8"/>
    <x v="103"/>
  </r>
  <r>
    <n v="536420"/>
    <n v="21715"/>
    <x v="442"/>
    <n v="8"/>
    <d v="2010-12-01T12:03:00"/>
    <n v="2.5499999999999998"/>
    <n v="16583"/>
    <x v="0"/>
    <n v="8"/>
    <x v="103"/>
  </r>
  <r>
    <n v="536420"/>
    <n v="22113"/>
    <x v="443"/>
    <n v="4"/>
    <d v="2010-12-01T12:03:00"/>
    <n v="3.75"/>
    <n v="16583"/>
    <x v="0"/>
    <n v="4"/>
    <x v="73"/>
  </r>
  <r>
    <n v="536420"/>
    <n v="22111"/>
    <x v="220"/>
    <n v="3"/>
    <d v="2010-12-01T12:03:00"/>
    <n v="4.95"/>
    <n v="16583"/>
    <x v="0"/>
    <n v="3"/>
    <x v="10"/>
  </r>
  <r>
    <n v="536420"/>
    <n v="22110"/>
    <x v="221"/>
    <n v="6"/>
    <d v="2010-12-01T12:03:00"/>
    <n v="2.5499999999999998"/>
    <n v="16583"/>
    <x v="0"/>
    <n v="6"/>
    <x v="0"/>
  </r>
  <r>
    <n v="536420"/>
    <n v="22358"/>
    <x v="444"/>
    <n v="6"/>
    <d v="2010-12-01T12:03:00"/>
    <n v="2.95"/>
    <n v="16583"/>
    <x v="0"/>
    <n v="6"/>
    <x v="42"/>
  </r>
  <r>
    <n v="536420"/>
    <n v="22357"/>
    <x v="445"/>
    <n v="4"/>
    <d v="2010-12-01T12:03:00"/>
    <n v="4.25"/>
    <n v="16583"/>
    <x v="0"/>
    <n v="4"/>
    <x v="22"/>
  </r>
  <r>
    <n v="536420"/>
    <n v="22115"/>
    <x v="446"/>
    <n v="6"/>
    <d v="2010-12-01T12:03:00"/>
    <n v="2.95"/>
    <n v="16583"/>
    <x v="0"/>
    <n v="6"/>
    <x v="42"/>
  </r>
  <r>
    <n v="536420"/>
    <n v="22969"/>
    <x v="150"/>
    <n v="12"/>
    <d v="2010-12-01T12:03:00"/>
    <n v="1.45"/>
    <n v="16583"/>
    <x v="0"/>
    <n v="12"/>
    <x v="87"/>
  </r>
  <r>
    <n v="536423"/>
    <n v="22619"/>
    <x v="187"/>
    <n v="4"/>
    <d v="2010-12-01T12:08:00"/>
    <n v="3.75"/>
    <n v="18085"/>
    <x v="0"/>
    <n v="4"/>
    <x v="73"/>
  </r>
  <r>
    <n v="536423"/>
    <n v="21481"/>
    <x v="447"/>
    <n v="6"/>
    <d v="2010-12-01T12:08:00"/>
    <n v="2.95"/>
    <n v="18085"/>
    <x v="0"/>
    <n v="6"/>
    <x v="42"/>
  </r>
  <r>
    <n v="536423"/>
    <n v="22632"/>
    <x v="199"/>
    <n v="12"/>
    <d v="2010-12-01T12:08:00"/>
    <n v="2.1"/>
    <n v="18085"/>
    <x v="0"/>
    <n v="12"/>
    <x v="124"/>
  </r>
  <r>
    <n v="536423"/>
    <n v="22837"/>
    <x v="274"/>
    <n v="8"/>
    <d v="2010-12-01T12:08:00"/>
    <n v="4.6500000000000004"/>
    <n v="18085"/>
    <x v="0"/>
    <n v="8"/>
    <x v="136"/>
  </r>
  <r>
    <n v="536423"/>
    <n v="21479"/>
    <x v="219"/>
    <n v="8"/>
    <d v="2010-12-01T12:08:00"/>
    <n v="3.75"/>
    <n v="18085"/>
    <x v="0"/>
    <n v="8"/>
    <x v="8"/>
  </r>
  <r>
    <n v="536423"/>
    <n v="21485"/>
    <x v="176"/>
    <n v="8"/>
    <d v="2010-12-01T12:08:00"/>
    <n v="4.95"/>
    <n v="18085"/>
    <x v="0"/>
    <n v="8"/>
    <x v="99"/>
  </r>
  <r>
    <n v="536423"/>
    <s v="84029E"/>
    <x v="4"/>
    <n v="8"/>
    <d v="2010-12-01T12:08:00"/>
    <n v="3.75"/>
    <n v="18085"/>
    <x v="0"/>
    <n v="8"/>
    <x v="8"/>
  </r>
  <r>
    <n v="536423"/>
    <n v="22111"/>
    <x v="220"/>
    <n v="16"/>
    <d v="2010-12-01T12:08:00"/>
    <n v="4.95"/>
    <n v="18085"/>
    <x v="0"/>
    <n v="16"/>
    <x v="199"/>
  </r>
  <r>
    <n v="536423"/>
    <n v="22113"/>
    <x v="443"/>
    <n v="8"/>
    <d v="2010-12-01T12:08:00"/>
    <n v="3.75"/>
    <n v="18085"/>
    <x v="0"/>
    <n v="8"/>
    <x v="8"/>
  </r>
  <r>
    <n v="536425"/>
    <n v="22837"/>
    <x v="274"/>
    <n v="8"/>
    <d v="2010-12-01T12:08:00"/>
    <n v="4.6500000000000004"/>
    <n v="13758"/>
    <x v="0"/>
    <n v="8"/>
    <x v="136"/>
  </r>
  <r>
    <n v="536425"/>
    <n v="22585"/>
    <x v="448"/>
    <n v="12"/>
    <d v="2010-12-01T12:08:00"/>
    <n v="1.25"/>
    <n v="13758"/>
    <x v="0"/>
    <n v="12"/>
    <x v="73"/>
  </r>
  <r>
    <n v="536425"/>
    <n v="79321"/>
    <x v="141"/>
    <n v="8"/>
    <d v="2010-12-01T12:08:00"/>
    <n v="4.95"/>
    <n v="13758"/>
    <x v="0"/>
    <n v="8"/>
    <x v="99"/>
  </r>
  <r>
    <n v="536425"/>
    <n v="22637"/>
    <x v="88"/>
    <n v="12"/>
    <d v="2010-12-01T12:08:00"/>
    <n v="2.5499999999999998"/>
    <n v="13758"/>
    <x v="0"/>
    <n v="12"/>
    <x v="131"/>
  </r>
  <r>
    <n v="536425"/>
    <n v="21556"/>
    <x v="449"/>
    <n v="6"/>
    <d v="2010-12-01T12:08:00"/>
    <n v="2.5499999999999998"/>
    <n v="13758"/>
    <x v="0"/>
    <n v="6"/>
    <x v="0"/>
  </r>
  <r>
    <n v="536425"/>
    <n v="22646"/>
    <x v="105"/>
    <n v="12"/>
    <d v="2010-12-01T12:08:00"/>
    <n v="1.45"/>
    <n v="13758"/>
    <x v="0"/>
    <n v="12"/>
    <x v="87"/>
  </r>
  <r>
    <n v="536425"/>
    <n v="22644"/>
    <x v="100"/>
    <n v="12"/>
    <d v="2010-12-01T12:08:00"/>
    <n v="1.45"/>
    <n v="13758"/>
    <x v="0"/>
    <n v="12"/>
    <x v="87"/>
  </r>
  <r>
    <n v="536425"/>
    <n v="22645"/>
    <x v="450"/>
    <n v="12"/>
    <d v="2010-12-01T12:08:00"/>
    <n v="1.45"/>
    <n v="13758"/>
    <x v="0"/>
    <n v="12"/>
    <x v="87"/>
  </r>
  <r>
    <n v="536425"/>
    <n v="22650"/>
    <x v="451"/>
    <n v="12"/>
    <d v="2010-12-01T12:08:00"/>
    <n v="1.45"/>
    <n v="13758"/>
    <x v="0"/>
    <n v="12"/>
    <x v="87"/>
  </r>
  <r>
    <n v="536425"/>
    <n v="22508"/>
    <x v="452"/>
    <n v="8"/>
    <d v="2010-12-01T12:08:00"/>
    <n v="3.75"/>
    <n v="13758"/>
    <x v="0"/>
    <n v="8"/>
    <x v="8"/>
  </r>
  <r>
    <n v="536425"/>
    <n v="21411"/>
    <x v="146"/>
    <n v="3"/>
    <d v="2010-12-01T12:08:00"/>
    <n v="4.25"/>
    <n v="13758"/>
    <x v="0"/>
    <n v="3"/>
    <x v="95"/>
  </r>
  <r>
    <n v="536425"/>
    <n v="22511"/>
    <x v="453"/>
    <n v="4"/>
    <d v="2010-12-01T12:08:00"/>
    <n v="3.75"/>
    <n v="13758"/>
    <x v="0"/>
    <n v="4"/>
    <x v="73"/>
  </r>
  <r>
    <n v="536425"/>
    <n v="22451"/>
    <x v="225"/>
    <n v="6"/>
    <d v="2010-12-01T12:08:00"/>
    <n v="3.35"/>
    <n v="13758"/>
    <x v="0"/>
    <n v="6"/>
    <x v="135"/>
  </r>
  <r>
    <n v="536425"/>
    <n v="22449"/>
    <x v="216"/>
    <n v="6"/>
    <d v="2010-12-01T12:08:00"/>
    <n v="3.35"/>
    <n v="13758"/>
    <x v="0"/>
    <n v="6"/>
    <x v="135"/>
  </r>
  <r>
    <n v="536425"/>
    <n v="22768"/>
    <x v="235"/>
    <n v="2"/>
    <d v="2010-12-01T12:08:00"/>
    <n v="9.9499999999999993"/>
    <n v="13758"/>
    <x v="0"/>
    <n v="2"/>
    <x v="11"/>
  </r>
  <r>
    <n v="536425"/>
    <n v="22829"/>
    <x v="454"/>
    <n v="2"/>
    <d v="2010-12-01T12:08:00"/>
    <n v="9.9499999999999993"/>
    <n v="13758"/>
    <x v="0"/>
    <n v="2"/>
    <x v="11"/>
  </r>
  <r>
    <n v="536425"/>
    <n v="22961"/>
    <x v="78"/>
    <n v="12"/>
    <d v="2010-12-01T12:08:00"/>
    <n v="1.45"/>
    <n v="13758"/>
    <x v="0"/>
    <n v="12"/>
    <x v="87"/>
  </r>
  <r>
    <n v="536437"/>
    <n v="21154"/>
    <x v="455"/>
    <n v="200"/>
    <d v="2010-12-01T12:12:00"/>
    <n v="1.06"/>
    <n v="13694"/>
    <x v="0"/>
    <n v="200"/>
    <x v="200"/>
  </r>
  <r>
    <n v="536437"/>
    <n v="22189"/>
    <x v="131"/>
    <n v="72"/>
    <d v="2010-12-01T12:12:00"/>
    <n v="3.39"/>
    <n v="13694"/>
    <x v="0"/>
    <n v="72"/>
    <x v="201"/>
  </r>
  <r>
    <n v="536437"/>
    <n v="17021"/>
    <x v="456"/>
    <n v="600"/>
    <d v="2010-12-01T12:12:00"/>
    <n v="0.24"/>
    <n v="13694"/>
    <x v="0"/>
    <n v="600"/>
    <x v="202"/>
  </r>
  <r>
    <n v="536437"/>
    <n v="22059"/>
    <x v="457"/>
    <n v="48"/>
    <d v="2010-12-01T12:12:00"/>
    <n v="1.25"/>
    <n v="13694"/>
    <x v="0"/>
    <n v="48"/>
    <x v="43"/>
  </r>
  <r>
    <n v="536437"/>
    <n v="22188"/>
    <x v="204"/>
    <n v="36"/>
    <d v="2010-12-01T12:12:00"/>
    <n v="3.39"/>
    <n v="13694"/>
    <x v="0"/>
    <n v="36"/>
    <x v="203"/>
  </r>
  <r>
    <n v="536437"/>
    <n v="84678"/>
    <x v="458"/>
    <n v="48"/>
    <d v="2010-12-01T12:12:00"/>
    <n v="1.25"/>
    <n v="13694"/>
    <x v="0"/>
    <n v="48"/>
    <x v="43"/>
  </r>
  <r>
    <n v="536446"/>
    <n v="85172"/>
    <x v="459"/>
    <n v="32"/>
    <d v="2010-12-01T12:15:00"/>
    <n v="0.42"/>
    <n v="15983"/>
    <x v="0"/>
    <n v="32"/>
    <x v="204"/>
  </r>
  <r>
    <n v="536446"/>
    <n v="22142"/>
    <x v="460"/>
    <n v="2"/>
    <d v="2010-12-01T12:15:00"/>
    <n v="1.45"/>
    <n v="15983"/>
    <x v="0"/>
    <n v="2"/>
    <x v="205"/>
  </r>
  <r>
    <n v="536446"/>
    <n v="22144"/>
    <x v="378"/>
    <n v="2"/>
    <d v="2010-12-01T12:15:00"/>
    <n v="2.1"/>
    <n v="15983"/>
    <x v="0"/>
    <n v="2"/>
    <x v="48"/>
  </r>
  <r>
    <n v="536446"/>
    <n v="21591"/>
    <x v="461"/>
    <n v="6"/>
    <d v="2010-12-01T12:15:00"/>
    <n v="1.25"/>
    <n v="15983"/>
    <x v="0"/>
    <n v="6"/>
    <x v="49"/>
  </r>
  <r>
    <n v="536446"/>
    <n v="22480"/>
    <x v="462"/>
    <n v="12"/>
    <d v="2010-12-01T12:15:00"/>
    <n v="1.25"/>
    <n v="15983"/>
    <x v="0"/>
    <n v="12"/>
    <x v="73"/>
  </r>
  <r>
    <n v="536446"/>
    <n v="22294"/>
    <x v="463"/>
    <n v="48"/>
    <d v="2010-12-01T12:15:00"/>
    <n v="1.25"/>
    <n v="15983"/>
    <x v="0"/>
    <n v="48"/>
    <x v="43"/>
  </r>
  <r>
    <n v="536446"/>
    <n v="21156"/>
    <x v="464"/>
    <n v="1"/>
    <d v="2010-12-01T12:15:00"/>
    <n v="1.95"/>
    <n v="15983"/>
    <x v="0"/>
    <n v="1"/>
    <x v="54"/>
  </r>
  <r>
    <n v="536446"/>
    <n v="10133"/>
    <x v="465"/>
    <n v="5"/>
    <d v="2010-12-01T12:15:00"/>
    <n v="0.85"/>
    <n v="15983"/>
    <x v="0"/>
    <n v="5"/>
    <x v="143"/>
  </r>
  <r>
    <n v="536446"/>
    <s v="72800E"/>
    <x v="466"/>
    <n v="6"/>
    <d v="2010-12-01T12:15:00"/>
    <n v="2.5499999999999998"/>
    <n v="15983"/>
    <x v="0"/>
    <n v="6"/>
    <x v="0"/>
  </r>
  <r>
    <n v="536446"/>
    <n v="22294"/>
    <x v="463"/>
    <n v="24"/>
    <d v="2010-12-01T12:15:00"/>
    <n v="1.25"/>
    <n v="15983"/>
    <x v="0"/>
    <n v="24"/>
    <x v="8"/>
  </r>
  <r>
    <n v="536446"/>
    <n v="84836"/>
    <x v="467"/>
    <n v="12"/>
    <d v="2010-12-01T12:15:00"/>
    <n v="1.25"/>
    <n v="15983"/>
    <x v="0"/>
    <n v="12"/>
    <x v="73"/>
  </r>
  <r>
    <n v="536446"/>
    <n v="20774"/>
    <x v="468"/>
    <n v="2"/>
    <d v="2010-12-01T12:15:00"/>
    <n v="1.65"/>
    <n v="15983"/>
    <x v="0"/>
    <n v="2"/>
    <x v="64"/>
  </r>
  <r>
    <n v="536446"/>
    <n v="20773"/>
    <x v="469"/>
    <n v="2"/>
    <d v="2010-12-01T12:15:00"/>
    <n v="1.65"/>
    <n v="15983"/>
    <x v="0"/>
    <n v="2"/>
    <x v="64"/>
  </r>
  <r>
    <n v="536446"/>
    <n v="20777"/>
    <x v="470"/>
    <n v="2"/>
    <d v="2010-12-01T12:15:00"/>
    <n v="1.65"/>
    <n v="15983"/>
    <x v="0"/>
    <n v="2"/>
    <x v="64"/>
  </r>
  <r>
    <n v="536446"/>
    <n v="16016"/>
    <x v="471"/>
    <n v="10"/>
    <d v="2010-12-01T12:15:00"/>
    <n v="0.85"/>
    <n v="15983"/>
    <x v="0"/>
    <n v="10"/>
    <x v="37"/>
  </r>
  <r>
    <n v="536446"/>
    <n v="16014"/>
    <x v="472"/>
    <n v="10"/>
    <d v="2010-12-01T12:15:00"/>
    <n v="0.42"/>
    <n v="15983"/>
    <x v="0"/>
    <n v="10"/>
    <x v="48"/>
  </r>
  <r>
    <n v="536446"/>
    <n v="21890"/>
    <x v="439"/>
    <n v="2"/>
    <d v="2010-12-01T12:15:00"/>
    <n v="2.95"/>
    <n v="15983"/>
    <x v="0"/>
    <n v="2"/>
    <x v="61"/>
  </r>
  <r>
    <n v="536446"/>
    <n v="21891"/>
    <x v="188"/>
    <n v="2"/>
    <d v="2010-12-01T12:15:00"/>
    <n v="1.25"/>
    <n v="15983"/>
    <x v="0"/>
    <n v="2"/>
    <x v="138"/>
  </r>
  <r>
    <n v="536446"/>
    <n v="22619"/>
    <x v="187"/>
    <n v="8"/>
    <d v="2010-12-01T12:15:00"/>
    <n v="3.75"/>
    <n v="15983"/>
    <x v="0"/>
    <n v="8"/>
    <x v="8"/>
  </r>
  <r>
    <n v="536446"/>
    <n v="22620"/>
    <x v="325"/>
    <n v="6"/>
    <d v="2010-12-01T12:15:00"/>
    <n v="1.25"/>
    <n v="15983"/>
    <x v="0"/>
    <n v="6"/>
    <x v="49"/>
  </r>
  <r>
    <n v="536446"/>
    <n v="84347"/>
    <x v="323"/>
    <n v="12"/>
    <d v="2010-12-01T12:15:00"/>
    <n v="2.5499999999999998"/>
    <n v="15983"/>
    <x v="0"/>
    <n v="12"/>
    <x v="131"/>
  </r>
  <r>
    <n v="536446"/>
    <s v="85169B"/>
    <x v="347"/>
    <n v="24"/>
    <d v="2010-12-01T12:15:00"/>
    <n v="1.25"/>
    <n v="15983"/>
    <x v="0"/>
    <n v="24"/>
    <x v="8"/>
  </r>
  <r>
    <n v="536446"/>
    <n v="21156"/>
    <x v="464"/>
    <n v="3"/>
    <d v="2010-12-01T12:15:00"/>
    <n v="1.95"/>
    <n v="15983"/>
    <x v="0"/>
    <n v="3"/>
    <x v="195"/>
  </r>
  <r>
    <n v="536446"/>
    <n v="21651"/>
    <x v="473"/>
    <n v="6"/>
    <d v="2010-12-01T12:15:00"/>
    <n v="1.65"/>
    <n v="15983"/>
    <x v="0"/>
    <n v="6"/>
    <x v="9"/>
  </r>
  <r>
    <n v="536446"/>
    <n v="21651"/>
    <x v="473"/>
    <n v="6"/>
    <d v="2010-12-01T12:15:00"/>
    <n v="1.65"/>
    <n v="15983"/>
    <x v="0"/>
    <n v="6"/>
    <x v="9"/>
  </r>
  <r>
    <n v="536446"/>
    <s v="84625C"/>
    <x v="269"/>
    <n v="10"/>
    <d v="2010-12-01T12:15:00"/>
    <n v="2.95"/>
    <n v="15983"/>
    <x v="0"/>
    <n v="10"/>
    <x v="36"/>
  </r>
  <r>
    <n v="536446"/>
    <n v="22618"/>
    <x v="474"/>
    <n v="2"/>
    <d v="2010-12-01T12:15:00"/>
    <n v="9.9499999999999993"/>
    <n v="15983"/>
    <x v="0"/>
    <n v="2"/>
    <x v="11"/>
  </r>
  <r>
    <n v="536446"/>
    <n v="21586"/>
    <x v="475"/>
    <n v="4"/>
    <d v="2010-12-01T12:15:00"/>
    <n v="2.5499999999999998"/>
    <n v="15983"/>
    <x v="0"/>
    <n v="4"/>
    <x v="16"/>
  </r>
  <r>
    <n v="536446"/>
    <n v="21587"/>
    <x v="261"/>
    <n v="4"/>
    <d v="2010-12-01T12:15:00"/>
    <n v="2.5499999999999998"/>
    <n v="15983"/>
    <x v="0"/>
    <n v="4"/>
    <x v="16"/>
  </r>
  <r>
    <n v="536446"/>
    <n v="22152"/>
    <x v="476"/>
    <n v="24"/>
    <d v="2010-12-01T12:15:00"/>
    <n v="0.42"/>
    <n v="15983"/>
    <x v="0"/>
    <n v="24"/>
    <x v="24"/>
  </r>
  <r>
    <n v="536446"/>
    <n v="85172"/>
    <x v="459"/>
    <n v="16"/>
    <d v="2010-12-01T12:15:00"/>
    <n v="0.42"/>
    <n v="15983"/>
    <x v="0"/>
    <n v="16"/>
    <x v="206"/>
  </r>
  <r>
    <n v="536446"/>
    <n v="84754"/>
    <x v="477"/>
    <n v="24"/>
    <d v="2010-12-01T12:15:00"/>
    <n v="1.25"/>
    <n v="15983"/>
    <x v="0"/>
    <n v="24"/>
    <x v="8"/>
  </r>
  <r>
    <n v="536460"/>
    <n v="22670"/>
    <x v="478"/>
    <n v="12"/>
    <d v="2010-12-01T12:22:00"/>
    <n v="1.25"/>
    <n v="14849"/>
    <x v="0"/>
    <n v="12"/>
    <x v="73"/>
  </r>
  <r>
    <n v="536460"/>
    <n v="21586"/>
    <x v="475"/>
    <n v="12"/>
    <d v="2010-12-01T12:22:00"/>
    <n v="2.5499999999999998"/>
    <n v="14849"/>
    <x v="0"/>
    <n v="12"/>
    <x v="131"/>
  </r>
  <r>
    <n v="536460"/>
    <n v="84992"/>
    <x v="292"/>
    <n v="24"/>
    <d v="2010-12-01T12:22:00"/>
    <n v="0.55000000000000004"/>
    <n v="14849"/>
    <x v="0"/>
    <n v="24"/>
    <x v="41"/>
  </r>
  <r>
    <n v="536460"/>
    <n v="84879"/>
    <x v="9"/>
    <n v="24"/>
    <d v="2010-12-01T12:22:00"/>
    <n v="1.69"/>
    <n v="14849"/>
    <x v="0"/>
    <n v="24"/>
    <x v="207"/>
  </r>
  <r>
    <n v="536460"/>
    <s v="84849B"/>
    <x v="479"/>
    <n v="12"/>
    <d v="2010-12-01T12:22:00"/>
    <n v="1.69"/>
    <n v="14849"/>
    <x v="0"/>
    <n v="12"/>
    <x v="208"/>
  </r>
  <r>
    <n v="536460"/>
    <n v="22927"/>
    <x v="480"/>
    <n v="2"/>
    <d v="2010-12-01T12:22:00"/>
    <n v="5.95"/>
    <n v="14849"/>
    <x v="0"/>
    <n v="2"/>
    <x v="62"/>
  </r>
  <r>
    <n v="536460"/>
    <n v="22926"/>
    <x v="117"/>
    <n v="4"/>
    <d v="2010-12-01T12:22:00"/>
    <n v="5.95"/>
    <n v="14849"/>
    <x v="0"/>
    <n v="4"/>
    <x v="119"/>
  </r>
  <r>
    <n v="536460"/>
    <n v="22925"/>
    <x v="481"/>
    <n v="2"/>
    <d v="2010-12-01T12:22:00"/>
    <n v="5.95"/>
    <n v="14849"/>
    <x v="0"/>
    <n v="2"/>
    <x v="62"/>
  </r>
  <r>
    <n v="536460"/>
    <n v="21977"/>
    <x v="71"/>
    <n v="24"/>
    <d v="2010-12-01T12:22:00"/>
    <n v="0.55000000000000004"/>
    <n v="14849"/>
    <x v="0"/>
    <n v="24"/>
    <x v="41"/>
  </r>
  <r>
    <n v="536460"/>
    <n v="21485"/>
    <x v="176"/>
    <n v="6"/>
    <d v="2010-12-01T12:22:00"/>
    <n v="4.95"/>
    <n v="14849"/>
    <x v="0"/>
    <n v="6"/>
    <x v="28"/>
  </r>
  <r>
    <n v="536460"/>
    <n v="21484"/>
    <x v="183"/>
    <n v="8"/>
    <d v="2010-12-01T12:22:00"/>
    <n v="3.45"/>
    <n v="14849"/>
    <x v="0"/>
    <n v="8"/>
    <x v="128"/>
  </r>
  <r>
    <n v="536460"/>
    <n v="21259"/>
    <x v="482"/>
    <n v="2"/>
    <d v="2010-12-01T12:22:00"/>
    <n v="5.95"/>
    <n v="14849"/>
    <x v="0"/>
    <n v="2"/>
    <x v="62"/>
  </r>
  <r>
    <n v="536460"/>
    <n v="21257"/>
    <x v="483"/>
    <n v="2"/>
    <d v="2010-12-01T12:22:00"/>
    <n v="7.95"/>
    <n v="14849"/>
    <x v="0"/>
    <n v="2"/>
    <x v="94"/>
  </r>
  <r>
    <n v="536460"/>
    <n v="21121"/>
    <x v="484"/>
    <n v="24"/>
    <d v="2010-12-01T12:22:00"/>
    <n v="1.25"/>
    <n v="14849"/>
    <x v="0"/>
    <n v="24"/>
    <x v="8"/>
  </r>
  <r>
    <n v="536463"/>
    <n v="82552"/>
    <x v="485"/>
    <n v="12"/>
    <d v="2010-12-01T12:22:00"/>
    <n v="1.45"/>
    <n v="14849"/>
    <x v="0"/>
    <n v="12"/>
    <x v="87"/>
  </r>
  <r>
    <n v="536464"/>
    <s v="90200B"/>
    <x v="486"/>
    <n v="2"/>
    <d v="2010-12-01T12:23:00"/>
    <n v="4.25"/>
    <n v="17968"/>
    <x v="0"/>
    <n v="2"/>
    <x v="37"/>
  </r>
  <r>
    <n v="536464"/>
    <s v="90059B"/>
    <x v="487"/>
    <n v="2"/>
    <d v="2010-12-01T12:23:00"/>
    <n v="1.65"/>
    <n v="17968"/>
    <x v="0"/>
    <n v="2"/>
    <x v="64"/>
  </r>
  <r>
    <n v="536464"/>
    <s v="90185C"/>
    <x v="488"/>
    <n v="2"/>
    <d v="2010-12-01T12:23:00"/>
    <n v="4.25"/>
    <n v="17968"/>
    <x v="0"/>
    <n v="2"/>
    <x v="37"/>
  </r>
  <r>
    <n v="536464"/>
    <s v="90059E"/>
    <x v="489"/>
    <n v="3"/>
    <d v="2010-12-01T12:23:00"/>
    <n v="1.65"/>
    <n v="17968"/>
    <x v="0"/>
    <n v="3"/>
    <x v="178"/>
  </r>
  <r>
    <n v="536464"/>
    <s v="90059C"/>
    <x v="490"/>
    <n v="1"/>
    <d v="2010-12-01T12:23:00"/>
    <n v="1.65"/>
    <n v="17968"/>
    <x v="0"/>
    <n v="1"/>
    <x v="140"/>
  </r>
  <r>
    <n v="536464"/>
    <s v="90200C"/>
    <x v="491"/>
    <n v="1"/>
    <d v="2010-12-01T12:23:00"/>
    <n v="4.25"/>
    <n v="17968"/>
    <x v="0"/>
    <n v="1"/>
    <x v="143"/>
  </r>
  <r>
    <n v="536464"/>
    <s v="90200D"/>
    <x v="492"/>
    <n v="3"/>
    <d v="2010-12-01T12:23:00"/>
    <n v="4.25"/>
    <n v="17968"/>
    <x v="0"/>
    <n v="3"/>
    <x v="95"/>
  </r>
  <r>
    <n v="536464"/>
    <s v="90200A"/>
    <x v="493"/>
    <n v="1"/>
    <d v="2010-12-01T12:23:00"/>
    <n v="4.25"/>
    <n v="17968"/>
    <x v="0"/>
    <n v="1"/>
    <x v="143"/>
  </r>
  <r>
    <n v="536464"/>
    <n v="22386"/>
    <x v="59"/>
    <n v="1"/>
    <d v="2010-12-01T12:23:00"/>
    <n v="1.95"/>
    <n v="17968"/>
    <x v="0"/>
    <n v="1"/>
    <x v="54"/>
  </r>
  <r>
    <n v="536464"/>
    <s v="85099B"/>
    <x v="140"/>
    <n v="1"/>
    <d v="2010-12-01T12:23:00"/>
    <n v="1.95"/>
    <n v="17968"/>
    <x v="0"/>
    <n v="1"/>
    <x v="54"/>
  </r>
  <r>
    <n v="536464"/>
    <n v="84879"/>
    <x v="9"/>
    <n v="8"/>
    <d v="2010-12-01T12:23:00"/>
    <n v="1.69"/>
    <n v="17968"/>
    <x v="0"/>
    <n v="8"/>
    <x v="162"/>
  </r>
  <r>
    <n v="536464"/>
    <n v="22086"/>
    <x v="46"/>
    <n v="1"/>
    <d v="2010-12-01T12:23:00"/>
    <n v="2.95"/>
    <n v="17968"/>
    <x v="0"/>
    <n v="1"/>
    <x v="55"/>
  </r>
  <r>
    <n v="536464"/>
    <n v="22737"/>
    <x v="494"/>
    <n v="1"/>
    <d v="2010-12-01T12:23:00"/>
    <n v="1.65"/>
    <n v="17968"/>
    <x v="0"/>
    <n v="1"/>
    <x v="140"/>
  </r>
  <r>
    <n v="536464"/>
    <n v="21260"/>
    <x v="495"/>
    <n v="1"/>
    <d v="2010-12-01T12:23:00"/>
    <n v="3.25"/>
    <n v="17968"/>
    <x v="0"/>
    <n v="1"/>
    <x v="209"/>
  </r>
  <r>
    <n v="536464"/>
    <n v="22744"/>
    <x v="496"/>
    <n v="2"/>
    <d v="2010-12-01T12:23:00"/>
    <n v="2.95"/>
    <n v="17968"/>
    <x v="0"/>
    <n v="2"/>
    <x v="61"/>
  </r>
  <r>
    <n v="536464"/>
    <n v="21985"/>
    <x v="497"/>
    <n v="1"/>
    <d v="2010-12-01T12:23:00"/>
    <n v="0.28999999999999998"/>
    <n v="17968"/>
    <x v="0"/>
    <n v="1"/>
    <x v="210"/>
  </r>
  <r>
    <n v="536464"/>
    <n v="21980"/>
    <x v="182"/>
    <n v="1"/>
    <d v="2010-12-01T12:23:00"/>
    <n v="0.28999999999999998"/>
    <n v="17968"/>
    <x v="0"/>
    <n v="1"/>
    <x v="210"/>
  </r>
  <r>
    <n v="536464"/>
    <n v="22988"/>
    <x v="393"/>
    <n v="1"/>
    <d v="2010-12-01T12:23:00"/>
    <n v="1.25"/>
    <n v="17968"/>
    <x v="0"/>
    <n v="1"/>
    <x v="50"/>
  </r>
  <r>
    <n v="536464"/>
    <n v="22297"/>
    <x v="275"/>
    <n v="1"/>
    <d v="2010-12-01T12:23:00"/>
    <n v="1.25"/>
    <n v="17968"/>
    <x v="0"/>
    <n v="1"/>
    <x v="50"/>
  </r>
  <r>
    <n v="536464"/>
    <n v="22294"/>
    <x v="463"/>
    <n v="1"/>
    <d v="2010-12-01T12:23:00"/>
    <n v="1.25"/>
    <n v="17968"/>
    <x v="0"/>
    <n v="1"/>
    <x v="50"/>
  </r>
  <r>
    <n v="536464"/>
    <n v="22295"/>
    <x v="498"/>
    <n v="1"/>
    <d v="2010-12-01T12:23:00"/>
    <n v="1.65"/>
    <n v="17968"/>
    <x v="0"/>
    <n v="1"/>
    <x v="140"/>
  </r>
  <r>
    <n v="536464"/>
    <n v="22813"/>
    <x v="304"/>
    <n v="2"/>
    <d v="2010-12-01T12:23:00"/>
    <n v="1.95"/>
    <n v="17968"/>
    <x v="0"/>
    <n v="2"/>
    <x v="169"/>
  </r>
  <r>
    <n v="536464"/>
    <n v="22812"/>
    <x v="322"/>
    <n v="6"/>
    <d v="2010-12-01T12:23:00"/>
    <n v="1.95"/>
    <n v="17968"/>
    <x v="0"/>
    <n v="6"/>
    <x v="118"/>
  </r>
  <r>
    <n v="536464"/>
    <n v="22197"/>
    <x v="170"/>
    <n v="5"/>
    <d v="2010-12-01T12:23:00"/>
    <n v="0.85"/>
    <n v="17968"/>
    <x v="0"/>
    <n v="5"/>
    <x v="143"/>
  </r>
  <r>
    <n v="536464"/>
    <n v="21977"/>
    <x v="71"/>
    <n v="1"/>
    <d v="2010-12-01T12:23:00"/>
    <n v="0.55000000000000004"/>
    <n v="17968"/>
    <x v="0"/>
    <n v="1"/>
    <x v="146"/>
  </r>
  <r>
    <n v="536464"/>
    <n v="22619"/>
    <x v="187"/>
    <n v="1"/>
    <d v="2010-12-01T12:23:00"/>
    <n v="3.75"/>
    <n v="17968"/>
    <x v="0"/>
    <n v="1"/>
    <x v="58"/>
  </r>
  <r>
    <n v="536464"/>
    <s v="16258A"/>
    <x v="499"/>
    <n v="1"/>
    <d v="2010-12-01T12:23:00"/>
    <n v="0.42"/>
    <n v="17968"/>
    <x v="0"/>
    <n v="1"/>
    <x v="168"/>
  </r>
  <r>
    <n v="536464"/>
    <n v="21992"/>
    <x v="500"/>
    <n v="1"/>
    <d v="2010-12-01T12:23:00"/>
    <n v="2.95"/>
    <n v="17968"/>
    <x v="0"/>
    <n v="1"/>
    <x v="55"/>
  </r>
  <r>
    <n v="536464"/>
    <n v="22910"/>
    <x v="168"/>
    <n v="1"/>
    <d v="2010-12-01T12:23:00"/>
    <n v="2.95"/>
    <n v="17968"/>
    <x v="0"/>
    <n v="1"/>
    <x v="55"/>
  </r>
  <r>
    <n v="536464"/>
    <n v="21124"/>
    <x v="501"/>
    <n v="1"/>
    <d v="2010-12-01T12:23:00"/>
    <n v="1.25"/>
    <n v="17968"/>
    <x v="0"/>
    <n v="1"/>
    <x v="50"/>
  </r>
  <r>
    <n v="536464"/>
    <n v="22735"/>
    <x v="502"/>
    <n v="2"/>
    <d v="2010-12-01T12:23:00"/>
    <n v="1.65"/>
    <n v="17968"/>
    <x v="0"/>
    <n v="2"/>
    <x v="64"/>
  </r>
  <r>
    <n v="536464"/>
    <n v="22952"/>
    <x v="396"/>
    <n v="2"/>
    <d v="2010-12-01T12:23:00"/>
    <n v="0.55000000000000004"/>
    <n v="17968"/>
    <x v="0"/>
    <n v="2"/>
    <x v="147"/>
  </r>
  <r>
    <n v="536464"/>
    <n v="22945"/>
    <x v="503"/>
    <n v="6"/>
    <d v="2010-12-01T12:23:00"/>
    <n v="0.85"/>
    <n v="17968"/>
    <x v="0"/>
    <n v="6"/>
    <x v="57"/>
  </r>
  <r>
    <n v="536464"/>
    <n v="21816"/>
    <x v="504"/>
    <n v="2"/>
    <d v="2010-12-01T12:23:00"/>
    <n v="1.45"/>
    <n v="17968"/>
    <x v="0"/>
    <n v="2"/>
    <x v="205"/>
  </r>
  <r>
    <n v="536464"/>
    <n v="21815"/>
    <x v="505"/>
    <n v="4"/>
    <d v="2010-12-01T12:23:00"/>
    <n v="1.45"/>
    <n v="17968"/>
    <x v="0"/>
    <n v="4"/>
    <x v="63"/>
  </r>
  <r>
    <n v="536464"/>
    <n v="21814"/>
    <x v="506"/>
    <n v="2"/>
    <d v="2010-12-01T12:23:00"/>
    <n v="1.45"/>
    <n v="17968"/>
    <x v="0"/>
    <n v="2"/>
    <x v="205"/>
  </r>
  <r>
    <n v="536464"/>
    <n v="10125"/>
    <x v="507"/>
    <n v="2"/>
    <d v="2010-12-01T12:23:00"/>
    <n v="0.85"/>
    <n v="17968"/>
    <x v="0"/>
    <n v="2"/>
    <x v="176"/>
  </r>
  <r>
    <n v="536464"/>
    <n v="22810"/>
    <x v="250"/>
    <n v="1"/>
    <d v="2010-12-01T12:23:00"/>
    <n v="2.95"/>
    <n v="17968"/>
    <x v="0"/>
    <n v="1"/>
    <x v="55"/>
  </r>
  <r>
    <n v="536464"/>
    <n v="22573"/>
    <x v="508"/>
    <n v="1"/>
    <d v="2010-12-01T12:23:00"/>
    <n v="0.85"/>
    <n v="17968"/>
    <x v="0"/>
    <n v="1"/>
    <x v="51"/>
  </r>
  <r>
    <n v="536464"/>
    <n v="22577"/>
    <x v="509"/>
    <n v="1"/>
    <d v="2010-12-01T12:23:00"/>
    <n v="0.85"/>
    <n v="17968"/>
    <x v="0"/>
    <n v="1"/>
    <x v="51"/>
  </r>
  <r>
    <n v="536464"/>
    <n v="22603"/>
    <x v="510"/>
    <n v="2"/>
    <d v="2010-12-01T12:23:00"/>
    <n v="0.85"/>
    <n v="17968"/>
    <x v="0"/>
    <n v="2"/>
    <x v="176"/>
  </r>
  <r>
    <n v="536464"/>
    <n v="22809"/>
    <x v="251"/>
    <n v="1"/>
    <d v="2010-12-01T12:23:00"/>
    <n v="2.95"/>
    <n v="17968"/>
    <x v="0"/>
    <n v="1"/>
    <x v="55"/>
  </r>
  <r>
    <n v="536464"/>
    <n v="20878"/>
    <x v="511"/>
    <n v="1"/>
    <d v="2010-12-01T12:23:00"/>
    <n v="1.25"/>
    <n v="17968"/>
    <x v="0"/>
    <n v="1"/>
    <x v="50"/>
  </r>
  <r>
    <n v="536464"/>
    <n v="20866"/>
    <x v="512"/>
    <n v="1"/>
    <d v="2010-12-01T12:23:00"/>
    <n v="1.25"/>
    <n v="17968"/>
    <x v="0"/>
    <n v="1"/>
    <x v="50"/>
  </r>
  <r>
    <n v="536464"/>
    <n v="85095"/>
    <x v="513"/>
    <n v="1"/>
    <d v="2010-12-01T12:23:00"/>
    <n v="1.95"/>
    <n v="17968"/>
    <x v="0"/>
    <n v="1"/>
    <x v="54"/>
  </r>
  <r>
    <n v="536464"/>
    <n v="22333"/>
    <x v="514"/>
    <n v="1"/>
    <d v="2010-12-01T12:23:00"/>
    <n v="1.65"/>
    <n v="17968"/>
    <x v="0"/>
    <n v="1"/>
    <x v="140"/>
  </r>
  <r>
    <n v="536464"/>
    <n v="22557"/>
    <x v="184"/>
    <n v="1"/>
    <d v="2010-12-01T12:23:00"/>
    <n v="1.65"/>
    <n v="17968"/>
    <x v="0"/>
    <n v="1"/>
    <x v="140"/>
  </r>
  <r>
    <n v="536464"/>
    <n v="21584"/>
    <x v="515"/>
    <n v="1"/>
    <d v="2010-12-01T12:23:00"/>
    <n v="1.65"/>
    <n v="17968"/>
    <x v="0"/>
    <n v="1"/>
    <x v="140"/>
  </r>
  <r>
    <n v="536464"/>
    <n v="22866"/>
    <x v="197"/>
    <n v="1"/>
    <d v="2010-12-01T12:23:00"/>
    <n v="2.1"/>
    <n v="17968"/>
    <x v="0"/>
    <n v="1"/>
    <x v="148"/>
  </r>
  <r>
    <n v="536464"/>
    <n v="22731"/>
    <x v="516"/>
    <n v="2"/>
    <d v="2010-12-01T12:23:00"/>
    <n v="1.25"/>
    <n v="17968"/>
    <x v="0"/>
    <n v="2"/>
    <x v="138"/>
  </r>
  <r>
    <n v="536464"/>
    <n v="22866"/>
    <x v="197"/>
    <n v="1"/>
    <d v="2010-12-01T12:23:00"/>
    <n v="2.1"/>
    <n v="17968"/>
    <x v="0"/>
    <n v="1"/>
    <x v="148"/>
  </r>
  <r>
    <n v="536464"/>
    <n v="22866"/>
    <x v="197"/>
    <n v="3"/>
    <d v="2010-12-01T12:23:00"/>
    <n v="2.1"/>
    <n v="17968"/>
    <x v="0"/>
    <n v="3"/>
    <x v="196"/>
  </r>
  <r>
    <n v="536464"/>
    <n v="22558"/>
    <x v="201"/>
    <n v="2"/>
    <d v="2010-12-01T12:23:00"/>
    <n v="1.49"/>
    <n v="17968"/>
    <x v="0"/>
    <n v="2"/>
    <x v="211"/>
  </r>
  <r>
    <n v="536464"/>
    <n v="22956"/>
    <x v="517"/>
    <n v="1"/>
    <d v="2010-12-01T12:23:00"/>
    <n v="2.1"/>
    <n v="17968"/>
    <x v="0"/>
    <n v="1"/>
    <x v="148"/>
  </r>
  <r>
    <n v="536464"/>
    <n v="22945"/>
    <x v="503"/>
    <n v="6"/>
    <d v="2010-12-01T12:23:00"/>
    <n v="0.85"/>
    <n v="17968"/>
    <x v="0"/>
    <n v="6"/>
    <x v="57"/>
  </r>
  <r>
    <n v="536464"/>
    <n v="22582"/>
    <x v="518"/>
    <n v="1"/>
    <d v="2010-12-01T12:23:00"/>
    <n v="2.5499999999999998"/>
    <n v="17968"/>
    <x v="0"/>
    <n v="1"/>
    <x v="52"/>
  </r>
  <r>
    <n v="536464"/>
    <n v="21212"/>
    <x v="69"/>
    <n v="1"/>
    <d v="2010-12-01T12:23:00"/>
    <n v="0.55000000000000004"/>
    <n v="17968"/>
    <x v="0"/>
    <n v="1"/>
    <x v="146"/>
  </r>
  <r>
    <n v="536464"/>
    <n v="21212"/>
    <x v="69"/>
    <n v="2"/>
    <d v="2010-12-01T12:23:00"/>
    <n v="0.55000000000000004"/>
    <n v="17968"/>
    <x v="0"/>
    <n v="2"/>
    <x v="147"/>
  </r>
  <r>
    <n v="536464"/>
    <n v="22585"/>
    <x v="448"/>
    <n v="3"/>
    <d v="2010-12-01T12:23:00"/>
    <n v="1.25"/>
    <n v="17968"/>
    <x v="0"/>
    <n v="3"/>
    <x v="58"/>
  </r>
  <r>
    <n v="536464"/>
    <n v="21121"/>
    <x v="484"/>
    <n v="1"/>
    <d v="2010-12-01T12:23:00"/>
    <n v="1.25"/>
    <n v="17968"/>
    <x v="0"/>
    <n v="1"/>
    <x v="50"/>
  </r>
  <r>
    <n v="536464"/>
    <n v="21122"/>
    <x v="248"/>
    <n v="1"/>
    <d v="2010-12-01T12:23:00"/>
    <n v="1.25"/>
    <n v="17968"/>
    <x v="0"/>
    <n v="1"/>
    <x v="50"/>
  </r>
  <r>
    <n v="536464"/>
    <n v="22759"/>
    <x v="371"/>
    <n v="1"/>
    <d v="2010-12-01T12:23:00"/>
    <n v="1.65"/>
    <n v="17968"/>
    <x v="0"/>
    <n v="1"/>
    <x v="140"/>
  </r>
  <r>
    <n v="536464"/>
    <n v="21815"/>
    <x v="505"/>
    <n v="1"/>
    <d v="2010-12-01T12:23:00"/>
    <n v="1.45"/>
    <n v="17968"/>
    <x v="0"/>
    <n v="1"/>
    <x v="59"/>
  </r>
  <r>
    <n v="536464"/>
    <s v="85231B"/>
    <x v="519"/>
    <n v="3"/>
    <d v="2010-12-01T12:23:00"/>
    <n v="0.85"/>
    <n v="17968"/>
    <x v="0"/>
    <n v="3"/>
    <x v="52"/>
  </r>
  <r>
    <n v="536464"/>
    <s v="85231G"/>
    <x v="520"/>
    <n v="5"/>
    <d v="2010-12-01T12:23:00"/>
    <n v="0.85"/>
    <n v="17968"/>
    <x v="0"/>
    <n v="5"/>
    <x v="143"/>
  </r>
  <r>
    <n v="536464"/>
    <n v="22082"/>
    <x v="521"/>
    <n v="5"/>
    <d v="2010-12-01T12:23:00"/>
    <n v="1.65"/>
    <n v="17968"/>
    <x v="0"/>
    <n v="5"/>
    <x v="181"/>
  </r>
  <r>
    <n v="536464"/>
    <n v="22500"/>
    <x v="522"/>
    <n v="2"/>
    <d v="2010-12-01T12:23:00"/>
    <n v="4.95"/>
    <n v="17968"/>
    <x v="0"/>
    <n v="2"/>
    <x v="30"/>
  </r>
  <r>
    <n v="536464"/>
    <n v="22742"/>
    <x v="523"/>
    <n v="1"/>
    <d v="2010-12-01T12:23:00"/>
    <n v="2.95"/>
    <n v="17968"/>
    <x v="0"/>
    <n v="1"/>
    <x v="55"/>
  </r>
  <r>
    <n v="536464"/>
    <n v="21329"/>
    <x v="524"/>
    <n v="1"/>
    <d v="2010-12-01T12:23:00"/>
    <n v="1.65"/>
    <n v="17968"/>
    <x v="0"/>
    <n v="1"/>
    <x v="140"/>
  </r>
  <r>
    <n v="536464"/>
    <n v="21328"/>
    <x v="229"/>
    <n v="1"/>
    <d v="2010-12-01T12:23:00"/>
    <n v="1.65"/>
    <n v="17968"/>
    <x v="0"/>
    <n v="1"/>
    <x v="140"/>
  </r>
  <r>
    <n v="536464"/>
    <n v="21327"/>
    <x v="525"/>
    <n v="1"/>
    <d v="2010-12-01T12:23:00"/>
    <n v="1.65"/>
    <n v="17968"/>
    <x v="0"/>
    <n v="1"/>
    <x v="140"/>
  </r>
  <r>
    <n v="536464"/>
    <n v="21992"/>
    <x v="500"/>
    <n v="1"/>
    <d v="2010-12-01T12:23:00"/>
    <n v="2.95"/>
    <n v="17968"/>
    <x v="0"/>
    <n v="1"/>
    <x v="55"/>
  </r>
  <r>
    <n v="536464"/>
    <n v="21738"/>
    <x v="373"/>
    <n v="1"/>
    <d v="2010-12-01T12:23:00"/>
    <n v="2.95"/>
    <n v="17968"/>
    <x v="0"/>
    <n v="1"/>
    <x v="55"/>
  </r>
  <r>
    <n v="536464"/>
    <s v="48173C"/>
    <x v="526"/>
    <n v="1"/>
    <d v="2010-12-01T12:23:00"/>
    <n v="7.95"/>
    <n v="17968"/>
    <x v="0"/>
    <n v="1"/>
    <x v="145"/>
  </r>
  <r>
    <n v="536464"/>
    <s v="85099C"/>
    <x v="60"/>
    <n v="1"/>
    <d v="2010-12-01T12:23:00"/>
    <n v="1.95"/>
    <n v="17968"/>
    <x v="0"/>
    <n v="1"/>
    <x v="54"/>
  </r>
  <r>
    <n v="536464"/>
    <n v="22960"/>
    <x v="21"/>
    <n v="1"/>
    <d v="2010-12-01T12:23:00"/>
    <n v="4.25"/>
    <n v="17968"/>
    <x v="0"/>
    <n v="1"/>
    <x v="143"/>
  </r>
  <r>
    <n v="536464"/>
    <s v="85231G"/>
    <x v="520"/>
    <n v="1"/>
    <d v="2010-12-01T12:23:00"/>
    <n v="0.85"/>
    <n v="17968"/>
    <x v="0"/>
    <n v="1"/>
    <x v="51"/>
  </r>
  <r>
    <n v="536464"/>
    <s v="85231B"/>
    <x v="519"/>
    <n v="2"/>
    <d v="2010-12-01T12:23:00"/>
    <n v="0.85"/>
    <n v="17968"/>
    <x v="0"/>
    <n v="2"/>
    <x v="176"/>
  </r>
  <r>
    <n v="536464"/>
    <n v="22866"/>
    <x v="197"/>
    <n v="1"/>
    <d v="2010-12-01T12:23:00"/>
    <n v="2.1"/>
    <n v="17968"/>
    <x v="0"/>
    <n v="1"/>
    <x v="148"/>
  </r>
  <r>
    <n v="536464"/>
    <n v="72818"/>
    <x v="527"/>
    <n v="1"/>
    <d v="2010-12-01T12:23:00"/>
    <n v="0.85"/>
    <n v="17968"/>
    <x v="0"/>
    <n v="1"/>
    <x v="51"/>
  </r>
  <r>
    <n v="536464"/>
    <n v="21814"/>
    <x v="506"/>
    <n v="8"/>
    <d v="2010-12-01T12:23:00"/>
    <n v="1.45"/>
    <n v="17968"/>
    <x v="0"/>
    <n v="8"/>
    <x v="212"/>
  </r>
  <r>
    <n v="536464"/>
    <n v="22441"/>
    <x v="247"/>
    <n v="1"/>
    <d v="2010-12-01T12:23:00"/>
    <n v="2.1"/>
    <n v="17968"/>
    <x v="0"/>
    <n v="1"/>
    <x v="148"/>
  </r>
  <r>
    <n v="536464"/>
    <n v="22312"/>
    <x v="528"/>
    <n v="1"/>
    <d v="2010-12-01T12:23:00"/>
    <n v="2.95"/>
    <n v="17968"/>
    <x v="0"/>
    <n v="1"/>
    <x v="55"/>
  </r>
  <r>
    <n v="536464"/>
    <n v="22197"/>
    <x v="170"/>
    <n v="6"/>
    <d v="2010-12-01T12:23:00"/>
    <n v="0.85"/>
    <n v="17968"/>
    <x v="0"/>
    <n v="6"/>
    <x v="57"/>
  </r>
  <r>
    <n v="536464"/>
    <n v="22663"/>
    <x v="135"/>
    <n v="1"/>
    <d v="2010-12-01T12:23:00"/>
    <n v="1.95"/>
    <n v="17968"/>
    <x v="0"/>
    <n v="1"/>
    <x v="54"/>
  </r>
  <r>
    <n v="536466"/>
    <n v="22960"/>
    <x v="21"/>
    <n v="6"/>
    <d v="2010-12-01T12:23:00"/>
    <n v="4.25"/>
    <n v="14849"/>
    <x v="0"/>
    <n v="6"/>
    <x v="4"/>
  </r>
  <r>
    <n v="536466"/>
    <n v="22961"/>
    <x v="78"/>
    <n v="12"/>
    <d v="2010-12-01T12:23:00"/>
    <n v="1.45"/>
    <n v="14849"/>
    <x v="0"/>
    <n v="12"/>
    <x v="87"/>
  </r>
  <r>
    <n v="536477"/>
    <n v="21314"/>
    <x v="205"/>
    <n v="48"/>
    <d v="2010-12-01T12:27:00"/>
    <n v="1.85"/>
    <n v="16210"/>
    <x v="0"/>
    <n v="48"/>
    <x v="213"/>
  </r>
  <r>
    <n v="536477"/>
    <s v="84029E"/>
    <x v="4"/>
    <n v="24"/>
    <d v="2010-12-01T12:27:00"/>
    <n v="3.39"/>
    <n v="16210"/>
    <x v="0"/>
    <n v="24"/>
    <x v="113"/>
  </r>
  <r>
    <n v="536477"/>
    <n v="21137"/>
    <x v="529"/>
    <n v="480"/>
    <d v="2010-12-01T12:27:00"/>
    <n v="3.39"/>
    <n v="16210"/>
    <x v="0"/>
    <n v="480"/>
    <x v="214"/>
  </r>
  <r>
    <n v="536477"/>
    <n v="22041"/>
    <x v="530"/>
    <n v="48"/>
    <d v="2010-12-01T12:27:00"/>
    <n v="2.1"/>
    <n v="16210"/>
    <x v="0"/>
    <n v="48"/>
    <x v="130"/>
  </r>
  <r>
    <n v="536477"/>
    <n v="20979"/>
    <x v="531"/>
    <n v="16"/>
    <d v="2010-12-01T12:27:00"/>
    <n v="1.25"/>
    <n v="16210"/>
    <x v="0"/>
    <n v="16"/>
    <x v="215"/>
  </r>
  <r>
    <n v="536477"/>
    <n v="20977"/>
    <x v="532"/>
    <n v="16"/>
    <d v="2010-12-01T12:27:00"/>
    <n v="1.25"/>
    <n v="16210"/>
    <x v="0"/>
    <n v="16"/>
    <x v="215"/>
  </r>
  <r>
    <n v="536477"/>
    <n v="22619"/>
    <x v="187"/>
    <n v="4"/>
    <d v="2010-12-01T12:27:00"/>
    <n v="3.75"/>
    <n v="16210"/>
    <x v="0"/>
    <n v="4"/>
    <x v="73"/>
  </r>
  <r>
    <n v="536477"/>
    <n v="22571"/>
    <x v="533"/>
    <n v="96"/>
    <d v="2010-12-01T12:27:00"/>
    <n v="0.72"/>
    <n v="16210"/>
    <x v="0"/>
    <n v="96"/>
    <x v="216"/>
  </r>
  <r>
    <n v="536477"/>
    <n v="22595"/>
    <x v="412"/>
    <n v="144"/>
    <d v="2010-12-01T12:27:00"/>
    <n v="0.72"/>
    <n v="16210"/>
    <x v="0"/>
    <n v="144"/>
    <x v="217"/>
  </r>
  <r>
    <n v="536477"/>
    <n v="22593"/>
    <x v="411"/>
    <n v="144"/>
    <d v="2010-12-01T12:27:00"/>
    <n v="0.72"/>
    <n v="16210"/>
    <x v="0"/>
    <n v="144"/>
    <x v="217"/>
  </r>
  <r>
    <n v="536477"/>
    <n v="22633"/>
    <x v="7"/>
    <n v="12"/>
    <d v="2010-12-01T12:27:00"/>
    <n v="2.1"/>
    <n v="16210"/>
    <x v="0"/>
    <n v="12"/>
    <x v="124"/>
  </r>
  <r>
    <n v="536477"/>
    <n v="22632"/>
    <x v="199"/>
    <n v="12"/>
    <d v="2010-12-01T12:27:00"/>
    <n v="2.1"/>
    <n v="16210"/>
    <x v="0"/>
    <n v="12"/>
    <x v="124"/>
  </r>
  <r>
    <n v="536477"/>
    <n v="22423"/>
    <x v="534"/>
    <n v="16"/>
    <d v="2010-12-01T12:27:00"/>
    <n v="10.95"/>
    <n v="16210"/>
    <x v="0"/>
    <n v="16"/>
    <x v="218"/>
  </r>
  <r>
    <n v="536477"/>
    <n v="22411"/>
    <x v="81"/>
    <n v="10"/>
    <d v="2010-12-01T12:27:00"/>
    <n v="1.95"/>
    <n v="16210"/>
    <x v="0"/>
    <n v="10"/>
    <x v="35"/>
  </r>
  <r>
    <n v="536488"/>
    <n v="22738"/>
    <x v="398"/>
    <n v="5"/>
    <d v="2010-12-01T12:31:00"/>
    <n v="1.65"/>
    <n v="17897"/>
    <x v="0"/>
    <n v="5"/>
    <x v="181"/>
  </r>
  <r>
    <n v="536488"/>
    <n v="21621"/>
    <x v="535"/>
    <n v="1"/>
    <d v="2010-12-01T12:31:00"/>
    <n v="8.5"/>
    <n v="17897"/>
    <x v="0"/>
    <n v="1"/>
    <x v="37"/>
  </r>
  <r>
    <n v="536488"/>
    <n v="22960"/>
    <x v="21"/>
    <n v="8"/>
    <d v="2010-12-01T12:31:00"/>
    <n v="4.25"/>
    <n v="17897"/>
    <x v="0"/>
    <n v="8"/>
    <x v="219"/>
  </r>
  <r>
    <n v="536488"/>
    <n v="22082"/>
    <x v="521"/>
    <n v="5"/>
    <d v="2010-12-01T12:31:00"/>
    <n v="1.65"/>
    <n v="17897"/>
    <x v="0"/>
    <n v="5"/>
    <x v="181"/>
  </r>
  <r>
    <n v="536488"/>
    <s v="47563A"/>
    <x v="536"/>
    <n v="1"/>
    <d v="2010-12-01T12:31:00"/>
    <n v="3.75"/>
    <n v="17897"/>
    <x v="0"/>
    <n v="1"/>
    <x v="58"/>
  </r>
  <r>
    <n v="536488"/>
    <s v="84558A"/>
    <x v="537"/>
    <n v="1"/>
    <d v="2010-12-01T12:31:00"/>
    <n v="2.95"/>
    <n v="17897"/>
    <x v="0"/>
    <n v="1"/>
    <x v="55"/>
  </r>
  <r>
    <n v="536488"/>
    <n v="21592"/>
    <x v="260"/>
    <n v="1"/>
    <d v="2010-12-01T12:31:00"/>
    <n v="1.25"/>
    <n v="17897"/>
    <x v="0"/>
    <n v="1"/>
    <x v="50"/>
  </r>
  <r>
    <n v="536488"/>
    <n v="20878"/>
    <x v="511"/>
    <n v="2"/>
    <d v="2010-12-01T12:31:00"/>
    <n v="1.25"/>
    <n v="17897"/>
    <x v="0"/>
    <n v="2"/>
    <x v="138"/>
  </r>
  <r>
    <n v="536488"/>
    <n v="84347"/>
    <x v="323"/>
    <n v="1"/>
    <d v="2010-12-01T12:31:00"/>
    <n v="2.5499999999999998"/>
    <n v="17897"/>
    <x v="0"/>
    <n v="1"/>
    <x v="52"/>
  </r>
  <r>
    <n v="536488"/>
    <n v="84347"/>
    <x v="323"/>
    <n v="1"/>
    <d v="2010-12-01T12:31:00"/>
    <n v="2.5499999999999998"/>
    <n v="17897"/>
    <x v="0"/>
    <n v="1"/>
    <x v="52"/>
  </r>
  <r>
    <n v="536488"/>
    <n v="21577"/>
    <x v="538"/>
    <n v="1"/>
    <d v="2010-12-01T12:31:00"/>
    <n v="2.25"/>
    <n v="17897"/>
    <x v="0"/>
    <n v="1"/>
    <x v="220"/>
  </r>
  <r>
    <n v="536488"/>
    <n v="22909"/>
    <x v="399"/>
    <n v="1"/>
    <d v="2010-12-01T12:31:00"/>
    <n v="0.85"/>
    <n v="17897"/>
    <x v="0"/>
    <n v="1"/>
    <x v="51"/>
  </r>
  <r>
    <n v="536488"/>
    <n v="22087"/>
    <x v="539"/>
    <n v="1"/>
    <d v="2010-12-01T12:31:00"/>
    <n v="2.95"/>
    <n v="17897"/>
    <x v="0"/>
    <n v="1"/>
    <x v="55"/>
  </r>
  <r>
    <n v="536488"/>
    <n v="22651"/>
    <x v="540"/>
    <n v="2"/>
    <d v="2010-12-01T12:31:00"/>
    <n v="0.85"/>
    <n v="17897"/>
    <x v="0"/>
    <n v="2"/>
    <x v="176"/>
  </r>
  <r>
    <n v="536488"/>
    <n v="22713"/>
    <x v="541"/>
    <n v="12"/>
    <d v="2010-12-01T12:31:00"/>
    <n v="0.42"/>
    <n v="17897"/>
    <x v="0"/>
    <n v="12"/>
    <x v="96"/>
  </r>
  <r>
    <n v="536488"/>
    <n v="22910"/>
    <x v="168"/>
    <n v="1"/>
    <d v="2010-12-01T12:31:00"/>
    <n v="2.95"/>
    <n v="17897"/>
    <x v="0"/>
    <n v="1"/>
    <x v="55"/>
  </r>
  <r>
    <n v="536488"/>
    <n v="21370"/>
    <x v="542"/>
    <n v="2"/>
    <d v="2010-12-01T12:31:00"/>
    <n v="6.35"/>
    <n v="17897"/>
    <x v="0"/>
    <n v="2"/>
    <x v="173"/>
  </r>
  <r>
    <n v="536488"/>
    <n v="21367"/>
    <x v="543"/>
    <n v="1"/>
    <d v="2010-12-01T12:31:00"/>
    <n v="2.5499999999999998"/>
    <n v="17897"/>
    <x v="0"/>
    <n v="1"/>
    <x v="52"/>
  </r>
  <r>
    <n v="536488"/>
    <n v="22376"/>
    <x v="544"/>
    <n v="1"/>
    <d v="2010-12-01T12:31:00"/>
    <n v="4.25"/>
    <n v="17897"/>
    <x v="0"/>
    <n v="1"/>
    <x v="143"/>
  </r>
  <r>
    <n v="536488"/>
    <n v="22961"/>
    <x v="78"/>
    <n v="1"/>
    <d v="2010-12-01T12:31:00"/>
    <n v="1.45"/>
    <n v="17897"/>
    <x v="0"/>
    <n v="1"/>
    <x v="59"/>
  </r>
  <r>
    <n v="536488"/>
    <n v="21895"/>
    <x v="545"/>
    <n v="1"/>
    <d v="2010-12-01T12:31:00"/>
    <n v="4.25"/>
    <n v="17897"/>
    <x v="0"/>
    <n v="1"/>
    <x v="143"/>
  </r>
  <r>
    <n v="536488"/>
    <n v="22468"/>
    <x v="212"/>
    <n v="1"/>
    <d v="2010-12-01T12:31:00"/>
    <n v="6.75"/>
    <n v="17897"/>
    <x v="0"/>
    <n v="1"/>
    <x v="166"/>
  </r>
  <r>
    <n v="536488"/>
    <n v="21034"/>
    <x v="383"/>
    <n v="1"/>
    <d v="2010-12-01T12:31:00"/>
    <n v="0.95"/>
    <n v="17897"/>
    <x v="0"/>
    <n v="1"/>
    <x v="186"/>
  </r>
  <r>
    <n v="536488"/>
    <n v="22372"/>
    <x v="546"/>
    <n v="1"/>
    <d v="2010-12-01T12:31:00"/>
    <n v="4.25"/>
    <n v="17897"/>
    <x v="0"/>
    <n v="1"/>
    <x v="143"/>
  </r>
  <r>
    <n v="536488"/>
    <n v="22867"/>
    <x v="208"/>
    <n v="1"/>
    <d v="2010-12-01T12:31:00"/>
    <n v="2.1"/>
    <n v="17897"/>
    <x v="0"/>
    <n v="1"/>
    <x v="148"/>
  </r>
  <r>
    <n v="536488"/>
    <n v="22144"/>
    <x v="378"/>
    <n v="1"/>
    <d v="2010-12-01T12:31:00"/>
    <n v="2.1"/>
    <n v="17897"/>
    <x v="0"/>
    <n v="1"/>
    <x v="148"/>
  </r>
  <r>
    <n v="536488"/>
    <n v="21190"/>
    <x v="547"/>
    <n v="1"/>
    <d v="2010-12-01T12:31:00"/>
    <n v="1.65"/>
    <n v="17897"/>
    <x v="0"/>
    <n v="1"/>
    <x v="140"/>
  </r>
  <r>
    <n v="536488"/>
    <n v="21894"/>
    <x v="548"/>
    <n v="3"/>
    <d v="2010-12-01T12:31:00"/>
    <n v="1.25"/>
    <n v="17897"/>
    <x v="0"/>
    <n v="3"/>
    <x v="58"/>
  </r>
  <r>
    <n v="536488"/>
    <n v="70007"/>
    <x v="549"/>
    <n v="3"/>
    <d v="2010-12-01T12:31:00"/>
    <n v="1.65"/>
    <n v="17897"/>
    <x v="0"/>
    <n v="3"/>
    <x v="178"/>
  </r>
  <r>
    <n v="536488"/>
    <n v="22940"/>
    <x v="370"/>
    <n v="1"/>
    <d v="2010-12-01T12:31:00"/>
    <n v="4.25"/>
    <n v="17897"/>
    <x v="0"/>
    <n v="1"/>
    <x v="143"/>
  </r>
  <r>
    <n v="536488"/>
    <n v="70007"/>
    <x v="549"/>
    <n v="1"/>
    <d v="2010-12-01T12:31:00"/>
    <n v="1.65"/>
    <n v="17897"/>
    <x v="0"/>
    <n v="1"/>
    <x v="140"/>
  </r>
  <r>
    <n v="536488"/>
    <n v="84347"/>
    <x v="323"/>
    <n v="3"/>
    <d v="2010-12-01T12:31:00"/>
    <n v="2.5499999999999998"/>
    <n v="17897"/>
    <x v="0"/>
    <n v="3"/>
    <x v="150"/>
  </r>
  <r>
    <n v="536488"/>
    <n v="22150"/>
    <x v="186"/>
    <n v="1"/>
    <d v="2010-12-01T12:31:00"/>
    <n v="1.95"/>
    <n v="17897"/>
    <x v="0"/>
    <n v="1"/>
    <x v="54"/>
  </r>
  <r>
    <n v="536488"/>
    <n v="22149"/>
    <x v="408"/>
    <n v="2"/>
    <d v="2010-12-01T12:31:00"/>
    <n v="2.1"/>
    <n v="17897"/>
    <x v="0"/>
    <n v="2"/>
    <x v="48"/>
  </r>
  <r>
    <n v="536488"/>
    <n v="22144"/>
    <x v="378"/>
    <n v="2"/>
    <d v="2010-12-01T12:31:00"/>
    <n v="2.1"/>
    <n v="17897"/>
    <x v="0"/>
    <n v="2"/>
    <x v="48"/>
  </r>
  <r>
    <n v="536500"/>
    <n v="21622"/>
    <x v="155"/>
    <n v="10"/>
    <d v="2010-12-01T12:35:00"/>
    <n v="4.95"/>
    <n v="17377"/>
    <x v="0"/>
    <n v="10"/>
    <x v="221"/>
  </r>
  <r>
    <n v="536500"/>
    <s v="46000M"/>
    <x v="550"/>
    <n v="10"/>
    <d v="2010-12-01T12:35:00"/>
    <n v="1.55"/>
    <n v="17377"/>
    <x v="0"/>
    <n v="10"/>
    <x v="222"/>
  </r>
  <r>
    <n v="536500"/>
    <n v="22630"/>
    <x v="364"/>
    <n v="2"/>
    <d v="2010-12-01T12:35:00"/>
    <n v="1.95"/>
    <n v="17377"/>
    <x v="0"/>
    <n v="2"/>
    <x v="169"/>
  </r>
  <r>
    <n v="536500"/>
    <n v="22616"/>
    <x v="415"/>
    <n v="12"/>
    <d v="2010-12-01T12:35:00"/>
    <n v="0.28999999999999998"/>
    <n v="17377"/>
    <x v="0"/>
    <n v="12"/>
    <x v="177"/>
  </r>
  <r>
    <n v="536500"/>
    <n v="22712"/>
    <x v="551"/>
    <n v="12"/>
    <d v="2010-12-01T12:35:00"/>
    <n v="0.42"/>
    <n v="17377"/>
    <x v="0"/>
    <n v="12"/>
    <x v="96"/>
  </r>
  <r>
    <n v="536500"/>
    <n v="22983"/>
    <x v="552"/>
    <n v="12"/>
    <d v="2010-12-01T12:35:00"/>
    <n v="0.42"/>
    <n v="17377"/>
    <x v="0"/>
    <n v="12"/>
    <x v="96"/>
  </r>
  <r>
    <n v="536500"/>
    <n v="22024"/>
    <x v="553"/>
    <n v="12"/>
    <d v="2010-12-01T12:35:00"/>
    <n v="0.42"/>
    <n v="17377"/>
    <x v="0"/>
    <n v="12"/>
    <x v="96"/>
  </r>
  <r>
    <n v="536500"/>
    <n v="22113"/>
    <x v="443"/>
    <n v="3"/>
    <d v="2010-12-01T12:35:00"/>
    <n v="3.75"/>
    <n v="17377"/>
    <x v="0"/>
    <n v="3"/>
    <x v="187"/>
  </r>
  <r>
    <n v="536500"/>
    <s v="84029E"/>
    <x v="4"/>
    <n v="2"/>
    <d v="2010-12-01T12:35:00"/>
    <n v="3.75"/>
    <n v="17377"/>
    <x v="0"/>
    <n v="2"/>
    <x v="49"/>
  </r>
  <r>
    <n v="536500"/>
    <n v="21488"/>
    <x v="554"/>
    <n v="2"/>
    <d v="2010-12-01T12:35:00"/>
    <n v="3.95"/>
    <n v="17377"/>
    <x v="0"/>
    <n v="2"/>
    <x v="223"/>
  </r>
  <r>
    <n v="536500"/>
    <n v="22900"/>
    <x v="40"/>
    <n v="7"/>
    <d v="2010-12-01T12:35:00"/>
    <n v="2.95"/>
    <n v="17377"/>
    <x v="0"/>
    <n v="7"/>
    <x v="224"/>
  </r>
  <r>
    <n v="536500"/>
    <n v="22895"/>
    <x v="555"/>
    <n v="3"/>
    <d v="2010-12-01T12:35:00"/>
    <n v="2.95"/>
    <n v="17377"/>
    <x v="0"/>
    <n v="3"/>
    <x v="151"/>
  </r>
  <r>
    <n v="536500"/>
    <n v="21035"/>
    <x v="33"/>
    <n v="3"/>
    <d v="2010-12-01T12:35:00"/>
    <n v="2.95"/>
    <n v="17377"/>
    <x v="0"/>
    <n v="3"/>
    <x v="151"/>
  </r>
  <r>
    <n v="536500"/>
    <n v="21755"/>
    <x v="18"/>
    <n v="6"/>
    <d v="2010-12-01T12:35:00"/>
    <n v="5.95"/>
    <n v="17377"/>
    <x v="0"/>
    <n v="6"/>
    <x v="102"/>
  </r>
  <r>
    <n v="536500"/>
    <n v="21754"/>
    <x v="17"/>
    <n v="6"/>
    <d v="2010-12-01T12:35:00"/>
    <n v="5.95"/>
    <n v="17377"/>
    <x v="0"/>
    <n v="6"/>
    <x v="102"/>
  </r>
  <r>
    <n v="536502"/>
    <n v="84879"/>
    <x v="9"/>
    <n v="16"/>
    <d v="2010-12-01T12:36:00"/>
    <n v="1.69"/>
    <n v="16552"/>
    <x v="0"/>
    <n v="16"/>
    <x v="120"/>
  </r>
  <r>
    <n v="536502"/>
    <n v="22784"/>
    <x v="556"/>
    <n v="3"/>
    <d v="2010-12-01T12:36:00"/>
    <n v="4.95"/>
    <n v="16552"/>
    <x v="0"/>
    <n v="3"/>
    <x v="10"/>
  </r>
  <r>
    <n v="536502"/>
    <n v="21441"/>
    <x v="557"/>
    <n v="12"/>
    <d v="2010-12-01T12:36:00"/>
    <n v="0.85"/>
    <n v="16552"/>
    <x v="0"/>
    <n v="12"/>
    <x v="16"/>
  </r>
  <r>
    <n v="536502"/>
    <s v="85123A"/>
    <x v="0"/>
    <n v="6"/>
    <d v="2010-12-01T12:36:00"/>
    <n v="2.95"/>
    <n v="16552"/>
    <x v="0"/>
    <n v="6"/>
    <x v="42"/>
  </r>
  <r>
    <n v="536502"/>
    <n v="22423"/>
    <x v="534"/>
    <n v="2"/>
    <d v="2010-12-01T12:36:00"/>
    <n v="12.75"/>
    <n v="16552"/>
    <x v="0"/>
    <n v="2"/>
    <x v="4"/>
  </r>
  <r>
    <n v="536508"/>
    <n v="84947"/>
    <x v="558"/>
    <n v="72"/>
    <d v="2010-12-01T12:38:00"/>
    <n v="1.06"/>
    <n v="17181"/>
    <x v="0"/>
    <n v="72"/>
    <x v="225"/>
  </r>
  <r>
    <n v="536508"/>
    <n v="21326"/>
    <x v="352"/>
    <n v="144"/>
    <d v="2010-12-01T12:38:00"/>
    <n v="0.55000000000000004"/>
    <n v="17181"/>
    <x v="0"/>
    <n v="144"/>
    <x v="199"/>
  </r>
  <r>
    <s v="C536506"/>
    <n v="22960"/>
    <x v="21"/>
    <n v="-6"/>
    <d v="2010-12-01T12:38:00"/>
    <n v="4.25"/>
    <n v="17897"/>
    <x v="0"/>
    <n v="6"/>
    <x v="4"/>
  </r>
  <r>
    <n v="536514"/>
    <n v="22865"/>
    <x v="198"/>
    <n v="36"/>
    <d v="2010-12-01T12:40:00"/>
    <n v="2.1"/>
    <n v="17951"/>
    <x v="0"/>
    <n v="36"/>
    <x v="226"/>
  </r>
  <r>
    <n v="536514"/>
    <n v="22485"/>
    <x v="559"/>
    <n v="4"/>
    <d v="2010-12-01T12:40:00"/>
    <n v="12.75"/>
    <n v="17951"/>
    <x v="0"/>
    <n v="4"/>
    <x v="98"/>
  </r>
  <r>
    <n v="536514"/>
    <n v="22807"/>
    <x v="435"/>
    <n v="6"/>
    <d v="2010-12-01T12:40:00"/>
    <n v="2.95"/>
    <n v="17951"/>
    <x v="0"/>
    <n v="6"/>
    <x v="42"/>
  </r>
  <r>
    <n v="536514"/>
    <n v="22633"/>
    <x v="7"/>
    <n v="36"/>
    <d v="2010-12-01T12:40:00"/>
    <n v="2.1"/>
    <n v="17951"/>
    <x v="0"/>
    <n v="36"/>
    <x v="226"/>
  </r>
  <r>
    <n v="536514"/>
    <n v="22866"/>
    <x v="197"/>
    <n v="36"/>
    <d v="2010-12-01T12:40:00"/>
    <n v="2.1"/>
    <n v="17951"/>
    <x v="0"/>
    <n v="36"/>
    <x v="226"/>
  </r>
  <r>
    <n v="536520"/>
    <n v="21794"/>
    <x v="560"/>
    <n v="1"/>
    <d v="2010-12-01T12:43:00"/>
    <n v="6.75"/>
    <n v="14729"/>
    <x v="0"/>
    <n v="1"/>
    <x v="166"/>
  </r>
  <r>
    <n v="536520"/>
    <n v="20707"/>
    <x v="561"/>
    <n v="1"/>
    <d v="2010-12-01T12:43:00"/>
    <n v="1.25"/>
    <n v="14729"/>
    <x v="0"/>
    <n v="1"/>
    <x v="50"/>
  </r>
  <r>
    <n v="536520"/>
    <n v="21175"/>
    <x v="92"/>
    <n v="1"/>
    <d v="2010-12-01T12:43:00"/>
    <n v="2.1"/>
    <n v="14729"/>
    <x v="0"/>
    <n v="1"/>
    <x v="148"/>
  </r>
  <r>
    <n v="536520"/>
    <n v="22926"/>
    <x v="117"/>
    <n v="1"/>
    <d v="2010-12-01T12:43:00"/>
    <n v="5.95"/>
    <n v="14729"/>
    <x v="0"/>
    <n v="1"/>
    <x v="142"/>
  </r>
  <r>
    <n v="536520"/>
    <n v="22588"/>
    <x v="562"/>
    <n v="2"/>
    <d v="2010-12-01T12:43:00"/>
    <n v="2.5499999999999998"/>
    <n v="14729"/>
    <x v="0"/>
    <n v="2"/>
    <x v="57"/>
  </r>
  <r>
    <n v="536520"/>
    <n v="21292"/>
    <x v="563"/>
    <n v="16"/>
    <d v="2010-12-01T12:43:00"/>
    <n v="0.85"/>
    <n v="14729"/>
    <x v="0"/>
    <n v="16"/>
    <x v="227"/>
  </r>
  <r>
    <n v="536520"/>
    <n v="21890"/>
    <x v="439"/>
    <n v="1"/>
    <d v="2010-12-01T12:43:00"/>
    <n v="2.95"/>
    <n v="14729"/>
    <x v="0"/>
    <n v="1"/>
    <x v="55"/>
  </r>
  <r>
    <n v="536520"/>
    <n v="22632"/>
    <x v="199"/>
    <n v="4"/>
    <d v="2010-12-01T12:43:00"/>
    <n v="2.1"/>
    <n v="14729"/>
    <x v="0"/>
    <n v="4"/>
    <x v="193"/>
  </r>
  <r>
    <n v="536520"/>
    <n v="22633"/>
    <x v="7"/>
    <n v="3"/>
    <d v="2010-12-01T12:43:00"/>
    <n v="2.1"/>
    <n v="14729"/>
    <x v="0"/>
    <n v="3"/>
    <x v="196"/>
  </r>
  <r>
    <n v="536520"/>
    <n v="22670"/>
    <x v="478"/>
    <n v="1"/>
    <d v="2010-12-01T12:43:00"/>
    <n v="1.25"/>
    <n v="14729"/>
    <x v="0"/>
    <n v="1"/>
    <x v="50"/>
  </r>
  <r>
    <n v="536520"/>
    <n v="21867"/>
    <x v="350"/>
    <n v="1"/>
    <d v="2010-12-01T12:43:00"/>
    <n v="1.25"/>
    <n v="14729"/>
    <x v="0"/>
    <n v="1"/>
    <x v="50"/>
  </r>
  <r>
    <n v="536520"/>
    <n v="22760"/>
    <x v="564"/>
    <n v="1"/>
    <d v="2010-12-01T12:43:00"/>
    <n v="12.75"/>
    <n v="14729"/>
    <x v="0"/>
    <n v="1"/>
    <x v="95"/>
  </r>
  <r>
    <n v="536520"/>
    <n v="22107"/>
    <x v="565"/>
    <n v="2"/>
    <d v="2010-12-01T12:43:00"/>
    <n v="3.75"/>
    <n v="14729"/>
    <x v="0"/>
    <n v="2"/>
    <x v="49"/>
  </r>
  <r>
    <n v="536520"/>
    <n v="22470"/>
    <x v="128"/>
    <n v="1"/>
    <d v="2010-12-01T12:43:00"/>
    <n v="2.95"/>
    <n v="14729"/>
    <x v="0"/>
    <n v="1"/>
    <x v="55"/>
  </r>
  <r>
    <n v="536520"/>
    <n v="21486"/>
    <x v="566"/>
    <n v="1"/>
    <d v="2010-12-01T12:43:00"/>
    <n v="3.75"/>
    <n v="14729"/>
    <x v="0"/>
    <n v="1"/>
    <x v="58"/>
  </r>
  <r>
    <n v="536520"/>
    <n v="22151"/>
    <x v="567"/>
    <n v="14"/>
    <d v="2010-12-01T12:43:00"/>
    <n v="0.42"/>
    <n v="14729"/>
    <x v="0"/>
    <n v="14"/>
    <x v="170"/>
  </r>
  <r>
    <n v="536520"/>
    <n v="22643"/>
    <x v="568"/>
    <n v="4"/>
    <d v="2010-12-01T12:43:00"/>
    <n v="2.5499999999999998"/>
    <n v="14729"/>
    <x v="0"/>
    <n v="4"/>
    <x v="16"/>
  </r>
  <r>
    <n v="536520"/>
    <n v="22642"/>
    <x v="569"/>
    <n v="4"/>
    <d v="2010-12-01T12:43:00"/>
    <n v="2.5499999999999998"/>
    <n v="14729"/>
    <x v="0"/>
    <n v="4"/>
    <x v="16"/>
  </r>
  <r>
    <n v="536520"/>
    <n v="22604"/>
    <x v="570"/>
    <n v="3"/>
    <d v="2010-12-01T12:43:00"/>
    <n v="2.5499999999999998"/>
    <n v="14729"/>
    <x v="0"/>
    <n v="3"/>
    <x v="150"/>
  </r>
  <r>
    <n v="536520"/>
    <n v="22099"/>
    <x v="571"/>
    <n v="2"/>
    <d v="2010-12-01T12:43:00"/>
    <n v="1.25"/>
    <n v="14729"/>
    <x v="0"/>
    <n v="2"/>
    <x v="138"/>
  </r>
  <r>
    <n v="536520"/>
    <n v="22553"/>
    <x v="185"/>
    <n v="1"/>
    <d v="2010-12-01T12:43:00"/>
    <n v="1.65"/>
    <n v="14729"/>
    <x v="0"/>
    <n v="1"/>
    <x v="140"/>
  </r>
  <r>
    <n v="536520"/>
    <n v="22551"/>
    <x v="428"/>
    <n v="1"/>
    <d v="2010-12-01T12:43:00"/>
    <n v="1.65"/>
    <n v="14729"/>
    <x v="0"/>
    <n v="1"/>
    <x v="140"/>
  </r>
  <r>
    <n v="536520"/>
    <n v="22653"/>
    <x v="572"/>
    <n v="1"/>
    <d v="2010-12-01T12:43:00"/>
    <n v="1.95"/>
    <n v="14729"/>
    <x v="0"/>
    <n v="1"/>
    <x v="54"/>
  </r>
  <r>
    <n v="536520"/>
    <n v="22557"/>
    <x v="184"/>
    <n v="2"/>
    <d v="2010-12-01T12:43:00"/>
    <n v="1.65"/>
    <n v="14729"/>
    <x v="0"/>
    <n v="2"/>
    <x v="64"/>
  </r>
  <r>
    <n v="536520"/>
    <n v="22906"/>
    <x v="573"/>
    <n v="6"/>
    <d v="2010-12-01T12:43:00"/>
    <n v="1.65"/>
    <n v="14729"/>
    <x v="0"/>
    <n v="6"/>
    <x v="9"/>
  </r>
  <r>
    <n v="536520"/>
    <n v="22754"/>
    <x v="574"/>
    <n v="1"/>
    <d v="2010-12-01T12:43:00"/>
    <n v="0.85"/>
    <n v="14729"/>
    <x v="0"/>
    <n v="1"/>
    <x v="51"/>
  </r>
  <r>
    <n v="536520"/>
    <n v="22938"/>
    <x v="437"/>
    <n v="5"/>
    <d v="2010-12-01T12:43:00"/>
    <n v="1.95"/>
    <n v="14729"/>
    <x v="0"/>
    <n v="5"/>
    <x v="228"/>
  </r>
  <r>
    <n v="536520"/>
    <n v="22812"/>
    <x v="322"/>
    <n v="3"/>
    <d v="2010-12-01T12:43:00"/>
    <n v="1.95"/>
    <n v="14729"/>
    <x v="0"/>
    <n v="3"/>
    <x v="195"/>
  </r>
  <r>
    <n v="536520"/>
    <n v="22919"/>
    <x v="575"/>
    <n v="2"/>
    <d v="2010-12-01T12:43:00"/>
    <n v="0.65"/>
    <n v="14729"/>
    <x v="0"/>
    <n v="2"/>
    <x v="229"/>
  </r>
  <r>
    <n v="536520"/>
    <n v="22917"/>
    <x v="576"/>
    <n v="1"/>
    <d v="2010-12-01T12:43:00"/>
    <n v="0.65"/>
    <n v="14729"/>
    <x v="0"/>
    <n v="1"/>
    <x v="230"/>
  </r>
  <r>
    <n v="536520"/>
    <n v="22920"/>
    <x v="577"/>
    <n v="3"/>
    <d v="2010-12-01T12:43:00"/>
    <n v="0.65"/>
    <n v="14729"/>
    <x v="0"/>
    <n v="3"/>
    <x v="231"/>
  </r>
  <r>
    <n v="536520"/>
    <n v="22921"/>
    <x v="578"/>
    <n v="2"/>
    <d v="2010-12-01T12:43:00"/>
    <n v="0.65"/>
    <n v="14729"/>
    <x v="0"/>
    <n v="2"/>
    <x v="229"/>
  </r>
  <r>
    <n v="536520"/>
    <n v="22918"/>
    <x v="579"/>
    <n v="2"/>
    <d v="2010-12-01T12:43:00"/>
    <n v="0.65"/>
    <n v="14729"/>
    <x v="0"/>
    <n v="2"/>
    <x v="229"/>
  </r>
  <r>
    <n v="536520"/>
    <n v="22916"/>
    <x v="580"/>
    <n v="1"/>
    <d v="2010-12-01T12:43:00"/>
    <n v="0.65"/>
    <n v="14729"/>
    <x v="0"/>
    <n v="1"/>
    <x v="230"/>
  </r>
  <r>
    <n v="536520"/>
    <s v="85123A"/>
    <x v="0"/>
    <n v="3"/>
    <d v="2010-12-01T12:43:00"/>
    <n v="2.95"/>
    <n v="14729"/>
    <x v="0"/>
    <n v="3"/>
    <x v="151"/>
  </r>
  <r>
    <n v="536520"/>
    <n v="22575"/>
    <x v="581"/>
    <n v="1"/>
    <d v="2010-12-01T12:43:00"/>
    <n v="1.95"/>
    <n v="14729"/>
    <x v="0"/>
    <n v="1"/>
    <x v="54"/>
  </r>
  <r>
    <n v="536520"/>
    <n v="21804"/>
    <x v="582"/>
    <n v="3"/>
    <d v="2010-12-01T12:43:00"/>
    <n v="3.75"/>
    <n v="14729"/>
    <x v="0"/>
    <n v="3"/>
    <x v="187"/>
  </r>
  <r>
    <n v="536520"/>
    <n v="21584"/>
    <x v="515"/>
    <n v="12"/>
    <d v="2010-12-01T12:43:00"/>
    <n v="1.65"/>
    <n v="14729"/>
    <x v="0"/>
    <n v="12"/>
    <x v="69"/>
  </r>
  <r>
    <n v="536520"/>
    <n v="21588"/>
    <x v="583"/>
    <n v="3"/>
    <d v="2010-12-01T12:43:00"/>
    <n v="2.5499999999999998"/>
    <n v="14729"/>
    <x v="0"/>
    <n v="3"/>
    <x v="150"/>
  </r>
  <r>
    <n v="536520"/>
    <n v="22152"/>
    <x v="476"/>
    <n v="12"/>
    <d v="2010-12-01T12:43:00"/>
    <n v="0.42"/>
    <n v="14729"/>
    <x v="0"/>
    <n v="12"/>
    <x v="96"/>
  </r>
  <r>
    <n v="536520"/>
    <n v="22441"/>
    <x v="247"/>
    <n v="1"/>
    <d v="2010-12-01T12:43:00"/>
    <n v="2.1"/>
    <n v="14729"/>
    <x v="0"/>
    <n v="1"/>
    <x v="148"/>
  </r>
  <r>
    <n v="536520"/>
    <n v="22955"/>
    <x v="584"/>
    <n v="2"/>
    <d v="2010-12-01T12:43:00"/>
    <n v="2.1"/>
    <n v="14729"/>
    <x v="0"/>
    <n v="2"/>
    <x v="48"/>
  </r>
  <r>
    <n v="536520"/>
    <n v="22956"/>
    <x v="517"/>
    <n v="2"/>
    <d v="2010-12-01T12:43:00"/>
    <n v="2.1"/>
    <n v="14729"/>
    <x v="0"/>
    <n v="2"/>
    <x v="48"/>
  </r>
  <r>
    <n v="536520"/>
    <n v="22582"/>
    <x v="518"/>
    <n v="2"/>
    <d v="2010-12-01T12:43:00"/>
    <n v="2.5499999999999998"/>
    <n v="14729"/>
    <x v="0"/>
    <n v="2"/>
    <x v="57"/>
  </r>
  <r>
    <n v="536520"/>
    <n v="22583"/>
    <x v="585"/>
    <n v="3"/>
    <d v="2010-12-01T12:43:00"/>
    <n v="2.5499999999999998"/>
    <n v="14729"/>
    <x v="0"/>
    <n v="3"/>
    <x v="150"/>
  </r>
  <r>
    <n v="536520"/>
    <n v="22241"/>
    <x v="586"/>
    <n v="2"/>
    <d v="2010-12-01T12:43:00"/>
    <n v="1.25"/>
    <n v="14729"/>
    <x v="0"/>
    <n v="2"/>
    <x v="138"/>
  </r>
  <r>
    <n v="536520"/>
    <n v="22904"/>
    <x v="587"/>
    <n v="3"/>
    <d v="2010-12-01T12:43:00"/>
    <n v="2.95"/>
    <n v="14729"/>
    <x v="0"/>
    <n v="3"/>
    <x v="151"/>
  </r>
  <r>
    <n v="536520"/>
    <n v="22905"/>
    <x v="588"/>
    <n v="2"/>
    <d v="2010-12-01T12:43:00"/>
    <n v="2.95"/>
    <n v="14729"/>
    <x v="0"/>
    <n v="2"/>
    <x v="61"/>
  </r>
  <r>
    <n v="536520"/>
    <n v="22197"/>
    <x v="170"/>
    <n v="3"/>
    <d v="2010-12-01T12:43:00"/>
    <n v="0.85"/>
    <n v="14729"/>
    <x v="0"/>
    <n v="3"/>
    <x v="52"/>
  </r>
  <r>
    <n v="536520"/>
    <n v="22092"/>
    <x v="589"/>
    <n v="1"/>
    <d v="2010-12-01T12:43:00"/>
    <n v="1.25"/>
    <n v="14729"/>
    <x v="0"/>
    <n v="1"/>
    <x v="50"/>
  </r>
  <r>
    <n v="536520"/>
    <n v="22469"/>
    <x v="127"/>
    <n v="1"/>
    <d v="2010-12-01T12:43:00"/>
    <n v="1.65"/>
    <n v="14729"/>
    <x v="0"/>
    <n v="1"/>
    <x v="140"/>
  </r>
  <r>
    <n v="536520"/>
    <n v="22100"/>
    <x v="223"/>
    <n v="1"/>
    <d v="2010-12-01T12:43:00"/>
    <n v="1.25"/>
    <n v="14729"/>
    <x v="0"/>
    <n v="1"/>
    <x v="50"/>
  </r>
  <r>
    <n v="536520"/>
    <n v="22096"/>
    <x v="590"/>
    <n v="1"/>
    <d v="2010-12-01T12:43:00"/>
    <n v="1.25"/>
    <n v="14729"/>
    <x v="0"/>
    <n v="1"/>
    <x v="50"/>
  </r>
  <r>
    <n v="536520"/>
    <n v="22583"/>
    <x v="585"/>
    <n v="1"/>
    <d v="2010-12-01T12:43:00"/>
    <n v="2.5499999999999998"/>
    <n v="14729"/>
    <x v="0"/>
    <n v="1"/>
    <x v="52"/>
  </r>
  <r>
    <n v="536520"/>
    <n v="21358"/>
    <x v="591"/>
    <n v="2"/>
    <d v="2010-12-01T12:43:00"/>
    <n v="1.25"/>
    <n v="14729"/>
    <x v="0"/>
    <n v="2"/>
    <x v="138"/>
  </r>
  <r>
    <n v="536520"/>
    <n v="21123"/>
    <x v="592"/>
    <n v="1"/>
    <d v="2010-12-01T12:43:00"/>
    <n v="1.25"/>
    <n v="14729"/>
    <x v="0"/>
    <n v="1"/>
    <x v="50"/>
  </r>
  <r>
    <n v="536520"/>
    <n v="21124"/>
    <x v="501"/>
    <n v="1"/>
    <d v="2010-12-01T12:43:00"/>
    <n v="1.25"/>
    <n v="14729"/>
    <x v="0"/>
    <n v="1"/>
    <x v="50"/>
  </r>
  <r>
    <n v="536520"/>
    <n v="21122"/>
    <x v="248"/>
    <n v="1"/>
    <d v="2010-12-01T12:43:00"/>
    <n v="1.25"/>
    <n v="14729"/>
    <x v="0"/>
    <n v="1"/>
    <x v="50"/>
  </r>
  <r>
    <n v="536520"/>
    <n v="84378"/>
    <x v="288"/>
    <n v="1"/>
    <d v="2010-12-01T12:43:00"/>
    <n v="1.25"/>
    <n v="14729"/>
    <x v="0"/>
    <n v="1"/>
    <x v="50"/>
  </r>
  <r>
    <n v="536520"/>
    <n v="21985"/>
    <x v="497"/>
    <n v="12"/>
    <d v="2010-12-01T12:43:00"/>
    <n v="0.28999999999999998"/>
    <n v="14729"/>
    <x v="0"/>
    <n v="12"/>
    <x v="177"/>
  </r>
  <r>
    <n v="536520"/>
    <n v="21427"/>
    <x v="593"/>
    <n v="2"/>
    <d v="2010-12-01T12:43:00"/>
    <n v="2.1"/>
    <n v="14729"/>
    <x v="0"/>
    <n v="2"/>
    <x v="48"/>
  </r>
  <r>
    <n v="536520"/>
    <n v="21034"/>
    <x v="383"/>
    <n v="2"/>
    <d v="2010-12-01T12:43:00"/>
    <n v="0.95"/>
    <n v="14729"/>
    <x v="0"/>
    <n v="2"/>
    <x v="232"/>
  </r>
  <r>
    <n v="536520"/>
    <n v="21930"/>
    <x v="594"/>
    <n v="1"/>
    <d v="2010-12-01T12:43:00"/>
    <n v="1.95"/>
    <n v="14729"/>
    <x v="0"/>
    <n v="1"/>
    <x v="54"/>
  </r>
  <r>
    <n v="536520"/>
    <n v="20772"/>
    <x v="595"/>
    <n v="1"/>
    <d v="2010-12-01T12:43:00"/>
    <n v="2.5499999999999998"/>
    <n v="14729"/>
    <x v="0"/>
    <n v="1"/>
    <x v="52"/>
  </r>
  <r>
    <n v="536520"/>
    <n v="22469"/>
    <x v="127"/>
    <n v="2"/>
    <d v="2010-12-01T12:43:00"/>
    <n v="1.65"/>
    <n v="14729"/>
    <x v="0"/>
    <n v="2"/>
    <x v="64"/>
  </r>
  <r>
    <n v="536520"/>
    <s v="71406C"/>
    <x v="596"/>
    <n v="12"/>
    <d v="2010-12-01T12:43:00"/>
    <n v="0.42"/>
    <n v="14729"/>
    <x v="0"/>
    <n v="12"/>
    <x v="96"/>
  </r>
  <r>
    <n v="536520"/>
    <s v="84985A"/>
    <x v="597"/>
    <n v="1"/>
    <d v="2010-12-01T12:43:00"/>
    <n v="1.45"/>
    <n v="14729"/>
    <x v="0"/>
    <n v="1"/>
    <x v="59"/>
  </r>
  <r>
    <n v="536520"/>
    <n v="20754"/>
    <x v="598"/>
    <n v="1"/>
    <d v="2010-12-01T12:43:00"/>
    <n v="2.1"/>
    <n v="14729"/>
    <x v="0"/>
    <n v="1"/>
    <x v="148"/>
  </r>
  <r>
    <n v="536520"/>
    <s v="84596E"/>
    <x v="599"/>
    <n v="1"/>
    <d v="2010-12-01T12:43:00"/>
    <n v="1.25"/>
    <n v="14729"/>
    <x v="0"/>
    <n v="1"/>
    <x v="50"/>
  </r>
  <r>
    <n v="536520"/>
    <n v="21111"/>
    <x v="600"/>
    <n v="1"/>
    <d v="2010-12-01T12:43:00"/>
    <n v="2.95"/>
    <n v="14729"/>
    <x v="0"/>
    <n v="1"/>
    <x v="55"/>
  </r>
  <r>
    <n v="536520"/>
    <n v="22501"/>
    <x v="601"/>
    <n v="1"/>
    <d v="2010-12-01T12:43:00"/>
    <n v="9.9499999999999993"/>
    <n v="14729"/>
    <x v="0"/>
    <n v="1"/>
    <x v="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704C68-BE3B-4763-ACB9-9B3C70DEDCCB}"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fieldListSortAscending="1">
  <location ref="E3:G4" firstHeaderRow="0" firstDataRow="1" firstDataCol="1"/>
  <pivotFields count="10">
    <pivotField showAll="0"/>
    <pivotField showAll="0"/>
    <pivotField showAll="0">
      <items count="603">
        <item h="1" x="40"/>
        <item h="1" x="306"/>
        <item h="1" x="375"/>
        <item h="1" x="573"/>
        <item h="1" x="300"/>
        <item h="1" x="289"/>
        <item h="1" x="186"/>
        <item h="1" x="118"/>
        <item h="1" x="119"/>
        <item h="1" x="517"/>
        <item h="1" x="584"/>
        <item h="1" x="531"/>
        <item h="1" x="532"/>
        <item h="1" x="516"/>
        <item h="1" x="537"/>
        <item h="1" x="466"/>
        <item h="1" x="325"/>
        <item h="1" x="153"/>
        <item h="1" x="376"/>
        <item h="1" x="327"/>
        <item h="1" x="351"/>
        <item h="1" x="374"/>
        <item h="1" x="354"/>
        <item h="1" x="421"/>
        <item h="1" x="396"/>
        <item h="1" x="72"/>
        <item h="1" x="292"/>
        <item h="1" x="403"/>
        <item h="1" x="352"/>
        <item h="1" x="544"/>
        <item h="1" x="318"/>
        <item h="1" x="546"/>
        <item h="1" x="82"/>
        <item h="1" x="28"/>
        <item h="1" x="206"/>
        <item h="1" x="207"/>
        <item h="1" x="26"/>
        <item h="1" x="27"/>
        <item h="1" x="359"/>
        <item h="1" x="116"/>
        <item h="1" x="558"/>
        <item h="1" x="254"/>
        <item h="1" x="148"/>
        <item h="1" x="9"/>
        <item h="1" x="264"/>
        <item h="1" x="212"/>
        <item h="1" x="326"/>
        <item h="1" x="107"/>
        <item h="1" x="229"/>
        <item h="1" x="25"/>
        <item h="1" x="242"/>
        <item h="1" x="409"/>
        <item h="1" x="221"/>
        <item h="1" x="332"/>
        <item h="1" x="488"/>
        <item h="1" x="204"/>
        <item h="1" x="347"/>
        <item h="1" x="596"/>
        <item h="1" x="256"/>
        <item h="1" x="529"/>
        <item h="1" x="486"/>
        <item h="1" x="158"/>
        <item h="1" x="64"/>
        <item h="1" x="557"/>
        <item h="1" x="24"/>
        <item h="1" x="160"/>
        <item h="1" x="278"/>
        <item h="1" x="481"/>
        <item h="1" x="302"/>
        <item h="1" x="269"/>
        <item h="1" x="106"/>
        <item h="1" x="469"/>
        <item h="1" x="589"/>
        <item h="1" x="366"/>
        <item h="1" x="512"/>
        <item h="1" x="491"/>
        <item h="1" x="353"/>
        <item h="1" x="222"/>
        <item h="1" x="14"/>
        <item h="1" x="16"/>
        <item h="1" x="15"/>
        <item h="1" x="441"/>
        <item h="1" x="272"/>
        <item h="1" x="282"/>
        <item h="1" x="572"/>
        <item h="1" x="344"/>
        <item h="1" x="588"/>
        <item h="1" x="587"/>
        <item h="1" x="263"/>
        <item h="1" x="571"/>
        <item h="1" x="552"/>
        <item h="1" x="321"/>
        <item h="1" x="316"/>
        <item h="1" x="551"/>
        <item h="1" x="562"/>
        <item h="1" x="541"/>
        <item h="1" x="100"/>
        <item h="1" x="450"/>
        <item h="1" x="451"/>
        <item h="1" x="105"/>
        <item h="1" x="457"/>
        <item h="1" x="449"/>
        <item h="1" x="74"/>
        <item h="1" x="433"/>
        <item h="1" x="38"/>
        <item h="1" x="183"/>
        <item h="1" x="417"/>
        <item h="1" x="418"/>
        <item h="1" x="330"/>
        <item h="1" x="141"/>
        <item h="1" x="283"/>
        <item h="1" x="113"/>
        <item h="1" x="218"/>
        <item h="1" x="378"/>
        <item h="1" x="377"/>
        <item h="1" x="460"/>
        <item h="1" x="527"/>
        <item h="1" x="412"/>
        <item h="1" x="411"/>
        <item h="1" x="410"/>
        <item h="1" x="343"/>
        <item h="1" x="154"/>
        <item h="1" x="419"/>
        <item h="1" x="503"/>
        <item h="1" x="510"/>
        <item h="1" x="504"/>
        <item h="1" x="470"/>
        <item h="1" x="519"/>
        <item h="1" x="37"/>
        <item h="1" x="560"/>
        <item h="1" x="130"/>
        <item h="1" x="458"/>
        <item h="1" x="338"/>
        <item h="1" x="85"/>
        <item h="1" x="201"/>
        <item h="1" x="123"/>
        <item h="1" x="465"/>
        <item h="1" x="91"/>
        <item h="1" x="474"/>
        <item h="1" x="461"/>
        <item h="1" x="261"/>
        <item h="1" x="373"/>
        <item h="1" x="379"/>
        <item h="1" x="561"/>
        <item h="1" x="2"/>
        <item h="1" x="131"/>
        <item h="1" x="437"/>
        <item h="1" x="175"/>
        <item h="1" x="487"/>
        <item h="1" x="490"/>
        <item h="1" x="489"/>
        <item h="1" x="524"/>
        <item h="1" x="169"/>
        <item h="1" x="237"/>
        <item h="1" x="111"/>
        <item h="1" x="200"/>
        <item h="1" x="364"/>
        <item h="1" x="526"/>
        <item h="1" x="213"/>
        <item h="1" x="110"/>
        <item h="1" x="312"/>
        <item h="1" x="20"/>
        <item h="1" x="311"/>
        <item h="1" x="241"/>
        <item h="1" x="339"/>
        <item h="1" x="452"/>
        <item h="1" x="103"/>
        <item h="1" x="104"/>
        <item h="1" x="47"/>
        <item h="1" x="134"/>
        <item h="1" x="133"/>
        <item h="1" x="132"/>
        <item h="1" x="177"/>
        <item h="1" x="271"/>
        <item h="1" x="479"/>
        <item h="1" x="144"/>
        <item h="1" x="235"/>
        <item h="1" x="196"/>
        <item h="1" x="447"/>
        <item h="1" x="87"/>
        <item h="1" x="98"/>
        <item h="1" x="408"/>
        <item h="1" x="404"/>
        <item h="1" x="370"/>
        <item h="1" x="385"/>
        <item h="1" x="331"/>
        <item h="1" x="384"/>
        <item h="1" x="381"/>
        <item h="1" x="369"/>
        <item h="1" x="380"/>
        <item h="1" x="425"/>
        <item h="1" x="424"/>
        <item h="1" x="426"/>
        <item h="1" x="12"/>
        <item h="1" x="414"/>
        <item h="1" x="382"/>
        <item h="1" x="495"/>
        <item h="1" x="147"/>
        <item h="1" x="346"/>
        <item h="1" x="388"/>
        <item h="1" x="387"/>
        <item h="1" x="391"/>
        <item h="1" x="389"/>
        <item h="1" x="478"/>
        <item h="1" x="151"/>
        <item h="1" x="149"/>
        <item h="1" x="341"/>
        <item h="1" x="595"/>
        <item h="1" x="586"/>
        <item h="1" x="540"/>
        <item h="1" x="92"/>
        <item h="1" x="146"/>
        <item h="1" x="442"/>
        <item h="1" x="80"/>
        <item h="1" x="108"/>
        <item h="1" x="6"/>
        <item h="1" x="277"/>
        <item h="1" x="468"/>
        <item h="1" x="480"/>
        <item h="1" x="365"/>
        <item h="1" x="443"/>
        <item h="1" x="247"/>
        <item h="1" x="268"/>
        <item h="1" x="109"/>
        <item h="1" x="202"/>
        <item h="1" x="422"/>
        <item h="1" x="208"/>
        <item h="1" x="198"/>
        <item h="1" x="8"/>
        <item h="1" x="199"/>
        <item h="1" x="197"/>
        <item h="1" x="7"/>
        <item h="1" x="473"/>
        <item h="1" x="167"/>
        <item h="1" x="125"/>
        <item h="1" x="124"/>
        <item h="1" x="309"/>
        <item h="1" x="463"/>
        <item h="1" x="498"/>
        <item h="1" x="296"/>
        <item h="1" x="275"/>
        <item h="1" x="128"/>
        <item h="1" x="127"/>
        <item h="1" x="506"/>
        <item h="1" x="577"/>
        <item h="1" x="578"/>
        <item h="1" x="575"/>
        <item h="1" x="579"/>
        <item h="1" x="576"/>
        <item h="1" x="580"/>
        <item h="1" x="549"/>
        <item h="1" x="17"/>
        <item h="1" x="145"/>
        <item h="1" x="150"/>
        <item h="1" x="274"/>
        <item h="1" x="217"/>
        <item h="1" x="57"/>
        <item h="1" x="459"/>
        <item h="1" x="246"/>
        <item h="1" x="31"/>
        <item h="1" x="161"/>
        <item h="1" x="209"/>
        <item h="1" x="117"/>
        <item h="1" x="13"/>
        <item h="1" x="165"/>
        <item h="1" x="164"/>
        <item h="1" x="78"/>
        <item h="1" x="21"/>
        <item h="1" x="262"/>
        <item h="1" x="60"/>
        <item h="1" x="61"/>
        <item h="1" x="135"/>
        <item h="1" x="355"/>
        <item h="1" x="59"/>
        <item h="1" x="77"/>
        <item h="1" x="140"/>
        <item h="1" x="360"/>
        <item h="1" x="81"/>
        <item h="1" x="594"/>
        <item h="1" x="76"/>
        <item h="1" x="445"/>
        <item h="1" x="475"/>
        <item h="1" x="444"/>
        <item h="1" x="243"/>
        <item h="1" x="3"/>
        <item h="1" x="239"/>
        <item h="1" x="556"/>
        <item h="1" x="471"/>
        <item h="1" x="162"/>
        <item h="1" x="171"/>
        <item h="1" x="230"/>
        <item h="1" x="142"/>
        <item h="1" x="18"/>
        <item h="1" x="314"/>
        <item h="1" x="295"/>
        <item h="1" x="294"/>
        <item h="1" x="138"/>
        <item h="1" x="267"/>
        <item h="1" x="66"/>
        <item h="1" x="265"/>
        <item h="1" x="293"/>
        <item h="1" x="266"/>
        <item h="1" x="36"/>
        <item h="1" x="68"/>
        <item h="1" x="299"/>
        <item h="1" x="342"/>
        <item h="1" x="298"/>
        <item h="1" x="432"/>
        <item h="1" x="431"/>
        <item h="1" x="430"/>
        <item h="1" x="496"/>
        <item h="1" x="523"/>
        <item h="1" x="581"/>
        <item h="1" x="446"/>
        <item h="1" x="240"/>
        <item h="1" x="245"/>
        <item h="1" x="507"/>
        <item h="1" x="42"/>
        <item h="1" x="43"/>
        <item h="1" x="44"/>
        <item h="1" x="236"/>
        <item h="1" x="542"/>
        <item h="1" x="543"/>
        <item h="1" x="456"/>
        <item h="1" x="126"/>
        <item h="1" x="313"/>
        <item h="1" x="528"/>
        <item h="1" x="520"/>
        <item h="1" x="137"/>
        <item h="1" x="356"/>
        <item h="1" x="304"/>
        <item h="1" x="322"/>
        <item h="1" x="181"/>
        <item h="1" x="497"/>
        <item h="1" x="415"/>
        <item h="1" x="180"/>
        <item h="1" x="413"/>
        <item h="1" x="182"/>
        <item h="1" x="448"/>
        <item h="1" x="585"/>
        <item h="1" x="518"/>
        <item h="1" x="70"/>
        <item h="1" x="420"/>
        <item h="1" x="71"/>
        <item h="1" x="291"/>
        <item h="1" x="69"/>
        <item h="1" x="290"/>
        <item h="1" x="358"/>
        <item h="1" x="357"/>
        <item h="1" x="345"/>
        <item h="1" x="29"/>
        <item h="1" x="539"/>
        <item h="1" x="46"/>
        <item h="1" x="95"/>
        <item h="1" x="168"/>
        <item x="405"/>
        <item h="1" x="192"/>
        <item h="1" x="191"/>
        <item h="1" x="284"/>
        <item h="1" x="285"/>
        <item h="1" x="286"/>
        <item h="1" x="348"/>
        <item h="1" x="315"/>
        <item h="1" x="86"/>
        <item h="1" x="178"/>
        <item h="1" x="224"/>
        <item h="1" x="601"/>
        <item h="1" x="193"/>
        <item h="1" x="226"/>
        <item h="1" x="88"/>
        <item h="1" x="368"/>
        <item h="1" x="349"/>
        <item h="1" x="94"/>
        <item h="1" x="215"/>
        <item h="1" x="276"/>
        <item h="1" x="566"/>
        <item h="1" x="547"/>
        <item h="1" x="270"/>
        <item h="1" x="259"/>
        <item h="1" x="590"/>
        <item h="1" x="492"/>
        <item h="1" x="350"/>
        <item h="1" x="565"/>
        <item h="1" x="567"/>
        <item h="1" x="476"/>
        <item h="1" x="179"/>
        <item h="1" x="185"/>
        <item h="1" x="428"/>
        <item h="1" x="184"/>
        <item h="1" x="429"/>
        <item h="1" x="174"/>
        <item h="1" x="550"/>
        <item h="1" x="10"/>
        <item h="1" x="11"/>
        <item h="1" x="45"/>
        <item h="1" x="548"/>
        <item h="1" x="545"/>
        <item h="1" x="416"/>
        <item h="1" x="493"/>
        <item h="1" x="553"/>
        <item h="1" x="19"/>
        <item h="1" x="530"/>
        <item h="1" x="114"/>
        <item h="1" x="301"/>
        <item h="1" x="63"/>
        <item h="1" x="75"/>
        <item h="1" x="22"/>
        <item h="1" x="159"/>
        <item h="1" x="84"/>
        <item h="1" x="337"/>
        <item h="1" x="58"/>
        <item h="1" x="336"/>
        <item h="1" x="440"/>
        <item h="1" x="394"/>
        <item h="1" x="211"/>
        <item h="1" x="455"/>
        <item h="1" x="367"/>
        <item h="1" x="372"/>
        <item h="1" x="157"/>
        <item h="1" x="401"/>
        <item h="1" x="462"/>
        <item h="1" x="39"/>
        <item h="1" x="554"/>
        <item h="1" x="4"/>
        <item h="1" x="534"/>
        <item h="1" x="48"/>
        <item h="1" x="536"/>
        <item h="1" x="453"/>
        <item h="1" x="464"/>
        <item h="1" x="260"/>
        <item h="1" x="583"/>
        <item h="1" x="176"/>
        <item h="1" x="195"/>
        <item h="1" x="101"/>
        <item h="1" x="514"/>
        <item h="1" x="598"/>
        <item h="1" x="515"/>
        <item h="1" x="79"/>
        <item h="1" x="383"/>
        <item h="1" x="494"/>
        <item h="1" x="397"/>
        <item h="1" x="324"/>
        <item h="1" x="398"/>
        <item h="1" x="502"/>
        <item h="1" x="521"/>
        <item h="1" x="533"/>
        <item h="1" x="281"/>
        <item h="1" x="152"/>
        <item h="1" x="166"/>
        <item h="1" x="436"/>
        <item h="1" x="323"/>
        <item h="1" x="362"/>
        <item h="1" x="363"/>
        <item h="1" x="34"/>
        <item h="1" x="190"/>
        <item h="1" x="477"/>
        <item h="1" x="392"/>
        <item h="1" x="227"/>
        <item h="1" x="439"/>
        <item h="1" x="253"/>
        <item h="1" x="538"/>
        <item h="1" x="49"/>
        <item h="1" x="228"/>
        <item h="1" x="220"/>
        <item h="1" x="390"/>
        <item h="1" x="334"/>
        <item h="1" x="423"/>
        <item h="1" x="249"/>
        <item h="1" x="120"/>
        <item h="1" x="279"/>
        <item h="1" x="5"/>
        <item h="1" x="555"/>
        <item h="1" x="522"/>
        <item h="1" x="559"/>
        <item h="1" x="305"/>
        <item h="1" x="399"/>
        <item h="1" x="210"/>
        <item h="1" x="287"/>
        <item h="1" x="121"/>
        <item h="1" x="156"/>
        <item h="1" x="288"/>
        <item h="1" x="371"/>
        <item h="1" x="233"/>
        <item h="1" x="232"/>
        <item h="1" x="570"/>
        <item h="1" x="568"/>
        <item h="1" x="569"/>
        <item h="1" x="102"/>
        <item h="1" x="280"/>
        <item h="1" x="187"/>
        <item h="1" x="251"/>
        <item h="1" x="250"/>
        <item h="1" x="435"/>
        <item h="1" x="597"/>
        <item h="1" x="319"/>
        <item h="1" x="252"/>
        <item h="1" x="501"/>
        <item h="1" x="592"/>
        <item h="1" x="248"/>
        <item h="1" x="484"/>
        <item h="1" x="33"/>
        <item h="1" x="172"/>
        <item h="1" x="297"/>
        <item h="1" x="173"/>
        <item h="1" x="65"/>
        <item h="1" x="511"/>
        <item h="1" x="216"/>
        <item h="1" x="225"/>
        <item h="1" x="310"/>
        <item h="1" x="238"/>
        <item h="1" x="308"/>
        <item h="1" x="89"/>
        <item h="1" x="303"/>
        <item h="1" x="223"/>
        <item h="1" x="593"/>
        <item h="1" x="525"/>
        <item h="1" x="320"/>
        <item h="1" x="472"/>
        <item h="1" x="205"/>
        <item h="1" x="96"/>
        <item h="1" x="163"/>
        <item h="1" x="599"/>
        <item h="1" x="170"/>
        <item h="1" x="574"/>
        <item h="1" x="563"/>
        <item h="1" x="258"/>
        <item h="1" x="393"/>
        <item h="1" x="329"/>
        <item h="1" x="35"/>
        <item h="1" x="328"/>
        <item h="1" x="505"/>
        <item h="1" x="194"/>
        <item h="1" x="257"/>
        <item h="1" x="508"/>
        <item h="1" x="30"/>
        <item h="1" x="255"/>
        <item h="1" x="214"/>
        <item h="1" x="62"/>
        <item h="1" x="67"/>
        <item h="1" x="361"/>
        <item h="1" x="454"/>
        <item h="1" x="499"/>
        <item h="1" x="600"/>
        <item h="1" x="97"/>
        <item h="1" x="273"/>
        <item h="1" x="513"/>
        <item h="1" x="591"/>
        <item h="1" x="244"/>
        <item h="1" x="73"/>
        <item h="1" x="386"/>
        <item h="1" x="333"/>
        <item h="1" x="115"/>
        <item h="1" x="136"/>
        <item h="1" x="438"/>
        <item h="1" x="188"/>
        <item h="1" x="203"/>
        <item h="1" x="564"/>
        <item h="1" x="234"/>
        <item h="1" x="400"/>
        <item h="1" x="427"/>
        <item h="1" x="231"/>
        <item h="1" x="335"/>
        <item h="1" x="434"/>
        <item h="1" x="340"/>
        <item h="1" x="307"/>
        <item h="1" x="56"/>
        <item h="1" x="483"/>
        <item h="1" x="482"/>
        <item h="1" x="50"/>
        <item h="1" x="51"/>
        <item h="1" x="32"/>
        <item h="1" x="500"/>
        <item h="1" x="41"/>
        <item h="1" x="112"/>
        <item h="1" x="407"/>
        <item h="1" x="535"/>
        <item h="1" x="155"/>
        <item h="1" x="485"/>
        <item h="1" x="582"/>
        <item h="1" x="0"/>
        <item h="1" x="129"/>
        <item h="1" x="1"/>
        <item h="1" x="219"/>
        <item h="1" x="83"/>
        <item h="1" x="139"/>
        <item h="1" x="406"/>
        <item h="1" x="402"/>
        <item h="1" x="52"/>
        <item h="1" x="122"/>
        <item h="1" x="53"/>
        <item h="1" x="189"/>
        <item h="1" x="55"/>
        <item h="1" x="509"/>
        <item h="1" x="143"/>
        <item h="1" x="54"/>
        <item h="1" x="317"/>
        <item h="1" x="93"/>
        <item h="1" x="23"/>
        <item h="1" x="90"/>
        <item h="1" x="467"/>
        <item h="1" x="99"/>
        <item h="1" x="395"/>
        <item t="default"/>
      </items>
    </pivotField>
    <pivotField showAll="0"/>
    <pivotField numFmtId="22" showAll="0"/>
    <pivotField dataField="1"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dataField="1" showAll="0">
      <items count="234">
        <item x="191"/>
        <item x="210"/>
        <item x="168"/>
        <item x="146"/>
        <item x="230"/>
        <item x="197"/>
        <item x="51"/>
        <item x="186"/>
        <item x="147"/>
        <item x="50"/>
        <item x="198"/>
        <item x="229"/>
        <item x="59"/>
        <item x="140"/>
        <item x="149"/>
        <item x="180"/>
        <item x="176"/>
        <item x="232"/>
        <item x="54"/>
        <item x="231"/>
        <item x="148"/>
        <item x="220"/>
        <item x="138"/>
        <item x="175"/>
        <item x="52"/>
        <item x="171"/>
        <item x="205"/>
        <item x="55"/>
        <item x="211"/>
        <item x="209"/>
        <item x="64"/>
        <item x="139"/>
        <item x="144"/>
        <item x="194"/>
        <item x="177"/>
        <item x="58"/>
        <item x="169"/>
        <item x="48"/>
        <item x="143"/>
        <item x="174"/>
        <item x="77"/>
        <item x="178"/>
        <item x="60"/>
        <item x="96"/>
        <item x="53"/>
        <item x="57"/>
        <item x="192"/>
        <item x="63"/>
        <item x="195"/>
        <item x="170"/>
        <item x="61"/>
        <item x="142"/>
        <item x="164"/>
        <item x="196"/>
        <item x="167"/>
        <item x="29"/>
        <item x="182"/>
        <item x="179"/>
        <item x="206"/>
        <item x="166"/>
        <item x="116"/>
        <item x="49"/>
        <item x="150"/>
        <item x="172"/>
        <item x="223"/>
        <item x="145"/>
        <item x="181"/>
        <item x="193"/>
        <item x="37"/>
        <item x="151"/>
        <item x="228"/>
        <item x="9"/>
        <item x="30"/>
        <item x="141"/>
        <item x="24"/>
        <item x="16"/>
        <item x="163"/>
        <item x="154"/>
        <item x="5"/>
        <item x="187"/>
        <item x="161"/>
        <item x="184"/>
        <item x="212"/>
        <item x="118"/>
        <item x="56"/>
        <item x="65"/>
        <item x="62"/>
        <item x="7"/>
        <item x="173"/>
        <item x="95"/>
        <item x="41"/>
        <item x="204"/>
        <item x="190"/>
        <item x="162"/>
        <item x="227"/>
        <item x="155"/>
        <item x="183"/>
        <item x="189"/>
        <item x="185"/>
        <item x="10"/>
        <item x="73"/>
        <item x="0"/>
        <item x="3"/>
        <item x="222"/>
        <item x="17"/>
        <item x="83"/>
        <item x="94"/>
        <item x="39"/>
        <item x="129"/>
        <item x="153"/>
        <item x="22"/>
        <item x="87"/>
        <item x="42"/>
        <item x="12"/>
        <item x="165"/>
        <item x="78"/>
        <item x="35"/>
        <item x="69"/>
        <item x="159"/>
        <item x="11"/>
        <item x="86"/>
        <item x="215"/>
        <item x="135"/>
        <item x="208"/>
        <item x="1"/>
        <item x="103"/>
        <item x="224"/>
        <item x="70"/>
        <item x="2"/>
        <item x="38"/>
        <item x="152"/>
        <item x="160"/>
        <item x="25"/>
        <item x="72"/>
        <item x="119"/>
        <item x="47"/>
        <item x="124"/>
        <item x="101"/>
        <item x="4"/>
        <item x="97"/>
        <item x="120"/>
        <item x="158"/>
        <item x="68"/>
        <item x="128"/>
        <item x="31"/>
        <item x="107"/>
        <item x="36"/>
        <item x="28"/>
        <item x="75"/>
        <item x="8"/>
        <item x="131"/>
        <item x="79"/>
        <item x="127"/>
        <item x="13"/>
        <item x="100"/>
        <item x="126"/>
        <item x="219"/>
        <item x="104"/>
        <item x="45"/>
        <item x="80"/>
        <item x="102"/>
        <item x="44"/>
        <item x="136"/>
        <item x="66"/>
        <item x="23"/>
        <item x="99"/>
        <item x="188"/>
        <item x="207"/>
        <item x="18"/>
        <item x="117"/>
        <item x="84"/>
        <item x="137"/>
        <item x="15"/>
        <item x="111"/>
        <item x="21"/>
        <item x="221"/>
        <item x="40"/>
        <item x="98"/>
        <item x="19"/>
        <item x="26"/>
        <item x="6"/>
        <item x="133"/>
        <item x="81"/>
        <item x="123"/>
        <item x="43"/>
        <item x="110"/>
        <item x="67"/>
        <item x="76"/>
        <item x="105"/>
        <item x="216"/>
        <item x="20"/>
        <item x="114"/>
        <item x="74"/>
        <item x="132"/>
        <item x="108"/>
        <item x="109"/>
        <item x="226"/>
        <item x="225"/>
        <item x="199"/>
        <item x="121"/>
        <item x="113"/>
        <item x="125"/>
        <item x="85"/>
        <item x="213"/>
        <item x="14"/>
        <item x="106"/>
        <item x="71"/>
        <item x="46"/>
        <item x="130"/>
        <item x="82"/>
        <item x="217"/>
        <item x="115"/>
        <item x="203"/>
        <item x="202"/>
        <item x="156"/>
        <item x="34"/>
        <item x="89"/>
        <item x="33"/>
        <item x="218"/>
        <item x="122"/>
        <item x="88"/>
        <item x="112"/>
        <item x="27"/>
        <item x="200"/>
        <item x="134"/>
        <item x="201"/>
        <item x="157"/>
        <item x="32"/>
        <item x="93"/>
        <item x="92"/>
        <item x="91"/>
        <item x="90"/>
        <item x="214"/>
        <item t="default"/>
      </items>
    </pivotField>
  </pivotFields>
  <rowFields count="1">
    <field x="7"/>
  </rowFields>
  <rowItems count="1">
    <i>
      <x v="3"/>
    </i>
  </rowItems>
  <colFields count="1">
    <field x="-2"/>
  </colFields>
  <colItems count="2">
    <i>
      <x/>
    </i>
    <i i="1">
      <x v="1"/>
    </i>
  </colItems>
  <dataFields count="2">
    <dataField name="SALES" fld="9" baseField="7" baseItem="3"/>
    <dataField name="Sum of UnitPrice" fld="5" baseField="0" baseItem="0"/>
  </dataFields>
  <formats count="12">
    <format dxfId="143">
      <pivotArea type="all" dataOnly="0" outline="0" fieldPosition="0"/>
    </format>
    <format dxfId="142">
      <pivotArea outline="0" collapsedLevelsAreSubtotals="1" fieldPosition="0"/>
    </format>
    <format dxfId="141">
      <pivotArea field="7" type="button" dataOnly="0" labelOnly="1" outline="0" axis="axisRow" fieldPosition="0"/>
    </format>
    <format dxfId="140">
      <pivotArea dataOnly="0" labelOnly="1" fieldPosition="0">
        <references count="1">
          <reference field="7" count="0"/>
        </references>
      </pivotArea>
    </format>
    <format dxfId="139">
      <pivotArea dataOnly="0" labelOnly="1" grandRow="1" outline="0" fieldPosition="0"/>
    </format>
    <format dxfId="138">
      <pivotArea type="all" dataOnly="0" outline="0" fieldPosition="0"/>
    </format>
    <format dxfId="137">
      <pivotArea outline="0" collapsedLevelsAreSubtotals="1" fieldPosition="0"/>
    </format>
    <format dxfId="136">
      <pivotArea field="7" type="button" dataOnly="0" labelOnly="1" outline="0" axis="axisRow" fieldPosition="0"/>
    </format>
    <format dxfId="135">
      <pivotArea dataOnly="0" labelOnly="1" fieldPosition="0">
        <references count="1">
          <reference field="7" count="0"/>
        </references>
      </pivotArea>
    </format>
    <format dxfId="134">
      <pivotArea dataOnly="0" labelOnly="1" grandRow="1" outline="0" fieldPosition="0"/>
    </format>
    <format dxfId="133">
      <pivotArea outline="0" collapsedLevelsAreSubtotals="1" fieldPosition="0"/>
    </format>
    <format dxfId="1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A1972F72-6A0A-4722-9C22-1F9FE93CCD75}" sourceName="Description">
  <pivotTables>
    <pivotTable tabId="6" name="PivotTable1"/>
  </pivotTables>
  <data>
    <tabular pivotCacheId="2039068718">
      <items count="602">
        <i x="40"/>
        <i x="306"/>
        <i x="375"/>
        <i x="573"/>
        <i x="300"/>
        <i x="289"/>
        <i x="186"/>
        <i x="118"/>
        <i x="119"/>
        <i x="517"/>
        <i x="584"/>
        <i x="531"/>
        <i x="532"/>
        <i x="516"/>
        <i x="537"/>
        <i x="466"/>
        <i x="325"/>
        <i x="153"/>
        <i x="376"/>
        <i x="327"/>
        <i x="351"/>
        <i x="374"/>
        <i x="354"/>
        <i x="421"/>
        <i x="396"/>
        <i x="72"/>
        <i x="292"/>
        <i x="403"/>
        <i x="352"/>
        <i x="544"/>
        <i x="318"/>
        <i x="546"/>
        <i x="82"/>
        <i x="28"/>
        <i x="206"/>
        <i x="207"/>
        <i x="26"/>
        <i x="27"/>
        <i x="359"/>
        <i x="116"/>
        <i x="558"/>
        <i x="254"/>
        <i x="148"/>
        <i x="9"/>
        <i x="264"/>
        <i x="212"/>
        <i x="326"/>
        <i x="107"/>
        <i x="229"/>
        <i x="25"/>
        <i x="242"/>
        <i x="409"/>
        <i x="221"/>
        <i x="332"/>
        <i x="488"/>
        <i x="204"/>
        <i x="347"/>
        <i x="596"/>
        <i x="256"/>
        <i x="529"/>
        <i x="486"/>
        <i x="158"/>
        <i x="64"/>
        <i x="557"/>
        <i x="24"/>
        <i x="160"/>
        <i x="278"/>
        <i x="481"/>
        <i x="302"/>
        <i x="269"/>
        <i x="106"/>
        <i x="469"/>
        <i x="589"/>
        <i x="366"/>
        <i x="512"/>
        <i x="491"/>
        <i x="353"/>
        <i x="222"/>
        <i x="14"/>
        <i x="16"/>
        <i x="15"/>
        <i x="441"/>
        <i x="272"/>
        <i x="282"/>
        <i x="572"/>
        <i x="344"/>
        <i x="588"/>
        <i x="587"/>
        <i x="263"/>
        <i x="571"/>
        <i x="552"/>
        <i x="321"/>
        <i x="316"/>
        <i x="551"/>
        <i x="562"/>
        <i x="541"/>
        <i x="100"/>
        <i x="450"/>
        <i x="451"/>
        <i x="105"/>
        <i x="457"/>
        <i x="449"/>
        <i x="74"/>
        <i x="433"/>
        <i x="38"/>
        <i x="183"/>
        <i x="417"/>
        <i x="418"/>
        <i x="330"/>
        <i x="141"/>
        <i x="283"/>
        <i x="113"/>
        <i x="218"/>
        <i x="378"/>
        <i x="377"/>
        <i x="460"/>
        <i x="527"/>
        <i x="412"/>
        <i x="411"/>
        <i x="410"/>
        <i x="343"/>
        <i x="154"/>
        <i x="419"/>
        <i x="503"/>
        <i x="510"/>
        <i x="504"/>
        <i x="470"/>
        <i x="519"/>
        <i x="37"/>
        <i x="560"/>
        <i x="130"/>
        <i x="458"/>
        <i x="338"/>
        <i x="85"/>
        <i x="201"/>
        <i x="123"/>
        <i x="465"/>
        <i x="91"/>
        <i x="474"/>
        <i x="461"/>
        <i x="261"/>
        <i x="373"/>
        <i x="379"/>
        <i x="561"/>
        <i x="2"/>
        <i x="131"/>
        <i x="437"/>
        <i x="175"/>
        <i x="487"/>
        <i x="490"/>
        <i x="489"/>
        <i x="524"/>
        <i x="169"/>
        <i x="237"/>
        <i x="111"/>
        <i x="200"/>
        <i x="364"/>
        <i x="526"/>
        <i x="213"/>
        <i x="110"/>
        <i x="312"/>
        <i x="20"/>
        <i x="311"/>
        <i x="241"/>
        <i x="339"/>
        <i x="452"/>
        <i x="103"/>
        <i x="104"/>
        <i x="47"/>
        <i x="134"/>
        <i x="133"/>
        <i x="132"/>
        <i x="177"/>
        <i x="271"/>
        <i x="479"/>
        <i x="144"/>
        <i x="235"/>
        <i x="196"/>
        <i x="447"/>
        <i x="87"/>
        <i x="98"/>
        <i x="408"/>
        <i x="404"/>
        <i x="370"/>
        <i x="385"/>
        <i x="331"/>
        <i x="384"/>
        <i x="381"/>
        <i x="369"/>
        <i x="380"/>
        <i x="425"/>
        <i x="424"/>
        <i x="426"/>
        <i x="12"/>
        <i x="414"/>
        <i x="382"/>
        <i x="495"/>
        <i x="147"/>
        <i x="346"/>
        <i x="388"/>
        <i x="387"/>
        <i x="391"/>
        <i x="389"/>
        <i x="478"/>
        <i x="151"/>
        <i x="149"/>
        <i x="341"/>
        <i x="595"/>
        <i x="586"/>
        <i x="540"/>
        <i x="92"/>
        <i x="146"/>
        <i x="442"/>
        <i x="80"/>
        <i x="108"/>
        <i x="6"/>
        <i x="277"/>
        <i x="468"/>
        <i x="480"/>
        <i x="365"/>
        <i x="443"/>
        <i x="247"/>
        <i x="268"/>
        <i x="109"/>
        <i x="202"/>
        <i x="422"/>
        <i x="208"/>
        <i x="198"/>
        <i x="8"/>
        <i x="199"/>
        <i x="197"/>
        <i x="7"/>
        <i x="473"/>
        <i x="167"/>
        <i x="125"/>
        <i x="124"/>
        <i x="309"/>
        <i x="463"/>
        <i x="498"/>
        <i x="296"/>
        <i x="275"/>
        <i x="128"/>
        <i x="127"/>
        <i x="506"/>
        <i x="577"/>
        <i x="578"/>
        <i x="575"/>
        <i x="579"/>
        <i x="576"/>
        <i x="580"/>
        <i x="549"/>
        <i x="17"/>
        <i x="145"/>
        <i x="150"/>
        <i x="274"/>
        <i x="217"/>
        <i x="57"/>
        <i x="459"/>
        <i x="246"/>
        <i x="31"/>
        <i x="161"/>
        <i x="209"/>
        <i x="117"/>
        <i x="13"/>
        <i x="165"/>
        <i x="164"/>
        <i x="78"/>
        <i x="21"/>
        <i x="262"/>
        <i x="60"/>
        <i x="61"/>
        <i x="135"/>
        <i x="355"/>
        <i x="59"/>
        <i x="77"/>
        <i x="140"/>
        <i x="360"/>
        <i x="81"/>
        <i x="594"/>
        <i x="76"/>
        <i x="445"/>
        <i x="475"/>
        <i x="444"/>
        <i x="243"/>
        <i x="3"/>
        <i x="239"/>
        <i x="556"/>
        <i x="471"/>
        <i x="162"/>
        <i x="171"/>
        <i x="230"/>
        <i x="142"/>
        <i x="18"/>
        <i x="314"/>
        <i x="295"/>
        <i x="294"/>
        <i x="138"/>
        <i x="267"/>
        <i x="66"/>
        <i x="265"/>
        <i x="293"/>
        <i x="266"/>
        <i x="36"/>
        <i x="68"/>
        <i x="299"/>
        <i x="342"/>
        <i x="298"/>
        <i x="432"/>
        <i x="431"/>
        <i x="430"/>
        <i x="496"/>
        <i x="523"/>
        <i x="581"/>
        <i x="446"/>
        <i x="240"/>
        <i x="245"/>
        <i x="507"/>
        <i x="42"/>
        <i x="43"/>
        <i x="44"/>
        <i x="236"/>
        <i x="542"/>
        <i x="543"/>
        <i x="456"/>
        <i x="126"/>
        <i x="313"/>
        <i x="528"/>
        <i x="520"/>
        <i x="137"/>
        <i x="356"/>
        <i x="304"/>
        <i x="322"/>
        <i x="181"/>
        <i x="497"/>
        <i x="415"/>
        <i x="180"/>
        <i x="413"/>
        <i x="182"/>
        <i x="448"/>
        <i x="585"/>
        <i x="518"/>
        <i x="70"/>
        <i x="420"/>
        <i x="71"/>
        <i x="291"/>
        <i x="69"/>
        <i x="290"/>
        <i x="358"/>
        <i x="357"/>
        <i x="345"/>
        <i x="29"/>
        <i x="539"/>
        <i x="46"/>
        <i x="95"/>
        <i x="168"/>
        <i x="405" s="1"/>
        <i x="192"/>
        <i x="191"/>
        <i x="284"/>
        <i x="285"/>
        <i x="286"/>
        <i x="348"/>
        <i x="315"/>
        <i x="86"/>
        <i x="178"/>
        <i x="224"/>
        <i x="601"/>
        <i x="193"/>
        <i x="226"/>
        <i x="88"/>
        <i x="368"/>
        <i x="349"/>
        <i x="94"/>
        <i x="215"/>
        <i x="276"/>
        <i x="566"/>
        <i x="547"/>
        <i x="270"/>
        <i x="259"/>
        <i x="590"/>
        <i x="492"/>
        <i x="350"/>
        <i x="565"/>
        <i x="567"/>
        <i x="476"/>
        <i x="179"/>
        <i x="185"/>
        <i x="428"/>
        <i x="184"/>
        <i x="429"/>
        <i x="174"/>
        <i x="550"/>
        <i x="10"/>
        <i x="11"/>
        <i x="45"/>
        <i x="548"/>
        <i x="545"/>
        <i x="416"/>
        <i x="493"/>
        <i x="553"/>
        <i x="19"/>
        <i x="530"/>
        <i x="114"/>
        <i x="301"/>
        <i x="63"/>
        <i x="75"/>
        <i x="22"/>
        <i x="159"/>
        <i x="84"/>
        <i x="337"/>
        <i x="58"/>
        <i x="336"/>
        <i x="440"/>
        <i x="394"/>
        <i x="211"/>
        <i x="455"/>
        <i x="367"/>
        <i x="372"/>
        <i x="157"/>
        <i x="401"/>
        <i x="462"/>
        <i x="39"/>
        <i x="554"/>
        <i x="4"/>
        <i x="534"/>
        <i x="48"/>
        <i x="536"/>
        <i x="453"/>
        <i x="464"/>
        <i x="260"/>
        <i x="583"/>
        <i x="176"/>
        <i x="195"/>
        <i x="101"/>
        <i x="514"/>
        <i x="598"/>
        <i x="515"/>
        <i x="79"/>
        <i x="383"/>
        <i x="494"/>
        <i x="397"/>
        <i x="324"/>
        <i x="398"/>
        <i x="502"/>
        <i x="521"/>
        <i x="533"/>
        <i x="281"/>
        <i x="152"/>
        <i x="166"/>
        <i x="436"/>
        <i x="323"/>
        <i x="362"/>
        <i x="363"/>
        <i x="34"/>
        <i x="190"/>
        <i x="477"/>
        <i x="392"/>
        <i x="227"/>
        <i x="439"/>
        <i x="253"/>
        <i x="538"/>
        <i x="49"/>
        <i x="228"/>
        <i x="220"/>
        <i x="390"/>
        <i x="334"/>
        <i x="423"/>
        <i x="249"/>
        <i x="120"/>
        <i x="279"/>
        <i x="5"/>
        <i x="555"/>
        <i x="522"/>
        <i x="559"/>
        <i x="305"/>
        <i x="399"/>
        <i x="210"/>
        <i x="287"/>
        <i x="121"/>
        <i x="156"/>
        <i x="288"/>
        <i x="371"/>
        <i x="233"/>
        <i x="232"/>
        <i x="570"/>
        <i x="568"/>
        <i x="569"/>
        <i x="102"/>
        <i x="280"/>
        <i x="187"/>
        <i x="251"/>
        <i x="250"/>
        <i x="435"/>
        <i x="597"/>
        <i x="319"/>
        <i x="252"/>
        <i x="501"/>
        <i x="592"/>
        <i x="248"/>
        <i x="484"/>
        <i x="33"/>
        <i x="172"/>
        <i x="297"/>
        <i x="173"/>
        <i x="65"/>
        <i x="511"/>
        <i x="216"/>
        <i x="225"/>
        <i x="310"/>
        <i x="238"/>
        <i x="308"/>
        <i x="89"/>
        <i x="303"/>
        <i x="223"/>
        <i x="593"/>
        <i x="525"/>
        <i x="320"/>
        <i x="472"/>
        <i x="205"/>
        <i x="96"/>
        <i x="163"/>
        <i x="599"/>
        <i x="170"/>
        <i x="574"/>
        <i x="563"/>
        <i x="258"/>
        <i x="393"/>
        <i x="329"/>
        <i x="35"/>
        <i x="328"/>
        <i x="505"/>
        <i x="194"/>
        <i x="257"/>
        <i x="508"/>
        <i x="30"/>
        <i x="255"/>
        <i x="214"/>
        <i x="62"/>
        <i x="67"/>
        <i x="361"/>
        <i x="454"/>
        <i x="499"/>
        <i x="600"/>
        <i x="97"/>
        <i x="273"/>
        <i x="513"/>
        <i x="591"/>
        <i x="244"/>
        <i x="73"/>
        <i x="386"/>
        <i x="333"/>
        <i x="115"/>
        <i x="136"/>
        <i x="438"/>
        <i x="188"/>
        <i x="203"/>
        <i x="564"/>
        <i x="234"/>
        <i x="400"/>
        <i x="427"/>
        <i x="231"/>
        <i x="335"/>
        <i x="434"/>
        <i x="340"/>
        <i x="307"/>
        <i x="56"/>
        <i x="483"/>
        <i x="482"/>
        <i x="50"/>
        <i x="51"/>
        <i x="32"/>
        <i x="500"/>
        <i x="41"/>
        <i x="112"/>
        <i x="407"/>
        <i x="535"/>
        <i x="155"/>
        <i x="485"/>
        <i x="582"/>
        <i x="0"/>
        <i x="129"/>
        <i x="1"/>
        <i x="219"/>
        <i x="83"/>
        <i x="139"/>
        <i x="406"/>
        <i x="402"/>
        <i x="52"/>
        <i x="122"/>
        <i x="53"/>
        <i x="189"/>
        <i x="55"/>
        <i x="509"/>
        <i x="143"/>
        <i x="54"/>
        <i x="317"/>
        <i x="93"/>
        <i x="23"/>
        <i x="90"/>
        <i x="467"/>
        <i x="99"/>
        <i x="39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xr10:uid="{C284C858-400C-4028-847A-3340538A16DE}" cache="Slicer_Description" caption="Description" startItem="350"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DF" displayName="DF" ref="A1:J1017" totalsRowShown="0" dataDxfId="168">
  <autoFilter ref="A1:J1017" xr:uid="{00000000-0009-0000-0100-000002000000}"/>
  <tableColumns count="10">
    <tableColumn id="1" xr3:uid="{00000000-0010-0000-0000-000001000000}" name="InvoiceNo" dataDxfId="167"/>
    <tableColumn id="2" xr3:uid="{00000000-0010-0000-0000-000002000000}" name="StockCode" dataDxfId="166"/>
    <tableColumn id="3" xr3:uid="{00000000-0010-0000-0000-000003000000}" name="Description" dataDxfId="165"/>
    <tableColumn id="4" xr3:uid="{00000000-0010-0000-0000-000004000000}" name="Quantity_BEFORE" dataDxfId="164"/>
    <tableColumn id="5" xr3:uid="{00000000-0010-0000-0000-000005000000}" name="InvoiceDate" dataDxfId="163"/>
    <tableColumn id="6" xr3:uid="{00000000-0010-0000-0000-000006000000}" name="UnitPrice" dataDxfId="162"/>
    <tableColumn id="7" xr3:uid="{00000000-0010-0000-0000-000007000000}" name="CustomerID" dataDxfId="161"/>
    <tableColumn id="8" xr3:uid="{00000000-0010-0000-0000-000008000000}" name="Country" dataDxfId="160"/>
    <tableColumn id="10" xr3:uid="{00000000-0010-0000-0000-00000A000000}" name="QUANTITY" dataDxfId="159">
      <calculatedColumnFormula>ABS(DF[[#This Row],[Quantity_BEFORE]])</calculatedColumnFormula>
    </tableColumn>
    <tableColumn id="9" xr3:uid="{00000000-0010-0000-0000-000009000000}" name="AMOUNT" dataDxfId="158">
      <calculatedColumnFormula>DF[[#This Row],[QUANTITY]]*DF[[#This Row],[UnitPrice]]</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B223E0-C75E-4B82-B633-B09E0571A682}" name="DF_2" displayName="DF_2" ref="B2:K1018" totalsRowShown="0" dataDxfId="154">
  <autoFilter ref="B2:K1018" xr:uid="{2980A6B2-1628-4211-BFE6-5041733F9F07}"/>
  <sortState xmlns:xlrd2="http://schemas.microsoft.com/office/spreadsheetml/2017/richdata2" ref="B3:K1018">
    <sortCondition descending="1" ref="G2:G1018"/>
  </sortState>
  <tableColumns count="10">
    <tableColumn id="1" xr3:uid="{37379B87-55E9-468E-9446-418D204D842B}" name="InvoiceNo" dataDxfId="153"/>
    <tableColumn id="2" xr3:uid="{348F84AA-08A4-44EB-91B8-AF14F36647B2}" name="StockCode" dataDxfId="152"/>
    <tableColumn id="3" xr3:uid="{950E5D8F-4D64-4588-B5F9-9860565E1C1D}" name="Description" dataDxfId="151"/>
    <tableColumn id="4" xr3:uid="{5CD113C2-CF0B-483A-8B71-8DACF1ED1712}" name="Quantity_BEFORE" dataDxfId="150"/>
    <tableColumn id="5" xr3:uid="{2A3020F5-47B3-420D-BDF7-3FA418C74F08}" name="InvoiceDate" dataDxfId="149"/>
    <tableColumn id="6" xr3:uid="{CBFF9247-C83C-4990-8F20-9D9791D5ADB6}" name="UnitPrice" dataDxfId="148"/>
    <tableColumn id="7" xr3:uid="{3D0B7511-0D75-44F6-8BE4-1CEA6452D433}" name="CustomerID" dataDxfId="147"/>
    <tableColumn id="8" xr3:uid="{EBC233AE-B167-4557-83AC-3F65EA42871B}" name="Country" dataDxfId="146"/>
    <tableColumn id="10" xr3:uid="{B2E754F1-785C-4428-BFB3-E8A2CB2095D1}" name="QUANTITY" dataDxfId="145">
      <calculatedColumnFormula>ABS(DF_2[[#This Row],[Quantity_BEFORE]])</calculatedColumnFormula>
    </tableColumn>
    <tableColumn id="9" xr3:uid="{4B40646E-BF9C-4C13-BE34-8310418081A0}" name="AMOUNT" dataDxfId="144">
      <calculatedColumnFormula>DF_2[[#This Row],[QUANTITY]]*DF_2[[#This Row],[UnitPrice]]</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7"/>
  <sheetViews>
    <sheetView workbookViewId="0">
      <selection activeCell="O10" sqref="O10"/>
    </sheetView>
  </sheetViews>
  <sheetFormatPr defaultRowHeight="15" x14ac:dyDescent="0.25"/>
  <cols>
    <col min="5" max="5" width="16.5703125" customWidth="1"/>
    <col min="8" max="8" width="18.7109375" customWidth="1"/>
  </cols>
  <sheetData>
    <row r="1" spans="1:8" x14ac:dyDescent="0.25">
      <c r="A1" t="s">
        <v>0</v>
      </c>
      <c r="B1" t="s">
        <v>1</v>
      </c>
      <c r="C1" t="s">
        <v>2</v>
      </c>
      <c r="D1" t="s">
        <v>3</v>
      </c>
      <c r="E1" t="s">
        <v>4</v>
      </c>
      <c r="F1" t="s">
        <v>5</v>
      </c>
      <c r="G1" t="s">
        <v>6</v>
      </c>
      <c r="H1" t="s">
        <v>7</v>
      </c>
    </row>
    <row r="2" spans="1:8" x14ac:dyDescent="0.25">
      <c r="A2">
        <v>536365</v>
      </c>
      <c r="B2" t="s">
        <v>8</v>
      </c>
      <c r="C2" t="s">
        <v>9</v>
      </c>
      <c r="D2">
        <v>6</v>
      </c>
      <c r="E2" s="1">
        <v>40513.351388888892</v>
      </c>
      <c r="F2">
        <v>2.5499999999999998</v>
      </c>
      <c r="G2">
        <v>17850</v>
      </c>
      <c r="H2" t="s">
        <v>10</v>
      </c>
    </row>
    <row r="3" spans="1:8" x14ac:dyDescent="0.25">
      <c r="A3">
        <v>536365</v>
      </c>
      <c r="B3">
        <v>71053</v>
      </c>
      <c r="C3" t="s">
        <v>11</v>
      </c>
      <c r="D3">
        <v>6</v>
      </c>
      <c r="E3" s="1">
        <v>40513.351388888892</v>
      </c>
      <c r="F3">
        <v>3.39</v>
      </c>
      <c r="G3">
        <v>17850</v>
      </c>
      <c r="H3" t="s">
        <v>10</v>
      </c>
    </row>
    <row r="4" spans="1:8" x14ac:dyDescent="0.25">
      <c r="A4">
        <v>536365</v>
      </c>
      <c r="B4" t="s">
        <v>12</v>
      </c>
      <c r="C4" t="s">
        <v>13</v>
      </c>
      <c r="D4">
        <v>8</v>
      </c>
      <c r="E4" s="1">
        <v>40513.351388888892</v>
      </c>
      <c r="F4">
        <v>2.75</v>
      </c>
      <c r="G4">
        <v>17850</v>
      </c>
      <c r="H4" t="s">
        <v>10</v>
      </c>
    </row>
    <row r="5" spans="1:8" x14ac:dyDescent="0.25">
      <c r="A5">
        <v>536365</v>
      </c>
      <c r="B5" t="s">
        <v>14</v>
      </c>
      <c r="C5" t="s">
        <v>15</v>
      </c>
      <c r="D5">
        <v>6</v>
      </c>
      <c r="E5" s="1">
        <v>40513.351388888892</v>
      </c>
      <c r="F5">
        <v>3.39</v>
      </c>
      <c r="G5">
        <v>17850</v>
      </c>
      <c r="H5" t="s">
        <v>10</v>
      </c>
    </row>
    <row r="6" spans="1:8" x14ac:dyDescent="0.25">
      <c r="A6">
        <v>536365</v>
      </c>
      <c r="B6" t="s">
        <v>16</v>
      </c>
      <c r="C6" t="s">
        <v>17</v>
      </c>
      <c r="D6">
        <v>6</v>
      </c>
      <c r="E6" s="1">
        <v>40513.351388888892</v>
      </c>
      <c r="F6">
        <v>3.39</v>
      </c>
      <c r="G6">
        <v>17850</v>
      </c>
      <c r="H6" t="s">
        <v>10</v>
      </c>
    </row>
    <row r="7" spans="1:8" x14ac:dyDescent="0.25">
      <c r="A7">
        <v>536365</v>
      </c>
      <c r="B7">
        <v>22752</v>
      </c>
      <c r="C7" t="s">
        <v>18</v>
      </c>
      <c r="D7">
        <v>2</v>
      </c>
      <c r="E7" s="1">
        <v>40513.351388888892</v>
      </c>
      <c r="F7">
        <v>7.65</v>
      </c>
      <c r="G7">
        <v>17850</v>
      </c>
      <c r="H7" t="s">
        <v>10</v>
      </c>
    </row>
    <row r="8" spans="1:8" x14ac:dyDescent="0.25">
      <c r="A8">
        <v>536365</v>
      </c>
      <c r="B8">
        <v>21730</v>
      </c>
      <c r="C8" t="s">
        <v>19</v>
      </c>
      <c r="D8">
        <v>6</v>
      </c>
      <c r="E8" s="1">
        <v>40513.351388888892</v>
      </c>
      <c r="F8">
        <v>4.25</v>
      </c>
      <c r="G8">
        <v>17850</v>
      </c>
      <c r="H8" t="s">
        <v>10</v>
      </c>
    </row>
    <row r="9" spans="1:8" x14ac:dyDescent="0.25">
      <c r="A9">
        <v>536366</v>
      </c>
      <c r="B9">
        <v>22633</v>
      </c>
      <c r="C9" t="s">
        <v>20</v>
      </c>
      <c r="D9">
        <v>6</v>
      </c>
      <c r="E9" s="1">
        <v>40513.352777777778</v>
      </c>
      <c r="F9">
        <v>1.85</v>
      </c>
      <c r="G9">
        <v>17850</v>
      </c>
      <c r="H9" t="s">
        <v>10</v>
      </c>
    </row>
    <row r="10" spans="1:8" x14ac:dyDescent="0.25">
      <c r="A10">
        <v>536366</v>
      </c>
      <c r="B10">
        <v>22632</v>
      </c>
      <c r="C10" t="s">
        <v>21</v>
      </c>
      <c r="D10">
        <v>6</v>
      </c>
      <c r="E10" s="1">
        <v>40513.352777777778</v>
      </c>
      <c r="F10">
        <v>1.85</v>
      </c>
      <c r="G10">
        <v>17850</v>
      </c>
      <c r="H10" t="s">
        <v>10</v>
      </c>
    </row>
    <row r="11" spans="1:8" x14ac:dyDescent="0.25">
      <c r="A11">
        <v>536367</v>
      </c>
      <c r="B11">
        <v>84879</v>
      </c>
      <c r="C11" t="s">
        <v>22</v>
      </c>
      <c r="D11">
        <v>32</v>
      </c>
      <c r="E11" s="1">
        <v>40513.356944444444</v>
      </c>
      <c r="F11">
        <v>1.69</v>
      </c>
      <c r="G11">
        <v>13047</v>
      </c>
      <c r="H11" t="s">
        <v>10</v>
      </c>
    </row>
    <row r="12" spans="1:8" x14ac:dyDescent="0.25">
      <c r="A12">
        <v>536367</v>
      </c>
      <c r="B12">
        <v>22745</v>
      </c>
      <c r="C12" t="s">
        <v>23</v>
      </c>
      <c r="D12">
        <v>6</v>
      </c>
      <c r="E12" s="1">
        <v>40513.356944444444</v>
      </c>
      <c r="F12">
        <v>2.1</v>
      </c>
      <c r="G12">
        <v>13047</v>
      </c>
      <c r="H12" t="s">
        <v>10</v>
      </c>
    </row>
    <row r="13" spans="1:8" x14ac:dyDescent="0.25">
      <c r="A13">
        <v>536367</v>
      </c>
      <c r="B13">
        <v>22748</v>
      </c>
      <c r="C13" t="s">
        <v>24</v>
      </c>
      <c r="D13">
        <v>6</v>
      </c>
      <c r="E13" s="1">
        <v>40513.356944444444</v>
      </c>
      <c r="F13">
        <v>2.1</v>
      </c>
      <c r="G13">
        <v>13047</v>
      </c>
      <c r="H13" t="s">
        <v>10</v>
      </c>
    </row>
    <row r="14" spans="1:8" x14ac:dyDescent="0.25">
      <c r="A14">
        <v>536367</v>
      </c>
      <c r="B14">
        <v>22749</v>
      </c>
      <c r="C14" t="s">
        <v>25</v>
      </c>
      <c r="D14">
        <v>8</v>
      </c>
      <c r="E14" s="1">
        <v>40513.356944444444</v>
      </c>
      <c r="F14">
        <v>3.75</v>
      </c>
      <c r="G14">
        <v>13047</v>
      </c>
      <c r="H14" t="s">
        <v>10</v>
      </c>
    </row>
    <row r="15" spans="1:8" x14ac:dyDescent="0.25">
      <c r="A15">
        <v>536367</v>
      </c>
      <c r="B15">
        <v>22310</v>
      </c>
      <c r="C15" t="s">
        <v>26</v>
      </c>
      <c r="D15">
        <v>6</v>
      </c>
      <c r="E15" s="1">
        <v>40513.356944444444</v>
      </c>
      <c r="F15">
        <v>1.65</v>
      </c>
      <c r="G15">
        <v>13047</v>
      </c>
      <c r="H15" t="s">
        <v>10</v>
      </c>
    </row>
    <row r="16" spans="1:8" x14ac:dyDescent="0.25">
      <c r="A16">
        <v>536367</v>
      </c>
      <c r="B16">
        <v>84969</v>
      </c>
      <c r="C16" t="s">
        <v>27</v>
      </c>
      <c r="D16">
        <v>6</v>
      </c>
      <c r="E16" s="1">
        <v>40513.356944444444</v>
      </c>
      <c r="F16">
        <v>4.25</v>
      </c>
      <c r="G16">
        <v>13047</v>
      </c>
      <c r="H16" t="s">
        <v>10</v>
      </c>
    </row>
    <row r="17" spans="1:8" x14ac:dyDescent="0.25">
      <c r="A17">
        <v>536367</v>
      </c>
      <c r="B17">
        <v>22623</v>
      </c>
      <c r="C17" t="s">
        <v>28</v>
      </c>
      <c r="D17">
        <v>3</v>
      </c>
      <c r="E17" s="1">
        <v>40513.356944444444</v>
      </c>
      <c r="F17">
        <v>4.95</v>
      </c>
      <c r="G17">
        <v>13047</v>
      </c>
      <c r="H17" t="s">
        <v>10</v>
      </c>
    </row>
    <row r="18" spans="1:8" x14ac:dyDescent="0.25">
      <c r="A18">
        <v>536367</v>
      </c>
      <c r="B18">
        <v>22622</v>
      </c>
      <c r="C18" t="s">
        <v>29</v>
      </c>
      <c r="D18">
        <v>2</v>
      </c>
      <c r="E18" s="1">
        <v>40513.356944444444</v>
      </c>
      <c r="F18">
        <v>9.9499999999999993</v>
      </c>
      <c r="G18">
        <v>13047</v>
      </c>
      <c r="H18" t="s">
        <v>10</v>
      </c>
    </row>
    <row r="19" spans="1:8" x14ac:dyDescent="0.25">
      <c r="A19">
        <v>536367</v>
      </c>
      <c r="B19">
        <v>21754</v>
      </c>
      <c r="C19" t="s">
        <v>30</v>
      </c>
      <c r="D19">
        <v>3</v>
      </c>
      <c r="E19" s="1">
        <v>40513.356944444444</v>
      </c>
      <c r="F19">
        <v>5.95</v>
      </c>
      <c r="G19">
        <v>13047</v>
      </c>
      <c r="H19" t="s">
        <v>10</v>
      </c>
    </row>
    <row r="20" spans="1:8" x14ac:dyDescent="0.25">
      <c r="A20">
        <v>536367</v>
      </c>
      <c r="B20">
        <v>21755</v>
      </c>
      <c r="C20" t="s">
        <v>31</v>
      </c>
      <c r="D20">
        <v>3</v>
      </c>
      <c r="E20" s="1">
        <v>40513.356944444444</v>
      </c>
      <c r="F20">
        <v>5.95</v>
      </c>
      <c r="G20">
        <v>13047</v>
      </c>
      <c r="H20" t="s">
        <v>10</v>
      </c>
    </row>
    <row r="21" spans="1:8" x14ac:dyDescent="0.25">
      <c r="A21">
        <v>536367</v>
      </c>
      <c r="B21">
        <v>21777</v>
      </c>
      <c r="C21" t="s">
        <v>32</v>
      </c>
      <c r="D21">
        <v>4</v>
      </c>
      <c r="E21" s="1">
        <v>40513.356944444444</v>
      </c>
      <c r="F21">
        <v>7.95</v>
      </c>
      <c r="G21">
        <v>13047</v>
      </c>
      <c r="H21" t="s">
        <v>10</v>
      </c>
    </row>
    <row r="22" spans="1:8" x14ac:dyDescent="0.25">
      <c r="A22">
        <v>536367</v>
      </c>
      <c r="B22">
        <v>48187</v>
      </c>
      <c r="C22" t="s">
        <v>33</v>
      </c>
      <c r="D22">
        <v>4</v>
      </c>
      <c r="E22" s="1">
        <v>40513.356944444444</v>
      </c>
      <c r="F22">
        <v>7.95</v>
      </c>
      <c r="G22">
        <v>13047</v>
      </c>
      <c r="H22" t="s">
        <v>10</v>
      </c>
    </row>
    <row r="23" spans="1:8" x14ac:dyDescent="0.25">
      <c r="A23">
        <v>536368</v>
      </c>
      <c r="B23">
        <v>22960</v>
      </c>
      <c r="C23" t="s">
        <v>34</v>
      </c>
      <c r="D23">
        <v>6</v>
      </c>
      <c r="E23" s="1">
        <v>40513.356944444444</v>
      </c>
      <c r="F23">
        <v>4.25</v>
      </c>
      <c r="G23">
        <v>13047</v>
      </c>
      <c r="H23" t="s">
        <v>10</v>
      </c>
    </row>
    <row r="24" spans="1:8" x14ac:dyDescent="0.25">
      <c r="A24">
        <v>536368</v>
      </c>
      <c r="B24">
        <v>22913</v>
      </c>
      <c r="C24" t="s">
        <v>35</v>
      </c>
      <c r="D24">
        <v>3</v>
      </c>
      <c r="E24" s="1">
        <v>40513.356944444444</v>
      </c>
      <c r="F24">
        <v>4.95</v>
      </c>
      <c r="G24">
        <v>13047</v>
      </c>
      <c r="H24" t="s">
        <v>10</v>
      </c>
    </row>
    <row r="25" spans="1:8" x14ac:dyDescent="0.25">
      <c r="A25">
        <v>536368</v>
      </c>
      <c r="B25">
        <v>22912</v>
      </c>
      <c r="C25" t="s">
        <v>36</v>
      </c>
      <c r="D25">
        <v>3</v>
      </c>
      <c r="E25" s="1">
        <v>40513.356944444444</v>
      </c>
      <c r="F25">
        <v>4.95</v>
      </c>
      <c r="G25">
        <v>13047</v>
      </c>
      <c r="H25" t="s">
        <v>10</v>
      </c>
    </row>
    <row r="26" spans="1:8" x14ac:dyDescent="0.25">
      <c r="A26">
        <v>536368</v>
      </c>
      <c r="B26">
        <v>22914</v>
      </c>
      <c r="C26" t="s">
        <v>37</v>
      </c>
      <c r="D26">
        <v>3</v>
      </c>
      <c r="E26" s="1">
        <v>40513.356944444444</v>
      </c>
      <c r="F26">
        <v>4.95</v>
      </c>
      <c r="G26">
        <v>13047</v>
      </c>
      <c r="H26" t="s">
        <v>10</v>
      </c>
    </row>
    <row r="27" spans="1:8" x14ac:dyDescent="0.25">
      <c r="A27">
        <v>536369</v>
      </c>
      <c r="B27">
        <v>21756</v>
      </c>
      <c r="C27" t="s">
        <v>38</v>
      </c>
      <c r="D27">
        <v>3</v>
      </c>
      <c r="E27" s="1">
        <v>40513.357638888891</v>
      </c>
      <c r="F27">
        <v>5.95</v>
      </c>
      <c r="G27">
        <v>13047</v>
      </c>
      <c r="H27" t="s">
        <v>10</v>
      </c>
    </row>
    <row r="28" spans="1:8" x14ac:dyDescent="0.25">
      <c r="A28">
        <v>536370</v>
      </c>
      <c r="B28">
        <v>22728</v>
      </c>
      <c r="C28" t="s">
        <v>39</v>
      </c>
      <c r="D28">
        <v>24</v>
      </c>
      <c r="E28" s="1">
        <v>40513.364583333336</v>
      </c>
      <c r="F28">
        <v>3.75</v>
      </c>
      <c r="G28">
        <v>12583</v>
      </c>
      <c r="H28" t="s">
        <v>40</v>
      </c>
    </row>
    <row r="29" spans="1:8" x14ac:dyDescent="0.25">
      <c r="A29">
        <v>536370</v>
      </c>
      <c r="B29">
        <v>22727</v>
      </c>
      <c r="C29" t="s">
        <v>41</v>
      </c>
      <c r="D29">
        <v>24</v>
      </c>
      <c r="E29" s="1">
        <v>40513.364583333336</v>
      </c>
      <c r="F29">
        <v>3.75</v>
      </c>
      <c r="G29">
        <v>12583</v>
      </c>
      <c r="H29" t="s">
        <v>40</v>
      </c>
    </row>
    <row r="30" spans="1:8" x14ac:dyDescent="0.25">
      <c r="A30">
        <v>536370</v>
      </c>
      <c r="B30">
        <v>22726</v>
      </c>
      <c r="C30" t="s">
        <v>42</v>
      </c>
      <c r="D30">
        <v>12</v>
      </c>
      <c r="E30" s="1">
        <v>40513.364583333336</v>
      </c>
      <c r="F30">
        <v>3.75</v>
      </c>
      <c r="G30">
        <v>12583</v>
      </c>
      <c r="H30" t="s">
        <v>40</v>
      </c>
    </row>
    <row r="31" spans="1:8" x14ac:dyDescent="0.25">
      <c r="A31">
        <v>536370</v>
      </c>
      <c r="B31">
        <v>21724</v>
      </c>
      <c r="C31" t="s">
        <v>43</v>
      </c>
      <c r="D31">
        <v>12</v>
      </c>
      <c r="E31" s="1">
        <v>40513.364583333336</v>
      </c>
      <c r="F31">
        <v>0.85</v>
      </c>
      <c r="G31">
        <v>12583</v>
      </c>
      <c r="H31" t="s">
        <v>40</v>
      </c>
    </row>
    <row r="32" spans="1:8" x14ac:dyDescent="0.25">
      <c r="A32">
        <v>536370</v>
      </c>
      <c r="B32">
        <v>21883</v>
      </c>
      <c r="C32" t="s">
        <v>44</v>
      </c>
      <c r="D32">
        <v>24</v>
      </c>
      <c r="E32" s="1">
        <v>40513.364583333336</v>
      </c>
      <c r="F32">
        <v>0.65</v>
      </c>
      <c r="G32">
        <v>12583</v>
      </c>
      <c r="H32" t="s">
        <v>40</v>
      </c>
    </row>
    <row r="33" spans="1:8" x14ac:dyDescent="0.25">
      <c r="A33">
        <v>536370</v>
      </c>
      <c r="B33">
        <v>10002</v>
      </c>
      <c r="C33" t="s">
        <v>45</v>
      </c>
      <c r="D33">
        <v>48</v>
      </c>
      <c r="E33" s="1">
        <v>40513.364583333336</v>
      </c>
      <c r="F33">
        <v>0.85</v>
      </c>
      <c r="G33">
        <v>12583</v>
      </c>
      <c r="H33" t="s">
        <v>40</v>
      </c>
    </row>
    <row r="34" spans="1:8" x14ac:dyDescent="0.25">
      <c r="A34">
        <v>536370</v>
      </c>
      <c r="B34">
        <v>21791</v>
      </c>
      <c r="C34" t="s">
        <v>46</v>
      </c>
      <c r="D34">
        <v>24</v>
      </c>
      <c r="E34" s="1">
        <v>40513.364583333336</v>
      </c>
      <c r="F34">
        <v>1.25</v>
      </c>
      <c r="G34">
        <v>12583</v>
      </c>
      <c r="H34" t="s">
        <v>40</v>
      </c>
    </row>
    <row r="35" spans="1:8" x14ac:dyDescent="0.25">
      <c r="A35">
        <v>536370</v>
      </c>
      <c r="B35">
        <v>21035</v>
      </c>
      <c r="C35" t="s">
        <v>47</v>
      </c>
      <c r="D35">
        <v>18</v>
      </c>
      <c r="E35" s="1">
        <v>40513.364583333336</v>
      </c>
      <c r="F35">
        <v>2.95</v>
      </c>
      <c r="G35">
        <v>12583</v>
      </c>
      <c r="H35" t="s">
        <v>40</v>
      </c>
    </row>
    <row r="36" spans="1:8" x14ac:dyDescent="0.25">
      <c r="A36">
        <v>536370</v>
      </c>
      <c r="B36">
        <v>22326</v>
      </c>
      <c r="C36" t="s">
        <v>48</v>
      </c>
      <c r="D36">
        <v>24</v>
      </c>
      <c r="E36" s="1">
        <v>40513.364583333336</v>
      </c>
      <c r="F36">
        <v>2.95</v>
      </c>
      <c r="G36">
        <v>12583</v>
      </c>
      <c r="H36" t="s">
        <v>40</v>
      </c>
    </row>
    <row r="37" spans="1:8" x14ac:dyDescent="0.25">
      <c r="A37">
        <v>536370</v>
      </c>
      <c r="B37">
        <v>22629</v>
      </c>
      <c r="C37" t="s">
        <v>49</v>
      </c>
      <c r="D37">
        <v>24</v>
      </c>
      <c r="E37" s="1">
        <v>40513.364583333336</v>
      </c>
      <c r="F37">
        <v>1.95</v>
      </c>
      <c r="G37">
        <v>12583</v>
      </c>
      <c r="H37" t="s">
        <v>40</v>
      </c>
    </row>
    <row r="38" spans="1:8" x14ac:dyDescent="0.25">
      <c r="A38">
        <v>536370</v>
      </c>
      <c r="B38">
        <v>22659</v>
      </c>
      <c r="C38" t="s">
        <v>50</v>
      </c>
      <c r="D38">
        <v>24</v>
      </c>
      <c r="E38" s="1">
        <v>40513.364583333336</v>
      </c>
      <c r="F38">
        <v>1.95</v>
      </c>
      <c r="G38">
        <v>12583</v>
      </c>
      <c r="H38" t="s">
        <v>40</v>
      </c>
    </row>
    <row r="39" spans="1:8" x14ac:dyDescent="0.25">
      <c r="A39">
        <v>536370</v>
      </c>
      <c r="B39">
        <v>22631</v>
      </c>
      <c r="C39" t="s">
        <v>51</v>
      </c>
      <c r="D39">
        <v>24</v>
      </c>
      <c r="E39" s="1">
        <v>40513.364583333336</v>
      </c>
      <c r="F39">
        <v>1.95</v>
      </c>
      <c r="G39">
        <v>12583</v>
      </c>
      <c r="H39" t="s">
        <v>40</v>
      </c>
    </row>
    <row r="40" spans="1:8" x14ac:dyDescent="0.25">
      <c r="A40">
        <v>536370</v>
      </c>
      <c r="B40">
        <v>22661</v>
      </c>
      <c r="C40" t="s">
        <v>52</v>
      </c>
      <c r="D40">
        <v>20</v>
      </c>
      <c r="E40" s="1">
        <v>40513.364583333336</v>
      </c>
      <c r="F40">
        <v>0.85</v>
      </c>
      <c r="G40">
        <v>12583</v>
      </c>
      <c r="H40" t="s">
        <v>40</v>
      </c>
    </row>
    <row r="41" spans="1:8" x14ac:dyDescent="0.25">
      <c r="A41">
        <v>536370</v>
      </c>
      <c r="B41">
        <v>21731</v>
      </c>
      <c r="C41" t="s">
        <v>53</v>
      </c>
      <c r="D41">
        <v>24</v>
      </c>
      <c r="E41" s="1">
        <v>40513.364583333336</v>
      </c>
      <c r="F41">
        <v>1.65</v>
      </c>
      <c r="G41">
        <v>12583</v>
      </c>
      <c r="H41" t="s">
        <v>40</v>
      </c>
    </row>
    <row r="42" spans="1:8" x14ac:dyDescent="0.25">
      <c r="A42">
        <v>536370</v>
      </c>
      <c r="B42">
        <v>22900</v>
      </c>
      <c r="C42" t="s">
        <v>54</v>
      </c>
      <c r="D42">
        <v>24</v>
      </c>
      <c r="E42" s="1">
        <v>40513.364583333336</v>
      </c>
      <c r="F42">
        <v>2.95</v>
      </c>
      <c r="G42">
        <v>12583</v>
      </c>
      <c r="H42" t="s">
        <v>40</v>
      </c>
    </row>
    <row r="43" spans="1:8" x14ac:dyDescent="0.25">
      <c r="A43">
        <v>536370</v>
      </c>
      <c r="B43">
        <v>21913</v>
      </c>
      <c r="C43" t="s">
        <v>55</v>
      </c>
      <c r="D43">
        <v>12</v>
      </c>
      <c r="E43" s="1">
        <v>40513.364583333336</v>
      </c>
      <c r="F43">
        <v>3.75</v>
      </c>
      <c r="G43">
        <v>12583</v>
      </c>
      <c r="H43" t="s">
        <v>40</v>
      </c>
    </row>
    <row r="44" spans="1:8" x14ac:dyDescent="0.25">
      <c r="A44">
        <v>536370</v>
      </c>
      <c r="B44">
        <v>22540</v>
      </c>
      <c r="C44" t="s">
        <v>56</v>
      </c>
      <c r="D44">
        <v>24</v>
      </c>
      <c r="E44" s="1">
        <v>40513.364583333336</v>
      </c>
      <c r="F44">
        <v>0.42</v>
      </c>
      <c r="G44">
        <v>12583</v>
      </c>
      <c r="H44" t="s">
        <v>40</v>
      </c>
    </row>
    <row r="45" spans="1:8" x14ac:dyDescent="0.25">
      <c r="A45">
        <v>536370</v>
      </c>
      <c r="B45">
        <v>22544</v>
      </c>
      <c r="C45" t="s">
        <v>57</v>
      </c>
      <c r="D45">
        <v>24</v>
      </c>
      <c r="E45" s="1">
        <v>40513.364583333336</v>
      </c>
      <c r="F45">
        <v>0.42</v>
      </c>
      <c r="G45">
        <v>12583</v>
      </c>
      <c r="H45" t="s">
        <v>40</v>
      </c>
    </row>
    <row r="46" spans="1:8" x14ac:dyDescent="0.25">
      <c r="A46">
        <v>536370</v>
      </c>
      <c r="B46">
        <v>22492</v>
      </c>
      <c r="C46" t="s">
        <v>58</v>
      </c>
      <c r="D46">
        <v>36</v>
      </c>
      <c r="E46" s="1">
        <v>40513.364583333336</v>
      </c>
      <c r="F46">
        <v>0.65</v>
      </c>
      <c r="G46">
        <v>12583</v>
      </c>
      <c r="H46" t="s">
        <v>40</v>
      </c>
    </row>
    <row r="47" spans="1:8" x14ac:dyDescent="0.25">
      <c r="A47">
        <v>536370</v>
      </c>
      <c r="B47" t="s">
        <v>59</v>
      </c>
      <c r="C47" t="s">
        <v>60</v>
      </c>
      <c r="D47">
        <v>3</v>
      </c>
      <c r="E47" s="1">
        <v>40513.364583333336</v>
      </c>
      <c r="F47">
        <v>18</v>
      </c>
      <c r="G47">
        <v>12583</v>
      </c>
      <c r="H47" t="s">
        <v>40</v>
      </c>
    </row>
    <row r="48" spans="1:8" x14ac:dyDescent="0.25">
      <c r="A48">
        <v>536371</v>
      </c>
      <c r="B48">
        <v>22086</v>
      </c>
      <c r="C48" t="s">
        <v>61</v>
      </c>
      <c r="D48">
        <v>80</v>
      </c>
      <c r="E48" s="1">
        <v>40513.375</v>
      </c>
      <c r="F48">
        <v>2.5499999999999998</v>
      </c>
      <c r="G48">
        <v>13748</v>
      </c>
      <c r="H48" t="s">
        <v>10</v>
      </c>
    </row>
    <row r="49" spans="1:8" x14ac:dyDescent="0.25">
      <c r="A49">
        <v>536372</v>
      </c>
      <c r="B49">
        <v>22632</v>
      </c>
      <c r="C49" t="s">
        <v>21</v>
      </c>
      <c r="D49">
        <v>6</v>
      </c>
      <c r="E49" s="1">
        <v>40513.375694444447</v>
      </c>
      <c r="F49">
        <v>1.85</v>
      </c>
      <c r="G49">
        <v>17850</v>
      </c>
      <c r="H49" t="s">
        <v>10</v>
      </c>
    </row>
    <row r="50" spans="1:8" x14ac:dyDescent="0.25">
      <c r="A50">
        <v>536372</v>
      </c>
      <c r="B50">
        <v>22633</v>
      </c>
      <c r="C50" t="s">
        <v>20</v>
      </c>
      <c r="D50">
        <v>6</v>
      </c>
      <c r="E50" s="1">
        <v>40513.375694444447</v>
      </c>
      <c r="F50">
        <v>1.85</v>
      </c>
      <c r="G50">
        <v>17850</v>
      </c>
      <c r="H50" t="s">
        <v>10</v>
      </c>
    </row>
    <row r="51" spans="1:8" x14ac:dyDescent="0.25">
      <c r="A51">
        <v>536373</v>
      </c>
      <c r="B51" t="s">
        <v>8</v>
      </c>
      <c r="C51" t="s">
        <v>9</v>
      </c>
      <c r="D51">
        <v>6</v>
      </c>
      <c r="E51" s="1">
        <v>40513.376388888886</v>
      </c>
      <c r="F51">
        <v>2.5499999999999998</v>
      </c>
      <c r="G51">
        <v>17850</v>
      </c>
      <c r="H51" t="s">
        <v>10</v>
      </c>
    </row>
    <row r="52" spans="1:8" x14ac:dyDescent="0.25">
      <c r="A52">
        <v>536373</v>
      </c>
      <c r="B52">
        <v>71053</v>
      </c>
      <c r="C52" t="s">
        <v>11</v>
      </c>
      <c r="D52">
        <v>6</v>
      </c>
      <c r="E52" s="1">
        <v>40513.376388888886</v>
      </c>
      <c r="F52">
        <v>3.39</v>
      </c>
      <c r="G52">
        <v>17850</v>
      </c>
      <c r="H52" t="s">
        <v>10</v>
      </c>
    </row>
    <row r="53" spans="1:8" x14ac:dyDescent="0.25">
      <c r="A53">
        <v>536373</v>
      </c>
      <c r="B53" t="s">
        <v>12</v>
      </c>
      <c r="C53" t="s">
        <v>13</v>
      </c>
      <c r="D53">
        <v>8</v>
      </c>
      <c r="E53" s="1">
        <v>40513.376388888886</v>
      </c>
      <c r="F53">
        <v>2.75</v>
      </c>
      <c r="G53">
        <v>17850</v>
      </c>
      <c r="H53" t="s">
        <v>10</v>
      </c>
    </row>
    <row r="54" spans="1:8" x14ac:dyDescent="0.25">
      <c r="A54">
        <v>536373</v>
      </c>
      <c r="B54">
        <v>20679</v>
      </c>
      <c r="C54" t="s">
        <v>62</v>
      </c>
      <c r="D54">
        <v>6</v>
      </c>
      <c r="E54" s="1">
        <v>40513.376388888886</v>
      </c>
      <c r="F54">
        <v>4.95</v>
      </c>
      <c r="G54">
        <v>17850</v>
      </c>
      <c r="H54" t="s">
        <v>10</v>
      </c>
    </row>
    <row r="55" spans="1:8" x14ac:dyDescent="0.25">
      <c r="A55">
        <v>536373</v>
      </c>
      <c r="B55">
        <v>37370</v>
      </c>
      <c r="C55" t="s">
        <v>63</v>
      </c>
      <c r="D55">
        <v>6</v>
      </c>
      <c r="E55" s="1">
        <v>40513.376388888886</v>
      </c>
      <c r="F55">
        <v>1.06</v>
      </c>
      <c r="G55">
        <v>17850</v>
      </c>
      <c r="H55" t="s">
        <v>10</v>
      </c>
    </row>
    <row r="56" spans="1:8" x14ac:dyDescent="0.25">
      <c r="A56">
        <v>536373</v>
      </c>
      <c r="B56">
        <v>21871</v>
      </c>
      <c r="C56" t="s">
        <v>64</v>
      </c>
      <c r="D56">
        <v>6</v>
      </c>
      <c r="E56" s="1">
        <v>40513.376388888886</v>
      </c>
      <c r="F56">
        <v>1.06</v>
      </c>
      <c r="G56">
        <v>17850</v>
      </c>
      <c r="H56" t="s">
        <v>10</v>
      </c>
    </row>
    <row r="57" spans="1:8" x14ac:dyDescent="0.25">
      <c r="A57">
        <v>536373</v>
      </c>
      <c r="B57">
        <v>21071</v>
      </c>
      <c r="C57" t="s">
        <v>65</v>
      </c>
      <c r="D57">
        <v>6</v>
      </c>
      <c r="E57" s="1">
        <v>40513.376388888886</v>
      </c>
      <c r="F57">
        <v>1.06</v>
      </c>
      <c r="G57">
        <v>17850</v>
      </c>
      <c r="H57" t="s">
        <v>10</v>
      </c>
    </row>
    <row r="58" spans="1:8" x14ac:dyDescent="0.25">
      <c r="A58">
        <v>536373</v>
      </c>
      <c r="B58">
        <v>21068</v>
      </c>
      <c r="C58" t="s">
        <v>66</v>
      </c>
      <c r="D58">
        <v>6</v>
      </c>
      <c r="E58" s="1">
        <v>40513.376388888886</v>
      </c>
      <c r="F58">
        <v>1.06</v>
      </c>
      <c r="G58">
        <v>17850</v>
      </c>
      <c r="H58" t="s">
        <v>10</v>
      </c>
    </row>
    <row r="59" spans="1:8" x14ac:dyDescent="0.25">
      <c r="A59">
        <v>536373</v>
      </c>
      <c r="B59">
        <v>82483</v>
      </c>
      <c r="C59" t="s">
        <v>67</v>
      </c>
      <c r="D59">
        <v>2</v>
      </c>
      <c r="E59" s="1">
        <v>40513.376388888886</v>
      </c>
      <c r="F59">
        <v>4.95</v>
      </c>
      <c r="G59">
        <v>17850</v>
      </c>
      <c r="H59" t="s">
        <v>10</v>
      </c>
    </row>
    <row r="60" spans="1:8" x14ac:dyDescent="0.25">
      <c r="A60">
        <v>536373</v>
      </c>
      <c r="B60">
        <v>82486</v>
      </c>
      <c r="C60" t="s">
        <v>68</v>
      </c>
      <c r="D60">
        <v>4</v>
      </c>
      <c r="E60" s="1">
        <v>40513.376388888886</v>
      </c>
      <c r="F60">
        <v>6.95</v>
      </c>
      <c r="G60">
        <v>17850</v>
      </c>
      <c r="H60" t="s">
        <v>10</v>
      </c>
    </row>
    <row r="61" spans="1:8" x14ac:dyDescent="0.25">
      <c r="A61">
        <v>536373</v>
      </c>
      <c r="B61">
        <v>82482</v>
      </c>
      <c r="C61" t="s">
        <v>69</v>
      </c>
      <c r="D61">
        <v>6</v>
      </c>
      <c r="E61" s="1">
        <v>40513.376388888886</v>
      </c>
      <c r="F61">
        <v>2.1</v>
      </c>
      <c r="G61">
        <v>17850</v>
      </c>
      <c r="H61" t="s">
        <v>10</v>
      </c>
    </row>
    <row r="62" spans="1:8" x14ac:dyDescent="0.25">
      <c r="A62">
        <v>536373</v>
      </c>
      <c r="B62" t="s">
        <v>70</v>
      </c>
      <c r="C62" t="s">
        <v>71</v>
      </c>
      <c r="D62">
        <v>6</v>
      </c>
      <c r="E62" s="1">
        <v>40513.376388888886</v>
      </c>
      <c r="F62">
        <v>2.5499999999999998</v>
      </c>
      <c r="G62">
        <v>17850</v>
      </c>
      <c r="H62" t="s">
        <v>10</v>
      </c>
    </row>
    <row r="63" spans="1:8" x14ac:dyDescent="0.25">
      <c r="A63">
        <v>536373</v>
      </c>
      <c r="B63" t="s">
        <v>14</v>
      </c>
      <c r="C63" t="s">
        <v>15</v>
      </c>
      <c r="D63">
        <v>6</v>
      </c>
      <c r="E63" s="1">
        <v>40513.376388888886</v>
      </c>
      <c r="F63">
        <v>3.39</v>
      </c>
      <c r="G63">
        <v>17850</v>
      </c>
      <c r="H63" t="s">
        <v>10</v>
      </c>
    </row>
    <row r="64" spans="1:8" x14ac:dyDescent="0.25">
      <c r="A64">
        <v>536373</v>
      </c>
      <c r="B64" t="s">
        <v>16</v>
      </c>
      <c r="C64" t="s">
        <v>17</v>
      </c>
      <c r="D64">
        <v>6</v>
      </c>
      <c r="E64" s="1">
        <v>40513.376388888886</v>
      </c>
      <c r="F64">
        <v>3.39</v>
      </c>
      <c r="G64">
        <v>17850</v>
      </c>
      <c r="H64" t="s">
        <v>10</v>
      </c>
    </row>
    <row r="65" spans="1:8" x14ac:dyDescent="0.25">
      <c r="A65">
        <v>536373</v>
      </c>
      <c r="B65">
        <v>22752</v>
      </c>
      <c r="C65" t="s">
        <v>18</v>
      </c>
      <c r="D65">
        <v>2</v>
      </c>
      <c r="E65" s="1">
        <v>40513.376388888886</v>
      </c>
      <c r="F65">
        <v>7.65</v>
      </c>
      <c r="G65">
        <v>17850</v>
      </c>
      <c r="H65" t="s">
        <v>10</v>
      </c>
    </row>
    <row r="66" spans="1:8" x14ac:dyDescent="0.25">
      <c r="A66">
        <v>536373</v>
      </c>
      <c r="B66">
        <v>21730</v>
      </c>
      <c r="C66" t="s">
        <v>19</v>
      </c>
      <c r="D66">
        <v>6</v>
      </c>
      <c r="E66" s="1">
        <v>40513.376388888886</v>
      </c>
      <c r="F66">
        <v>4.25</v>
      </c>
      <c r="G66">
        <v>17850</v>
      </c>
      <c r="H66" t="s">
        <v>10</v>
      </c>
    </row>
    <row r="67" spans="1:8" x14ac:dyDescent="0.25">
      <c r="A67">
        <v>536374</v>
      </c>
      <c r="B67">
        <v>21258</v>
      </c>
      <c r="C67" t="s">
        <v>72</v>
      </c>
      <c r="D67">
        <v>32</v>
      </c>
      <c r="E67" s="1">
        <v>40513.381249999999</v>
      </c>
      <c r="F67">
        <v>10.95</v>
      </c>
      <c r="G67">
        <v>15100</v>
      </c>
      <c r="H67" t="s">
        <v>10</v>
      </c>
    </row>
    <row r="68" spans="1:8" x14ac:dyDescent="0.25">
      <c r="A68">
        <v>536375</v>
      </c>
      <c r="B68" t="s">
        <v>8</v>
      </c>
      <c r="C68" t="s">
        <v>9</v>
      </c>
      <c r="D68">
        <v>6</v>
      </c>
      <c r="E68" s="1">
        <v>40513.397222222222</v>
      </c>
      <c r="F68">
        <v>2.5499999999999998</v>
      </c>
      <c r="G68">
        <v>17850</v>
      </c>
      <c r="H68" t="s">
        <v>10</v>
      </c>
    </row>
    <row r="69" spans="1:8" x14ac:dyDescent="0.25">
      <c r="A69">
        <v>536375</v>
      </c>
      <c r="B69">
        <v>71053</v>
      </c>
      <c r="C69" t="s">
        <v>11</v>
      </c>
      <c r="D69">
        <v>6</v>
      </c>
      <c r="E69" s="1">
        <v>40513.397222222222</v>
      </c>
      <c r="F69">
        <v>3.39</v>
      </c>
      <c r="G69">
        <v>17850</v>
      </c>
      <c r="H69" t="s">
        <v>10</v>
      </c>
    </row>
    <row r="70" spans="1:8" x14ac:dyDescent="0.25">
      <c r="A70">
        <v>536375</v>
      </c>
      <c r="B70" t="s">
        <v>12</v>
      </c>
      <c r="C70" t="s">
        <v>13</v>
      </c>
      <c r="D70">
        <v>8</v>
      </c>
      <c r="E70" s="1">
        <v>40513.397222222222</v>
      </c>
      <c r="F70">
        <v>2.75</v>
      </c>
      <c r="G70">
        <v>17850</v>
      </c>
      <c r="H70" t="s">
        <v>10</v>
      </c>
    </row>
    <row r="71" spans="1:8" x14ac:dyDescent="0.25">
      <c r="A71">
        <v>536375</v>
      </c>
      <c r="B71">
        <v>20679</v>
      </c>
      <c r="C71" t="s">
        <v>62</v>
      </c>
      <c r="D71">
        <v>6</v>
      </c>
      <c r="E71" s="1">
        <v>40513.397222222222</v>
      </c>
      <c r="F71">
        <v>4.95</v>
      </c>
      <c r="G71">
        <v>17850</v>
      </c>
      <c r="H71" t="s">
        <v>10</v>
      </c>
    </row>
    <row r="72" spans="1:8" x14ac:dyDescent="0.25">
      <c r="A72">
        <v>536375</v>
      </c>
      <c r="B72">
        <v>37370</v>
      </c>
      <c r="C72" t="s">
        <v>63</v>
      </c>
      <c r="D72">
        <v>6</v>
      </c>
      <c r="E72" s="1">
        <v>40513.397222222222</v>
      </c>
      <c r="F72">
        <v>1.06</v>
      </c>
      <c r="G72">
        <v>17850</v>
      </c>
      <c r="H72" t="s">
        <v>10</v>
      </c>
    </row>
    <row r="73" spans="1:8" x14ac:dyDescent="0.25">
      <c r="A73">
        <v>536375</v>
      </c>
      <c r="B73">
        <v>21871</v>
      </c>
      <c r="C73" t="s">
        <v>64</v>
      </c>
      <c r="D73">
        <v>6</v>
      </c>
      <c r="E73" s="1">
        <v>40513.397222222222</v>
      </c>
      <c r="F73">
        <v>1.06</v>
      </c>
      <c r="G73">
        <v>17850</v>
      </c>
      <c r="H73" t="s">
        <v>10</v>
      </c>
    </row>
    <row r="74" spans="1:8" x14ac:dyDescent="0.25">
      <c r="A74">
        <v>536375</v>
      </c>
      <c r="B74">
        <v>21071</v>
      </c>
      <c r="C74" t="s">
        <v>65</v>
      </c>
      <c r="D74">
        <v>6</v>
      </c>
      <c r="E74" s="1">
        <v>40513.397222222222</v>
      </c>
      <c r="F74">
        <v>1.06</v>
      </c>
      <c r="G74">
        <v>17850</v>
      </c>
      <c r="H74" t="s">
        <v>10</v>
      </c>
    </row>
    <row r="75" spans="1:8" x14ac:dyDescent="0.25">
      <c r="A75">
        <v>536375</v>
      </c>
      <c r="B75">
        <v>21068</v>
      </c>
      <c r="C75" t="s">
        <v>66</v>
      </c>
      <c r="D75">
        <v>6</v>
      </c>
      <c r="E75" s="1">
        <v>40513.397222222222</v>
      </c>
      <c r="F75">
        <v>1.06</v>
      </c>
      <c r="G75">
        <v>17850</v>
      </c>
      <c r="H75" t="s">
        <v>10</v>
      </c>
    </row>
    <row r="76" spans="1:8" x14ac:dyDescent="0.25">
      <c r="A76">
        <v>536375</v>
      </c>
      <c r="B76">
        <v>82483</v>
      </c>
      <c r="C76" t="s">
        <v>67</v>
      </c>
      <c r="D76">
        <v>2</v>
      </c>
      <c r="E76" s="1">
        <v>40513.397222222222</v>
      </c>
      <c r="F76">
        <v>4.95</v>
      </c>
      <c r="G76">
        <v>17850</v>
      </c>
      <c r="H76" t="s">
        <v>10</v>
      </c>
    </row>
    <row r="77" spans="1:8" x14ac:dyDescent="0.25">
      <c r="A77">
        <v>536375</v>
      </c>
      <c r="B77">
        <v>82486</v>
      </c>
      <c r="C77" t="s">
        <v>68</v>
      </c>
      <c r="D77">
        <v>4</v>
      </c>
      <c r="E77" s="1">
        <v>40513.397222222222</v>
      </c>
      <c r="F77">
        <v>6.95</v>
      </c>
      <c r="G77">
        <v>17850</v>
      </c>
      <c r="H77" t="s">
        <v>10</v>
      </c>
    </row>
    <row r="78" spans="1:8" x14ac:dyDescent="0.25">
      <c r="A78">
        <v>536375</v>
      </c>
      <c r="B78">
        <v>82482</v>
      </c>
      <c r="C78" t="s">
        <v>69</v>
      </c>
      <c r="D78">
        <v>6</v>
      </c>
      <c r="E78" s="1">
        <v>40513.397222222222</v>
      </c>
      <c r="F78">
        <v>2.1</v>
      </c>
      <c r="G78">
        <v>17850</v>
      </c>
      <c r="H78" t="s">
        <v>10</v>
      </c>
    </row>
    <row r="79" spans="1:8" x14ac:dyDescent="0.25">
      <c r="A79">
        <v>536375</v>
      </c>
      <c r="B79" t="s">
        <v>70</v>
      </c>
      <c r="C79" t="s">
        <v>71</v>
      </c>
      <c r="D79">
        <v>6</v>
      </c>
      <c r="E79" s="1">
        <v>40513.397222222222</v>
      </c>
      <c r="F79">
        <v>2.5499999999999998</v>
      </c>
      <c r="G79">
        <v>17850</v>
      </c>
      <c r="H79" t="s">
        <v>10</v>
      </c>
    </row>
    <row r="80" spans="1:8" x14ac:dyDescent="0.25">
      <c r="A80">
        <v>536375</v>
      </c>
      <c r="B80" t="s">
        <v>14</v>
      </c>
      <c r="C80" t="s">
        <v>15</v>
      </c>
      <c r="D80">
        <v>6</v>
      </c>
      <c r="E80" s="1">
        <v>40513.397222222222</v>
      </c>
      <c r="F80">
        <v>3.39</v>
      </c>
      <c r="G80">
        <v>17850</v>
      </c>
      <c r="H80" t="s">
        <v>10</v>
      </c>
    </row>
    <row r="81" spans="1:8" x14ac:dyDescent="0.25">
      <c r="A81">
        <v>536375</v>
      </c>
      <c r="B81" t="s">
        <v>16</v>
      </c>
      <c r="C81" t="s">
        <v>17</v>
      </c>
      <c r="D81">
        <v>6</v>
      </c>
      <c r="E81" s="1">
        <v>40513.397222222222</v>
      </c>
      <c r="F81">
        <v>3.39</v>
      </c>
      <c r="G81">
        <v>17850</v>
      </c>
      <c r="H81" t="s">
        <v>10</v>
      </c>
    </row>
    <row r="82" spans="1:8" x14ac:dyDescent="0.25">
      <c r="A82">
        <v>536375</v>
      </c>
      <c r="B82">
        <v>22752</v>
      </c>
      <c r="C82" t="s">
        <v>18</v>
      </c>
      <c r="D82">
        <v>2</v>
      </c>
      <c r="E82" s="1">
        <v>40513.397222222222</v>
      </c>
      <c r="F82">
        <v>7.65</v>
      </c>
      <c r="G82">
        <v>17850</v>
      </c>
      <c r="H82" t="s">
        <v>10</v>
      </c>
    </row>
    <row r="83" spans="1:8" x14ac:dyDescent="0.25">
      <c r="A83">
        <v>536375</v>
      </c>
      <c r="B83">
        <v>21730</v>
      </c>
      <c r="C83" t="s">
        <v>19</v>
      </c>
      <c r="D83">
        <v>6</v>
      </c>
      <c r="E83" s="1">
        <v>40513.397222222222</v>
      </c>
      <c r="F83">
        <v>4.25</v>
      </c>
      <c r="G83">
        <v>17850</v>
      </c>
      <c r="H83" t="s">
        <v>10</v>
      </c>
    </row>
    <row r="84" spans="1:8" x14ac:dyDescent="0.25">
      <c r="A84">
        <v>536376</v>
      </c>
      <c r="B84">
        <v>22114</v>
      </c>
      <c r="C84" t="s">
        <v>73</v>
      </c>
      <c r="D84">
        <v>48</v>
      </c>
      <c r="E84" s="1">
        <v>40513.397222222222</v>
      </c>
      <c r="F84">
        <v>3.45</v>
      </c>
      <c r="G84">
        <v>15291</v>
      </c>
      <c r="H84" t="s">
        <v>10</v>
      </c>
    </row>
    <row r="85" spans="1:8" x14ac:dyDescent="0.25">
      <c r="A85">
        <v>536376</v>
      </c>
      <c r="B85">
        <v>21733</v>
      </c>
      <c r="C85" t="s">
        <v>74</v>
      </c>
      <c r="D85">
        <v>64</v>
      </c>
      <c r="E85" s="1">
        <v>40513.397222222222</v>
      </c>
      <c r="F85">
        <v>2.5499999999999998</v>
      </c>
      <c r="G85">
        <v>15291</v>
      </c>
      <c r="H85" t="s">
        <v>10</v>
      </c>
    </row>
    <row r="86" spans="1:8" x14ac:dyDescent="0.25">
      <c r="A86">
        <v>536377</v>
      </c>
      <c r="B86">
        <v>22632</v>
      </c>
      <c r="C86" t="s">
        <v>21</v>
      </c>
      <c r="D86">
        <v>6</v>
      </c>
      <c r="E86" s="1">
        <v>40513.398611111108</v>
      </c>
      <c r="F86">
        <v>1.85</v>
      </c>
      <c r="G86">
        <v>17850</v>
      </c>
      <c r="H86" t="s">
        <v>10</v>
      </c>
    </row>
    <row r="87" spans="1:8" x14ac:dyDescent="0.25">
      <c r="A87">
        <v>536377</v>
      </c>
      <c r="B87">
        <v>22633</v>
      </c>
      <c r="C87" t="s">
        <v>20</v>
      </c>
      <c r="D87">
        <v>6</v>
      </c>
      <c r="E87" s="1">
        <v>40513.398611111108</v>
      </c>
      <c r="F87">
        <v>1.85</v>
      </c>
      <c r="G87">
        <v>17850</v>
      </c>
      <c r="H87" t="s">
        <v>10</v>
      </c>
    </row>
    <row r="88" spans="1:8" x14ac:dyDescent="0.25">
      <c r="A88">
        <v>536378</v>
      </c>
      <c r="B88">
        <v>22386</v>
      </c>
      <c r="C88" t="s">
        <v>75</v>
      </c>
      <c r="D88">
        <v>10</v>
      </c>
      <c r="E88" s="1">
        <v>40513.400694444441</v>
      </c>
      <c r="F88">
        <v>1.95</v>
      </c>
      <c r="G88">
        <v>14688</v>
      </c>
      <c r="H88" t="s">
        <v>10</v>
      </c>
    </row>
    <row r="89" spans="1:8" x14ac:dyDescent="0.25">
      <c r="A89">
        <v>536378</v>
      </c>
      <c r="B89" t="s">
        <v>76</v>
      </c>
      <c r="C89" t="s">
        <v>77</v>
      </c>
      <c r="D89">
        <v>10</v>
      </c>
      <c r="E89" s="1">
        <v>40513.400694444441</v>
      </c>
      <c r="F89">
        <v>1.95</v>
      </c>
      <c r="G89">
        <v>14688</v>
      </c>
      <c r="H89" t="s">
        <v>10</v>
      </c>
    </row>
    <row r="90" spans="1:8" x14ac:dyDescent="0.25">
      <c r="A90">
        <v>536378</v>
      </c>
      <c r="B90">
        <v>21033</v>
      </c>
      <c r="C90" t="s">
        <v>78</v>
      </c>
      <c r="D90">
        <v>10</v>
      </c>
      <c r="E90" s="1">
        <v>40513.400694444441</v>
      </c>
      <c r="F90">
        <v>2.95</v>
      </c>
      <c r="G90">
        <v>14688</v>
      </c>
      <c r="H90" t="s">
        <v>10</v>
      </c>
    </row>
    <row r="91" spans="1:8" x14ac:dyDescent="0.25">
      <c r="A91">
        <v>536378</v>
      </c>
      <c r="B91">
        <v>20723</v>
      </c>
      <c r="C91" t="s">
        <v>79</v>
      </c>
      <c r="D91">
        <v>10</v>
      </c>
      <c r="E91" s="1">
        <v>40513.400694444441</v>
      </c>
      <c r="F91">
        <v>0.85</v>
      </c>
      <c r="G91">
        <v>14688</v>
      </c>
      <c r="H91" t="s">
        <v>10</v>
      </c>
    </row>
    <row r="92" spans="1:8" x14ac:dyDescent="0.25">
      <c r="A92">
        <v>536378</v>
      </c>
      <c r="B92" t="s">
        <v>80</v>
      </c>
      <c r="C92" t="s">
        <v>81</v>
      </c>
      <c r="D92">
        <v>12</v>
      </c>
      <c r="E92" s="1">
        <v>40513.400694444441</v>
      </c>
      <c r="F92">
        <v>3.75</v>
      </c>
      <c r="G92">
        <v>14688</v>
      </c>
      <c r="H92" t="s">
        <v>10</v>
      </c>
    </row>
    <row r="93" spans="1:8" x14ac:dyDescent="0.25">
      <c r="A93">
        <v>536378</v>
      </c>
      <c r="B93" t="s">
        <v>82</v>
      </c>
      <c r="C93" t="s">
        <v>83</v>
      </c>
      <c r="D93">
        <v>6</v>
      </c>
      <c r="E93" s="1">
        <v>40513.400694444441</v>
      </c>
      <c r="F93">
        <v>3.75</v>
      </c>
      <c r="G93">
        <v>14688</v>
      </c>
      <c r="H93" t="s">
        <v>10</v>
      </c>
    </row>
    <row r="94" spans="1:8" x14ac:dyDescent="0.25">
      <c r="A94">
        <v>536378</v>
      </c>
      <c r="B94">
        <v>21094</v>
      </c>
      <c r="C94" t="s">
        <v>84</v>
      </c>
      <c r="D94">
        <v>12</v>
      </c>
      <c r="E94" s="1">
        <v>40513.400694444441</v>
      </c>
      <c r="F94">
        <v>0.85</v>
      </c>
      <c r="G94">
        <v>14688</v>
      </c>
      <c r="H94" t="s">
        <v>10</v>
      </c>
    </row>
    <row r="95" spans="1:8" x14ac:dyDescent="0.25">
      <c r="A95">
        <v>536378</v>
      </c>
      <c r="B95">
        <v>20725</v>
      </c>
      <c r="C95" t="s">
        <v>85</v>
      </c>
      <c r="D95">
        <v>10</v>
      </c>
      <c r="E95" s="1">
        <v>40513.400694444441</v>
      </c>
      <c r="F95">
        <v>1.65</v>
      </c>
      <c r="G95">
        <v>14688</v>
      </c>
      <c r="H95" t="s">
        <v>10</v>
      </c>
    </row>
    <row r="96" spans="1:8" x14ac:dyDescent="0.25">
      <c r="A96">
        <v>536378</v>
      </c>
      <c r="B96">
        <v>21559</v>
      </c>
      <c r="C96" t="s">
        <v>86</v>
      </c>
      <c r="D96">
        <v>6</v>
      </c>
      <c r="E96" s="1">
        <v>40513.400694444441</v>
      </c>
      <c r="F96">
        <v>2.5499999999999998</v>
      </c>
      <c r="G96">
        <v>14688</v>
      </c>
      <c r="H96" t="s">
        <v>10</v>
      </c>
    </row>
    <row r="97" spans="1:8" x14ac:dyDescent="0.25">
      <c r="A97">
        <v>536378</v>
      </c>
      <c r="B97">
        <v>22352</v>
      </c>
      <c r="C97" t="s">
        <v>87</v>
      </c>
      <c r="D97">
        <v>6</v>
      </c>
      <c r="E97" s="1">
        <v>40513.400694444441</v>
      </c>
      <c r="F97">
        <v>2.5499999999999998</v>
      </c>
      <c r="G97">
        <v>14688</v>
      </c>
      <c r="H97" t="s">
        <v>10</v>
      </c>
    </row>
    <row r="98" spans="1:8" x14ac:dyDescent="0.25">
      <c r="A98">
        <v>536378</v>
      </c>
      <c r="B98">
        <v>21212</v>
      </c>
      <c r="C98" t="s">
        <v>88</v>
      </c>
      <c r="D98">
        <v>120</v>
      </c>
      <c r="E98" s="1">
        <v>40513.400694444441</v>
      </c>
      <c r="F98">
        <v>0.42</v>
      </c>
      <c r="G98">
        <v>14688</v>
      </c>
      <c r="H98" t="s">
        <v>10</v>
      </c>
    </row>
    <row r="99" spans="1:8" x14ac:dyDescent="0.25">
      <c r="A99">
        <v>536378</v>
      </c>
      <c r="B99">
        <v>21975</v>
      </c>
      <c r="C99" t="s">
        <v>89</v>
      </c>
      <c r="D99">
        <v>24</v>
      </c>
      <c r="E99" s="1">
        <v>40513.400694444441</v>
      </c>
      <c r="F99">
        <v>0.55000000000000004</v>
      </c>
      <c r="G99">
        <v>14688</v>
      </c>
      <c r="H99" t="s">
        <v>10</v>
      </c>
    </row>
    <row r="100" spans="1:8" x14ac:dyDescent="0.25">
      <c r="A100">
        <v>536378</v>
      </c>
      <c r="B100">
        <v>21977</v>
      </c>
      <c r="C100" t="s">
        <v>90</v>
      </c>
      <c r="D100">
        <v>24</v>
      </c>
      <c r="E100" s="1">
        <v>40513.400694444441</v>
      </c>
      <c r="F100">
        <v>0.55000000000000004</v>
      </c>
      <c r="G100">
        <v>14688</v>
      </c>
      <c r="H100" t="s">
        <v>10</v>
      </c>
    </row>
    <row r="101" spans="1:8" x14ac:dyDescent="0.25">
      <c r="A101">
        <v>536378</v>
      </c>
      <c r="B101">
        <v>84991</v>
      </c>
      <c r="C101" t="s">
        <v>91</v>
      </c>
      <c r="D101">
        <v>24</v>
      </c>
      <c r="E101" s="1">
        <v>40513.400694444441</v>
      </c>
      <c r="F101">
        <v>0.55000000000000004</v>
      </c>
      <c r="G101">
        <v>14688</v>
      </c>
      <c r="H101" t="s">
        <v>10</v>
      </c>
    </row>
    <row r="102" spans="1:8" x14ac:dyDescent="0.25">
      <c r="A102">
        <v>536378</v>
      </c>
      <c r="B102" t="s">
        <v>92</v>
      </c>
      <c r="C102" t="s">
        <v>93</v>
      </c>
      <c r="D102">
        <v>6</v>
      </c>
      <c r="E102" s="1">
        <v>40513.400694444441</v>
      </c>
      <c r="F102">
        <v>2.95</v>
      </c>
      <c r="G102">
        <v>14688</v>
      </c>
      <c r="H102" t="s">
        <v>10</v>
      </c>
    </row>
    <row r="103" spans="1:8" x14ac:dyDescent="0.25">
      <c r="A103">
        <v>536378</v>
      </c>
      <c r="B103" t="s">
        <v>94</v>
      </c>
      <c r="C103" t="s">
        <v>95</v>
      </c>
      <c r="D103">
        <v>48</v>
      </c>
      <c r="E103" s="1">
        <v>40513.400694444441</v>
      </c>
      <c r="F103">
        <v>1.25</v>
      </c>
      <c r="G103">
        <v>14688</v>
      </c>
      <c r="H103" t="s">
        <v>10</v>
      </c>
    </row>
    <row r="104" spans="1:8" x14ac:dyDescent="0.25">
      <c r="A104">
        <v>536378</v>
      </c>
      <c r="B104" t="s">
        <v>96</v>
      </c>
      <c r="C104" t="s">
        <v>97</v>
      </c>
      <c r="D104">
        <v>96</v>
      </c>
      <c r="E104" s="1">
        <v>40513.400694444441</v>
      </c>
      <c r="F104">
        <v>0.38</v>
      </c>
      <c r="G104">
        <v>14688</v>
      </c>
      <c r="H104" t="s">
        <v>10</v>
      </c>
    </row>
    <row r="105" spans="1:8" x14ac:dyDescent="0.25">
      <c r="A105">
        <v>536378</v>
      </c>
      <c r="B105">
        <v>21931</v>
      </c>
      <c r="C105" t="s">
        <v>98</v>
      </c>
      <c r="D105">
        <v>10</v>
      </c>
      <c r="E105" s="1">
        <v>40513.400694444441</v>
      </c>
      <c r="F105">
        <v>1.95</v>
      </c>
      <c r="G105">
        <v>14688</v>
      </c>
      <c r="H105" t="s">
        <v>10</v>
      </c>
    </row>
    <row r="106" spans="1:8" x14ac:dyDescent="0.25">
      <c r="A106">
        <v>536378</v>
      </c>
      <c r="B106">
        <v>21929</v>
      </c>
      <c r="C106" t="s">
        <v>99</v>
      </c>
      <c r="D106">
        <v>10</v>
      </c>
      <c r="E106" s="1">
        <v>40513.400694444441</v>
      </c>
      <c r="F106">
        <v>1.95</v>
      </c>
      <c r="G106">
        <v>14688</v>
      </c>
      <c r="H106" t="s">
        <v>10</v>
      </c>
    </row>
    <row r="107" spans="1:8" x14ac:dyDescent="0.25">
      <c r="A107">
        <v>536380</v>
      </c>
      <c r="B107">
        <v>22961</v>
      </c>
      <c r="C107" t="s">
        <v>100</v>
      </c>
      <c r="D107">
        <v>24</v>
      </c>
      <c r="E107" s="1">
        <v>40513.40347222222</v>
      </c>
      <c r="F107">
        <v>1.45</v>
      </c>
      <c r="G107">
        <v>17809</v>
      </c>
      <c r="H107" t="s">
        <v>10</v>
      </c>
    </row>
    <row r="108" spans="1:8" x14ac:dyDescent="0.25">
      <c r="A108">
        <v>536381</v>
      </c>
      <c r="B108">
        <v>22139</v>
      </c>
      <c r="C108" t="s">
        <v>101</v>
      </c>
      <c r="D108">
        <v>23</v>
      </c>
      <c r="E108" s="1">
        <v>40513.40347222222</v>
      </c>
      <c r="F108">
        <v>4.25</v>
      </c>
      <c r="G108">
        <v>15311</v>
      </c>
      <c r="H108" t="s">
        <v>10</v>
      </c>
    </row>
    <row r="109" spans="1:8" x14ac:dyDescent="0.25">
      <c r="A109">
        <v>536381</v>
      </c>
      <c r="B109">
        <v>84854</v>
      </c>
      <c r="C109" t="s">
        <v>102</v>
      </c>
      <c r="D109">
        <v>5</v>
      </c>
      <c r="E109" s="1">
        <v>40513.40347222222</v>
      </c>
      <c r="F109">
        <v>4.95</v>
      </c>
      <c r="G109">
        <v>15311</v>
      </c>
      <c r="H109" t="s">
        <v>10</v>
      </c>
    </row>
    <row r="110" spans="1:8" x14ac:dyDescent="0.25">
      <c r="A110">
        <v>536381</v>
      </c>
      <c r="B110">
        <v>22411</v>
      </c>
      <c r="C110" t="s">
        <v>103</v>
      </c>
      <c r="D110">
        <v>10</v>
      </c>
      <c r="E110" s="1">
        <v>40513.40347222222</v>
      </c>
      <c r="F110">
        <v>1.95</v>
      </c>
      <c r="G110">
        <v>15311</v>
      </c>
      <c r="H110" t="s">
        <v>10</v>
      </c>
    </row>
    <row r="111" spans="1:8" x14ac:dyDescent="0.25">
      <c r="A111">
        <v>536381</v>
      </c>
      <c r="B111">
        <v>82567</v>
      </c>
      <c r="C111" t="s">
        <v>104</v>
      </c>
      <c r="D111">
        <v>2</v>
      </c>
      <c r="E111" s="1">
        <v>40513.40347222222</v>
      </c>
      <c r="F111">
        <v>2.1</v>
      </c>
      <c r="G111">
        <v>15311</v>
      </c>
      <c r="H111" t="s">
        <v>10</v>
      </c>
    </row>
    <row r="112" spans="1:8" x14ac:dyDescent="0.25">
      <c r="A112">
        <v>536381</v>
      </c>
      <c r="B112">
        <v>21672</v>
      </c>
      <c r="C112" t="s">
        <v>105</v>
      </c>
      <c r="D112">
        <v>6</v>
      </c>
      <c r="E112" s="1">
        <v>40513.40347222222</v>
      </c>
      <c r="F112">
        <v>1.25</v>
      </c>
      <c r="G112">
        <v>15311</v>
      </c>
      <c r="H112" t="s">
        <v>10</v>
      </c>
    </row>
    <row r="113" spans="1:8" x14ac:dyDescent="0.25">
      <c r="A113">
        <v>536381</v>
      </c>
      <c r="B113">
        <v>22774</v>
      </c>
      <c r="C113" t="s">
        <v>106</v>
      </c>
      <c r="D113">
        <v>24</v>
      </c>
      <c r="E113" s="1">
        <v>40513.40347222222</v>
      </c>
      <c r="F113">
        <v>1.25</v>
      </c>
      <c r="G113">
        <v>15311</v>
      </c>
      <c r="H113" t="s">
        <v>10</v>
      </c>
    </row>
    <row r="114" spans="1:8" x14ac:dyDescent="0.25">
      <c r="A114">
        <v>536381</v>
      </c>
      <c r="B114">
        <v>22771</v>
      </c>
      <c r="C114" t="s">
        <v>107</v>
      </c>
      <c r="D114">
        <v>24</v>
      </c>
      <c r="E114" s="1">
        <v>40513.40347222222</v>
      </c>
      <c r="F114">
        <v>1.25</v>
      </c>
      <c r="G114">
        <v>15311</v>
      </c>
      <c r="H114" t="s">
        <v>10</v>
      </c>
    </row>
    <row r="115" spans="1:8" x14ac:dyDescent="0.25">
      <c r="A115">
        <v>536381</v>
      </c>
      <c r="B115">
        <v>71270</v>
      </c>
      <c r="C115" t="s">
        <v>108</v>
      </c>
      <c r="D115">
        <v>1</v>
      </c>
      <c r="E115" s="1">
        <v>40513.40347222222</v>
      </c>
      <c r="F115">
        <v>1.25</v>
      </c>
      <c r="G115">
        <v>15311</v>
      </c>
      <c r="H115" t="s">
        <v>10</v>
      </c>
    </row>
    <row r="116" spans="1:8" x14ac:dyDescent="0.25">
      <c r="A116">
        <v>536381</v>
      </c>
      <c r="B116">
        <v>22262</v>
      </c>
      <c r="C116" t="s">
        <v>109</v>
      </c>
      <c r="D116">
        <v>1</v>
      </c>
      <c r="E116" s="1">
        <v>40513.40347222222</v>
      </c>
      <c r="F116">
        <v>0.85</v>
      </c>
      <c r="G116">
        <v>15311</v>
      </c>
      <c r="H116" t="s">
        <v>10</v>
      </c>
    </row>
    <row r="117" spans="1:8" x14ac:dyDescent="0.25">
      <c r="A117">
        <v>536381</v>
      </c>
      <c r="B117">
        <v>22637</v>
      </c>
      <c r="C117" t="s">
        <v>110</v>
      </c>
      <c r="D117">
        <v>1</v>
      </c>
      <c r="E117" s="1">
        <v>40513.40347222222</v>
      </c>
      <c r="F117">
        <v>2.5499999999999998</v>
      </c>
      <c r="G117">
        <v>15311</v>
      </c>
      <c r="H117" t="s">
        <v>10</v>
      </c>
    </row>
    <row r="118" spans="1:8" x14ac:dyDescent="0.25">
      <c r="A118">
        <v>536381</v>
      </c>
      <c r="B118">
        <v>21934</v>
      </c>
      <c r="C118" t="s">
        <v>111</v>
      </c>
      <c r="D118">
        <v>10</v>
      </c>
      <c r="E118" s="1">
        <v>40513.40347222222</v>
      </c>
      <c r="F118">
        <v>1.65</v>
      </c>
      <c r="G118">
        <v>15311</v>
      </c>
      <c r="H118" t="s">
        <v>10</v>
      </c>
    </row>
    <row r="119" spans="1:8" x14ac:dyDescent="0.25">
      <c r="A119">
        <v>536381</v>
      </c>
      <c r="B119">
        <v>21169</v>
      </c>
      <c r="C119" t="s">
        <v>112</v>
      </c>
      <c r="D119">
        <v>3</v>
      </c>
      <c r="E119" s="1">
        <v>40513.40347222222</v>
      </c>
      <c r="F119">
        <v>1.69</v>
      </c>
      <c r="G119">
        <v>15311</v>
      </c>
      <c r="H119" t="s">
        <v>10</v>
      </c>
    </row>
    <row r="120" spans="1:8" x14ac:dyDescent="0.25">
      <c r="A120">
        <v>536381</v>
      </c>
      <c r="B120">
        <v>21166</v>
      </c>
      <c r="C120" t="s">
        <v>113</v>
      </c>
      <c r="D120">
        <v>1</v>
      </c>
      <c r="E120" s="1">
        <v>40513.40347222222</v>
      </c>
      <c r="F120">
        <v>1.95</v>
      </c>
      <c r="G120">
        <v>15311</v>
      </c>
      <c r="H120" t="s">
        <v>10</v>
      </c>
    </row>
    <row r="121" spans="1:8" x14ac:dyDescent="0.25">
      <c r="A121">
        <v>536381</v>
      </c>
      <c r="B121">
        <v>21175</v>
      </c>
      <c r="C121" t="s">
        <v>114</v>
      </c>
      <c r="D121">
        <v>2</v>
      </c>
      <c r="E121" s="1">
        <v>40513.40347222222</v>
      </c>
      <c r="F121">
        <v>2.1</v>
      </c>
      <c r="G121">
        <v>15311</v>
      </c>
      <c r="H121" t="s">
        <v>10</v>
      </c>
    </row>
    <row r="122" spans="1:8" x14ac:dyDescent="0.25">
      <c r="A122">
        <v>536381</v>
      </c>
      <c r="B122" t="s">
        <v>115</v>
      </c>
      <c r="C122" t="s">
        <v>116</v>
      </c>
      <c r="D122">
        <v>1</v>
      </c>
      <c r="E122" s="1">
        <v>40513.40347222222</v>
      </c>
      <c r="F122">
        <v>2.95</v>
      </c>
      <c r="G122">
        <v>15311</v>
      </c>
      <c r="H122" t="s">
        <v>10</v>
      </c>
    </row>
    <row r="123" spans="1:8" x14ac:dyDescent="0.25">
      <c r="A123">
        <v>536381</v>
      </c>
      <c r="B123" t="s">
        <v>117</v>
      </c>
      <c r="C123" t="s">
        <v>118</v>
      </c>
      <c r="D123">
        <v>1</v>
      </c>
      <c r="E123" s="1">
        <v>40513.40347222222</v>
      </c>
      <c r="F123">
        <v>2.95</v>
      </c>
      <c r="G123">
        <v>15311</v>
      </c>
      <c r="H123" t="s">
        <v>10</v>
      </c>
    </row>
    <row r="124" spans="1:8" x14ac:dyDescent="0.25">
      <c r="A124">
        <v>536381</v>
      </c>
      <c r="B124">
        <v>22086</v>
      </c>
      <c r="C124" t="s">
        <v>61</v>
      </c>
      <c r="D124">
        <v>4</v>
      </c>
      <c r="E124" s="1">
        <v>40513.40347222222</v>
      </c>
      <c r="F124">
        <v>2.95</v>
      </c>
      <c r="G124">
        <v>15311</v>
      </c>
      <c r="H124" t="s">
        <v>10</v>
      </c>
    </row>
    <row r="125" spans="1:8" x14ac:dyDescent="0.25">
      <c r="A125">
        <v>536381</v>
      </c>
      <c r="B125">
        <v>22083</v>
      </c>
      <c r="C125" t="s">
        <v>119</v>
      </c>
      <c r="D125">
        <v>1</v>
      </c>
      <c r="E125" s="1">
        <v>40513.40347222222</v>
      </c>
      <c r="F125">
        <v>2.95</v>
      </c>
      <c r="G125">
        <v>15311</v>
      </c>
      <c r="H125" t="s">
        <v>10</v>
      </c>
    </row>
    <row r="126" spans="1:8" x14ac:dyDescent="0.25">
      <c r="A126">
        <v>536381</v>
      </c>
      <c r="B126" t="s">
        <v>120</v>
      </c>
      <c r="C126" t="s">
        <v>121</v>
      </c>
      <c r="D126">
        <v>6</v>
      </c>
      <c r="E126" s="1">
        <v>40513.40347222222</v>
      </c>
      <c r="F126">
        <v>0.85</v>
      </c>
      <c r="G126">
        <v>15311</v>
      </c>
      <c r="H126" t="s">
        <v>10</v>
      </c>
    </row>
    <row r="127" spans="1:8" x14ac:dyDescent="0.25">
      <c r="A127">
        <v>536381</v>
      </c>
      <c r="B127">
        <v>71270</v>
      </c>
      <c r="C127" t="s">
        <v>108</v>
      </c>
      <c r="D127">
        <v>3</v>
      </c>
      <c r="E127" s="1">
        <v>40513.40347222222</v>
      </c>
      <c r="F127">
        <v>1.25</v>
      </c>
      <c r="G127">
        <v>15311</v>
      </c>
      <c r="H127" t="s">
        <v>10</v>
      </c>
    </row>
    <row r="128" spans="1:8" x14ac:dyDescent="0.25">
      <c r="A128">
        <v>536381</v>
      </c>
      <c r="B128">
        <v>47580</v>
      </c>
      <c r="C128" t="s">
        <v>122</v>
      </c>
      <c r="D128">
        <v>2</v>
      </c>
      <c r="E128" s="1">
        <v>40513.40347222222</v>
      </c>
      <c r="F128">
        <v>2.5499999999999998</v>
      </c>
      <c r="G128">
        <v>15311</v>
      </c>
      <c r="H128" t="s">
        <v>10</v>
      </c>
    </row>
    <row r="129" spans="1:8" x14ac:dyDescent="0.25">
      <c r="A129">
        <v>536381</v>
      </c>
      <c r="B129">
        <v>22261</v>
      </c>
      <c r="C129" t="s">
        <v>123</v>
      </c>
      <c r="D129">
        <v>1</v>
      </c>
      <c r="E129" s="1">
        <v>40513.40347222222</v>
      </c>
      <c r="F129">
        <v>0.85</v>
      </c>
      <c r="G129">
        <v>15311</v>
      </c>
      <c r="H129" t="s">
        <v>10</v>
      </c>
    </row>
    <row r="130" spans="1:8" x14ac:dyDescent="0.25">
      <c r="A130">
        <v>536381</v>
      </c>
      <c r="B130">
        <v>84832</v>
      </c>
      <c r="C130" t="s">
        <v>124</v>
      </c>
      <c r="D130">
        <v>1</v>
      </c>
      <c r="E130" s="1">
        <v>40513.40347222222</v>
      </c>
      <c r="F130">
        <v>0.85</v>
      </c>
      <c r="G130">
        <v>15311</v>
      </c>
      <c r="H130" t="s">
        <v>10</v>
      </c>
    </row>
    <row r="131" spans="1:8" x14ac:dyDescent="0.25">
      <c r="A131">
        <v>536381</v>
      </c>
      <c r="B131">
        <v>22644</v>
      </c>
      <c r="C131" t="s">
        <v>125</v>
      </c>
      <c r="D131">
        <v>1</v>
      </c>
      <c r="E131" s="1">
        <v>40513.40347222222</v>
      </c>
      <c r="F131">
        <v>1.45</v>
      </c>
      <c r="G131">
        <v>15311</v>
      </c>
      <c r="H131" t="s">
        <v>10</v>
      </c>
    </row>
    <row r="132" spans="1:8" x14ac:dyDescent="0.25">
      <c r="A132">
        <v>536381</v>
      </c>
      <c r="B132">
        <v>21533</v>
      </c>
      <c r="C132" t="s">
        <v>126</v>
      </c>
      <c r="D132">
        <v>1</v>
      </c>
      <c r="E132" s="1">
        <v>40513.40347222222</v>
      </c>
      <c r="F132">
        <v>4.95</v>
      </c>
      <c r="G132">
        <v>15311</v>
      </c>
      <c r="H132" t="s">
        <v>10</v>
      </c>
    </row>
    <row r="133" spans="1:8" x14ac:dyDescent="0.25">
      <c r="A133">
        <v>536381</v>
      </c>
      <c r="B133">
        <v>21557</v>
      </c>
      <c r="C133" t="s">
        <v>127</v>
      </c>
      <c r="D133">
        <v>2</v>
      </c>
      <c r="E133" s="1">
        <v>40513.40347222222</v>
      </c>
      <c r="F133">
        <v>2.95</v>
      </c>
      <c r="G133">
        <v>15311</v>
      </c>
      <c r="H133" t="s">
        <v>10</v>
      </c>
    </row>
    <row r="134" spans="1:8" x14ac:dyDescent="0.25">
      <c r="A134">
        <v>536381</v>
      </c>
      <c r="B134" t="s">
        <v>128</v>
      </c>
      <c r="C134" t="s">
        <v>129</v>
      </c>
      <c r="D134">
        <v>2</v>
      </c>
      <c r="E134" s="1">
        <v>40513.40347222222</v>
      </c>
      <c r="F134">
        <v>5.95</v>
      </c>
      <c r="G134">
        <v>15311</v>
      </c>
      <c r="H134" t="s">
        <v>10</v>
      </c>
    </row>
    <row r="135" spans="1:8" x14ac:dyDescent="0.25">
      <c r="A135">
        <v>536381</v>
      </c>
      <c r="B135" t="s">
        <v>130</v>
      </c>
      <c r="C135" t="s">
        <v>131</v>
      </c>
      <c r="D135">
        <v>2</v>
      </c>
      <c r="E135" s="1">
        <v>40513.40347222222</v>
      </c>
      <c r="F135">
        <v>5.95</v>
      </c>
      <c r="G135">
        <v>15311</v>
      </c>
      <c r="H135" t="s">
        <v>10</v>
      </c>
    </row>
    <row r="136" spans="1:8" x14ac:dyDescent="0.25">
      <c r="A136">
        <v>536381</v>
      </c>
      <c r="B136">
        <v>22646</v>
      </c>
      <c r="C136" t="s">
        <v>132</v>
      </c>
      <c r="D136">
        <v>4</v>
      </c>
      <c r="E136" s="1">
        <v>40513.40347222222</v>
      </c>
      <c r="F136">
        <v>1.45</v>
      </c>
      <c r="G136">
        <v>15311</v>
      </c>
      <c r="H136" t="s">
        <v>10</v>
      </c>
    </row>
    <row r="137" spans="1:8" x14ac:dyDescent="0.25">
      <c r="A137">
        <v>536381</v>
      </c>
      <c r="B137">
        <v>22176</v>
      </c>
      <c r="C137" t="s">
        <v>133</v>
      </c>
      <c r="D137">
        <v>1</v>
      </c>
      <c r="E137" s="1">
        <v>40513.40347222222</v>
      </c>
      <c r="F137">
        <v>2.95</v>
      </c>
      <c r="G137">
        <v>15311</v>
      </c>
      <c r="H137" t="s">
        <v>10</v>
      </c>
    </row>
    <row r="138" spans="1:8" x14ac:dyDescent="0.25">
      <c r="A138">
        <v>536381</v>
      </c>
      <c r="B138">
        <v>22438</v>
      </c>
      <c r="C138" t="s">
        <v>134</v>
      </c>
      <c r="D138">
        <v>1</v>
      </c>
      <c r="E138" s="1">
        <v>40513.40347222222</v>
      </c>
      <c r="F138">
        <v>1.95</v>
      </c>
      <c r="G138">
        <v>15311</v>
      </c>
      <c r="H138" t="s">
        <v>10</v>
      </c>
    </row>
    <row r="139" spans="1:8" x14ac:dyDescent="0.25">
      <c r="A139">
        <v>536381</v>
      </c>
      <c r="B139">
        <v>21731</v>
      </c>
      <c r="C139" t="s">
        <v>53</v>
      </c>
      <c r="D139">
        <v>2</v>
      </c>
      <c r="E139" s="1">
        <v>40513.40347222222</v>
      </c>
      <c r="F139">
        <v>1.65</v>
      </c>
      <c r="G139">
        <v>15311</v>
      </c>
      <c r="H139" t="s">
        <v>10</v>
      </c>
    </row>
    <row r="140" spans="1:8" x14ac:dyDescent="0.25">
      <c r="A140">
        <v>536381</v>
      </c>
      <c r="B140">
        <v>22778</v>
      </c>
      <c r="C140" t="s">
        <v>135</v>
      </c>
      <c r="D140">
        <v>3</v>
      </c>
      <c r="E140" s="1">
        <v>40513.40347222222</v>
      </c>
      <c r="F140">
        <v>3.95</v>
      </c>
      <c r="G140">
        <v>15311</v>
      </c>
      <c r="H140" t="s">
        <v>10</v>
      </c>
    </row>
    <row r="141" spans="1:8" x14ac:dyDescent="0.25">
      <c r="A141">
        <v>536381</v>
      </c>
      <c r="B141">
        <v>22719</v>
      </c>
      <c r="C141" t="s">
        <v>136</v>
      </c>
      <c r="D141">
        <v>36</v>
      </c>
      <c r="E141" s="1">
        <v>40513.40347222222</v>
      </c>
      <c r="F141">
        <v>1.06</v>
      </c>
      <c r="G141">
        <v>15311</v>
      </c>
      <c r="H141" t="s">
        <v>10</v>
      </c>
    </row>
    <row r="142" spans="1:8" x14ac:dyDescent="0.25">
      <c r="A142">
        <v>536381</v>
      </c>
      <c r="B142">
        <v>21523</v>
      </c>
      <c r="C142" t="s">
        <v>137</v>
      </c>
      <c r="D142">
        <v>10</v>
      </c>
      <c r="E142" s="1">
        <v>40513.40347222222</v>
      </c>
      <c r="F142">
        <v>6.75</v>
      </c>
      <c r="G142">
        <v>15311</v>
      </c>
      <c r="H142" t="s">
        <v>10</v>
      </c>
    </row>
    <row r="143" spans="1:8" x14ac:dyDescent="0.25">
      <c r="A143" t="s">
        <v>138</v>
      </c>
      <c r="B143" t="s">
        <v>139</v>
      </c>
      <c r="C143" t="s">
        <v>140</v>
      </c>
      <c r="D143">
        <v>-1</v>
      </c>
      <c r="E143" s="1">
        <v>40513.40347222222</v>
      </c>
      <c r="F143">
        <v>27.5</v>
      </c>
      <c r="G143">
        <v>14527</v>
      </c>
      <c r="H143" t="s">
        <v>10</v>
      </c>
    </row>
    <row r="144" spans="1:8" x14ac:dyDescent="0.25">
      <c r="A144">
        <v>536382</v>
      </c>
      <c r="B144">
        <v>10002</v>
      </c>
      <c r="C144" t="s">
        <v>45</v>
      </c>
      <c r="D144">
        <v>12</v>
      </c>
      <c r="E144" s="1">
        <v>40513.40625</v>
      </c>
      <c r="F144">
        <v>0.85</v>
      </c>
      <c r="G144">
        <v>16098</v>
      </c>
      <c r="H144" t="s">
        <v>10</v>
      </c>
    </row>
    <row r="145" spans="1:8" x14ac:dyDescent="0.25">
      <c r="A145">
        <v>536382</v>
      </c>
      <c r="B145">
        <v>21912</v>
      </c>
      <c r="C145" t="s">
        <v>141</v>
      </c>
      <c r="D145">
        <v>8</v>
      </c>
      <c r="E145" s="1">
        <v>40513.40625</v>
      </c>
      <c r="F145">
        <v>3.75</v>
      </c>
      <c r="G145">
        <v>16098</v>
      </c>
      <c r="H145" t="s">
        <v>10</v>
      </c>
    </row>
    <row r="146" spans="1:8" x14ac:dyDescent="0.25">
      <c r="A146">
        <v>536382</v>
      </c>
      <c r="B146">
        <v>21832</v>
      </c>
      <c r="C146" t="s">
        <v>142</v>
      </c>
      <c r="D146">
        <v>12</v>
      </c>
      <c r="E146" s="1">
        <v>40513.40625</v>
      </c>
      <c r="F146">
        <v>1.65</v>
      </c>
      <c r="G146">
        <v>16098</v>
      </c>
      <c r="H146" t="s">
        <v>10</v>
      </c>
    </row>
    <row r="147" spans="1:8" x14ac:dyDescent="0.25">
      <c r="A147">
        <v>536382</v>
      </c>
      <c r="B147">
        <v>22411</v>
      </c>
      <c r="C147" t="s">
        <v>103</v>
      </c>
      <c r="D147">
        <v>10</v>
      </c>
      <c r="E147" s="1">
        <v>40513.40625</v>
      </c>
      <c r="F147">
        <v>1.95</v>
      </c>
      <c r="G147">
        <v>16098</v>
      </c>
      <c r="H147" t="s">
        <v>10</v>
      </c>
    </row>
    <row r="148" spans="1:8" x14ac:dyDescent="0.25">
      <c r="A148">
        <v>536382</v>
      </c>
      <c r="B148">
        <v>22379</v>
      </c>
      <c r="C148" t="s">
        <v>143</v>
      </c>
      <c r="D148">
        <v>10</v>
      </c>
      <c r="E148" s="1">
        <v>40513.40625</v>
      </c>
      <c r="F148">
        <v>2.1</v>
      </c>
      <c r="G148">
        <v>16098</v>
      </c>
      <c r="H148" t="s">
        <v>10</v>
      </c>
    </row>
    <row r="149" spans="1:8" x14ac:dyDescent="0.25">
      <c r="A149">
        <v>536382</v>
      </c>
      <c r="B149">
        <v>22381</v>
      </c>
      <c r="C149" t="s">
        <v>144</v>
      </c>
      <c r="D149">
        <v>50</v>
      </c>
      <c r="E149" s="1">
        <v>40513.40625</v>
      </c>
      <c r="F149">
        <v>1.85</v>
      </c>
      <c r="G149">
        <v>16098</v>
      </c>
      <c r="H149" t="s">
        <v>10</v>
      </c>
    </row>
    <row r="150" spans="1:8" x14ac:dyDescent="0.25">
      <c r="A150">
        <v>536382</v>
      </c>
      <c r="B150">
        <v>22798</v>
      </c>
      <c r="C150" t="s">
        <v>145</v>
      </c>
      <c r="D150">
        <v>8</v>
      </c>
      <c r="E150" s="1">
        <v>40513.40625</v>
      </c>
      <c r="F150">
        <v>2.95</v>
      </c>
      <c r="G150">
        <v>16098</v>
      </c>
      <c r="H150" t="s">
        <v>10</v>
      </c>
    </row>
    <row r="151" spans="1:8" x14ac:dyDescent="0.25">
      <c r="A151">
        <v>536382</v>
      </c>
      <c r="B151">
        <v>22726</v>
      </c>
      <c r="C151" t="s">
        <v>42</v>
      </c>
      <c r="D151">
        <v>4</v>
      </c>
      <c r="E151" s="1">
        <v>40513.40625</v>
      </c>
      <c r="F151">
        <v>3.75</v>
      </c>
      <c r="G151">
        <v>16098</v>
      </c>
      <c r="H151" t="s">
        <v>10</v>
      </c>
    </row>
    <row r="152" spans="1:8" x14ac:dyDescent="0.25">
      <c r="A152">
        <v>536382</v>
      </c>
      <c r="B152">
        <v>22926</v>
      </c>
      <c r="C152" t="s">
        <v>146</v>
      </c>
      <c r="D152">
        <v>12</v>
      </c>
      <c r="E152" s="1">
        <v>40513.40625</v>
      </c>
      <c r="F152">
        <v>5.95</v>
      </c>
      <c r="G152">
        <v>16098</v>
      </c>
      <c r="H152" t="s">
        <v>10</v>
      </c>
    </row>
    <row r="153" spans="1:8" x14ac:dyDescent="0.25">
      <c r="A153">
        <v>536382</v>
      </c>
      <c r="B153">
        <v>22839</v>
      </c>
      <c r="C153" t="s">
        <v>147</v>
      </c>
      <c r="D153">
        <v>2</v>
      </c>
      <c r="E153" s="1">
        <v>40513.40625</v>
      </c>
      <c r="F153">
        <v>14.95</v>
      </c>
      <c r="G153">
        <v>16098</v>
      </c>
      <c r="H153" t="s">
        <v>10</v>
      </c>
    </row>
    <row r="154" spans="1:8" x14ac:dyDescent="0.25">
      <c r="A154">
        <v>536382</v>
      </c>
      <c r="B154">
        <v>22838</v>
      </c>
      <c r="C154" t="s">
        <v>148</v>
      </c>
      <c r="D154">
        <v>2</v>
      </c>
      <c r="E154" s="1">
        <v>40513.40625</v>
      </c>
      <c r="F154">
        <v>14.95</v>
      </c>
      <c r="G154">
        <v>16098</v>
      </c>
      <c r="H154" t="s">
        <v>10</v>
      </c>
    </row>
    <row r="155" spans="1:8" x14ac:dyDescent="0.25">
      <c r="A155">
        <v>536382</v>
      </c>
      <c r="B155">
        <v>22783</v>
      </c>
      <c r="C155" t="s">
        <v>149</v>
      </c>
      <c r="D155">
        <v>4</v>
      </c>
      <c r="E155" s="1">
        <v>40513.40625</v>
      </c>
      <c r="F155">
        <v>16.95</v>
      </c>
      <c r="G155">
        <v>16098</v>
      </c>
      <c r="H155" t="s">
        <v>10</v>
      </c>
    </row>
    <row r="156" spans="1:8" x14ac:dyDescent="0.25">
      <c r="A156" t="s">
        <v>150</v>
      </c>
      <c r="B156" t="s">
        <v>151</v>
      </c>
      <c r="C156" t="s">
        <v>152</v>
      </c>
      <c r="D156">
        <v>-1</v>
      </c>
      <c r="E156" s="1">
        <v>40513.40902777778</v>
      </c>
      <c r="F156">
        <v>4.6500000000000004</v>
      </c>
      <c r="G156">
        <v>15311</v>
      </c>
      <c r="H156" t="s">
        <v>10</v>
      </c>
    </row>
    <row r="157" spans="1:8" x14ac:dyDescent="0.25">
      <c r="A157">
        <v>536384</v>
      </c>
      <c r="B157">
        <v>82484</v>
      </c>
      <c r="C157" t="s">
        <v>153</v>
      </c>
      <c r="D157">
        <v>3</v>
      </c>
      <c r="E157" s="1">
        <v>40513.411805555559</v>
      </c>
      <c r="F157">
        <v>6.45</v>
      </c>
      <c r="G157">
        <v>18074</v>
      </c>
      <c r="H157" t="s">
        <v>10</v>
      </c>
    </row>
    <row r="158" spans="1:8" x14ac:dyDescent="0.25">
      <c r="A158">
        <v>536384</v>
      </c>
      <c r="B158">
        <v>84755</v>
      </c>
      <c r="C158" t="s">
        <v>154</v>
      </c>
      <c r="D158">
        <v>48</v>
      </c>
      <c r="E158" s="1">
        <v>40513.411805555559</v>
      </c>
      <c r="F158">
        <v>0.65</v>
      </c>
      <c r="G158">
        <v>18074</v>
      </c>
      <c r="H158" t="s">
        <v>10</v>
      </c>
    </row>
    <row r="159" spans="1:8" x14ac:dyDescent="0.25">
      <c r="A159">
        <v>536384</v>
      </c>
      <c r="B159">
        <v>22464</v>
      </c>
      <c r="C159" t="s">
        <v>155</v>
      </c>
      <c r="D159">
        <v>12</v>
      </c>
      <c r="E159" s="1">
        <v>40513.411805555559</v>
      </c>
      <c r="F159">
        <v>1.65</v>
      </c>
      <c r="G159">
        <v>18074</v>
      </c>
      <c r="H159" t="s">
        <v>10</v>
      </c>
    </row>
    <row r="160" spans="1:8" x14ac:dyDescent="0.25">
      <c r="A160">
        <v>536384</v>
      </c>
      <c r="B160">
        <v>21324</v>
      </c>
      <c r="C160" t="s">
        <v>156</v>
      </c>
      <c r="D160">
        <v>6</v>
      </c>
      <c r="E160" s="1">
        <v>40513.411805555559</v>
      </c>
      <c r="F160">
        <v>2.95</v>
      </c>
      <c r="G160">
        <v>18074</v>
      </c>
      <c r="H160" t="s">
        <v>10</v>
      </c>
    </row>
    <row r="161" spans="1:8" x14ac:dyDescent="0.25">
      <c r="A161">
        <v>536384</v>
      </c>
      <c r="B161">
        <v>22457</v>
      </c>
      <c r="C161" t="s">
        <v>157</v>
      </c>
      <c r="D161">
        <v>12</v>
      </c>
      <c r="E161" s="1">
        <v>40513.411805555559</v>
      </c>
      <c r="F161">
        <v>2.95</v>
      </c>
      <c r="G161">
        <v>18074</v>
      </c>
      <c r="H161" t="s">
        <v>10</v>
      </c>
    </row>
    <row r="162" spans="1:8" x14ac:dyDescent="0.25">
      <c r="A162">
        <v>536384</v>
      </c>
      <c r="B162">
        <v>22469</v>
      </c>
      <c r="C162" t="s">
        <v>158</v>
      </c>
      <c r="D162">
        <v>40</v>
      </c>
      <c r="E162" s="1">
        <v>40513.411805555559</v>
      </c>
      <c r="F162">
        <v>1.45</v>
      </c>
      <c r="G162">
        <v>18074</v>
      </c>
      <c r="H162" t="s">
        <v>10</v>
      </c>
    </row>
    <row r="163" spans="1:8" x14ac:dyDescent="0.25">
      <c r="A163">
        <v>536384</v>
      </c>
      <c r="B163">
        <v>22470</v>
      </c>
      <c r="C163" t="s">
        <v>159</v>
      </c>
      <c r="D163">
        <v>40</v>
      </c>
      <c r="E163" s="1">
        <v>40513.411805555559</v>
      </c>
      <c r="F163">
        <v>2.5499999999999998</v>
      </c>
      <c r="G163">
        <v>18074</v>
      </c>
      <c r="H163" t="s">
        <v>10</v>
      </c>
    </row>
    <row r="164" spans="1:8" x14ac:dyDescent="0.25">
      <c r="A164">
        <v>536384</v>
      </c>
      <c r="B164">
        <v>22224</v>
      </c>
      <c r="C164" t="s">
        <v>160</v>
      </c>
      <c r="D164">
        <v>6</v>
      </c>
      <c r="E164" s="1">
        <v>40513.411805555559</v>
      </c>
      <c r="F164">
        <v>2.95</v>
      </c>
      <c r="G164">
        <v>18074</v>
      </c>
      <c r="H164" t="s">
        <v>10</v>
      </c>
    </row>
    <row r="165" spans="1:8" x14ac:dyDescent="0.25">
      <c r="A165">
        <v>536384</v>
      </c>
      <c r="B165">
        <v>21340</v>
      </c>
      <c r="C165" t="s">
        <v>161</v>
      </c>
      <c r="D165">
        <v>2</v>
      </c>
      <c r="E165" s="1">
        <v>40513.411805555559</v>
      </c>
      <c r="F165">
        <v>12.75</v>
      </c>
      <c r="G165">
        <v>18074</v>
      </c>
      <c r="H165" t="s">
        <v>10</v>
      </c>
    </row>
    <row r="166" spans="1:8" x14ac:dyDescent="0.25">
      <c r="A166">
        <v>536384</v>
      </c>
      <c r="B166">
        <v>22189</v>
      </c>
      <c r="C166" t="s">
        <v>162</v>
      </c>
      <c r="D166">
        <v>4</v>
      </c>
      <c r="E166" s="1">
        <v>40513.411805555559</v>
      </c>
      <c r="F166">
        <v>3.95</v>
      </c>
      <c r="G166">
        <v>18074</v>
      </c>
      <c r="H166" t="s">
        <v>10</v>
      </c>
    </row>
    <row r="167" spans="1:8" x14ac:dyDescent="0.25">
      <c r="A167">
        <v>536384</v>
      </c>
      <c r="B167">
        <v>22427</v>
      </c>
      <c r="C167" t="s">
        <v>163</v>
      </c>
      <c r="D167">
        <v>3</v>
      </c>
      <c r="E167" s="1">
        <v>40513.411805555559</v>
      </c>
      <c r="F167">
        <v>5.95</v>
      </c>
      <c r="G167">
        <v>18074</v>
      </c>
      <c r="H167" t="s">
        <v>10</v>
      </c>
    </row>
    <row r="168" spans="1:8" x14ac:dyDescent="0.25">
      <c r="A168">
        <v>536384</v>
      </c>
      <c r="B168">
        <v>22428</v>
      </c>
      <c r="C168" t="s">
        <v>164</v>
      </c>
      <c r="D168">
        <v>6</v>
      </c>
      <c r="E168" s="1">
        <v>40513.411805555559</v>
      </c>
      <c r="F168">
        <v>6.95</v>
      </c>
      <c r="G168">
        <v>18074</v>
      </c>
      <c r="H168" t="s">
        <v>10</v>
      </c>
    </row>
    <row r="169" spans="1:8" x14ac:dyDescent="0.25">
      <c r="A169">
        <v>536384</v>
      </c>
      <c r="B169">
        <v>22424</v>
      </c>
      <c r="C169" t="s">
        <v>165</v>
      </c>
      <c r="D169">
        <v>8</v>
      </c>
      <c r="E169" s="1">
        <v>40513.411805555559</v>
      </c>
      <c r="F169">
        <v>10.95</v>
      </c>
      <c r="G169">
        <v>18074</v>
      </c>
      <c r="H169" t="s">
        <v>10</v>
      </c>
    </row>
    <row r="170" spans="1:8" x14ac:dyDescent="0.25">
      <c r="A170">
        <v>536385</v>
      </c>
      <c r="B170">
        <v>22783</v>
      </c>
      <c r="C170" t="s">
        <v>149</v>
      </c>
      <c r="D170">
        <v>1</v>
      </c>
      <c r="E170" s="1">
        <v>40513.413888888892</v>
      </c>
      <c r="F170">
        <v>19.95</v>
      </c>
      <c r="G170">
        <v>17420</v>
      </c>
      <c r="H170" t="s">
        <v>10</v>
      </c>
    </row>
    <row r="171" spans="1:8" x14ac:dyDescent="0.25">
      <c r="A171">
        <v>536385</v>
      </c>
      <c r="B171">
        <v>22961</v>
      </c>
      <c r="C171" t="s">
        <v>100</v>
      </c>
      <c r="D171">
        <v>12</v>
      </c>
      <c r="E171" s="1">
        <v>40513.413888888892</v>
      </c>
      <c r="F171">
        <v>1.45</v>
      </c>
      <c r="G171">
        <v>17420</v>
      </c>
      <c r="H171" t="s">
        <v>10</v>
      </c>
    </row>
    <row r="172" spans="1:8" x14ac:dyDescent="0.25">
      <c r="A172">
        <v>536385</v>
      </c>
      <c r="B172">
        <v>22960</v>
      </c>
      <c r="C172" t="s">
        <v>34</v>
      </c>
      <c r="D172">
        <v>6</v>
      </c>
      <c r="E172" s="1">
        <v>40513.413888888892</v>
      </c>
      <c r="F172">
        <v>4.25</v>
      </c>
      <c r="G172">
        <v>17420</v>
      </c>
      <c r="H172" t="s">
        <v>10</v>
      </c>
    </row>
    <row r="173" spans="1:8" x14ac:dyDescent="0.25">
      <c r="A173">
        <v>536385</v>
      </c>
      <c r="B173">
        <v>22663</v>
      </c>
      <c r="C173" t="s">
        <v>166</v>
      </c>
      <c r="D173">
        <v>10</v>
      </c>
      <c r="E173" s="1">
        <v>40513.413888888892</v>
      </c>
      <c r="F173">
        <v>1.95</v>
      </c>
      <c r="G173">
        <v>17420</v>
      </c>
      <c r="H173" t="s">
        <v>10</v>
      </c>
    </row>
    <row r="174" spans="1:8" x14ac:dyDescent="0.25">
      <c r="A174">
        <v>536385</v>
      </c>
      <c r="B174" t="s">
        <v>167</v>
      </c>
      <c r="C174" t="s">
        <v>168</v>
      </c>
      <c r="D174">
        <v>12</v>
      </c>
      <c r="E174" s="1">
        <v>40513.413888888892</v>
      </c>
      <c r="F174">
        <v>1.25</v>
      </c>
      <c r="G174">
        <v>17420</v>
      </c>
      <c r="H174" t="s">
        <v>10</v>
      </c>
    </row>
    <row r="175" spans="1:8" x14ac:dyDescent="0.25">
      <c r="A175">
        <v>536385</v>
      </c>
      <c r="B175">
        <v>22168</v>
      </c>
      <c r="C175" t="s">
        <v>169</v>
      </c>
      <c r="D175">
        <v>2</v>
      </c>
      <c r="E175" s="1">
        <v>40513.413888888892</v>
      </c>
      <c r="F175">
        <v>8.5</v>
      </c>
      <c r="G175">
        <v>17420</v>
      </c>
      <c r="H175" t="s">
        <v>10</v>
      </c>
    </row>
    <row r="176" spans="1:8" x14ac:dyDescent="0.25">
      <c r="A176">
        <v>536385</v>
      </c>
      <c r="B176">
        <v>22662</v>
      </c>
      <c r="C176" t="s">
        <v>170</v>
      </c>
      <c r="D176">
        <v>10</v>
      </c>
      <c r="E176" s="1">
        <v>40513.413888888892</v>
      </c>
      <c r="F176">
        <v>1.65</v>
      </c>
      <c r="G176">
        <v>17420</v>
      </c>
      <c r="H176" t="s">
        <v>10</v>
      </c>
    </row>
    <row r="177" spans="1:8" x14ac:dyDescent="0.25">
      <c r="A177">
        <v>536386</v>
      </c>
      <c r="B177">
        <v>84880</v>
      </c>
      <c r="C177" t="s">
        <v>171</v>
      </c>
      <c r="D177">
        <v>36</v>
      </c>
      <c r="E177" s="1">
        <v>40513.414583333331</v>
      </c>
      <c r="F177">
        <v>4.95</v>
      </c>
      <c r="G177">
        <v>16029</v>
      </c>
      <c r="H177" t="s">
        <v>10</v>
      </c>
    </row>
    <row r="178" spans="1:8" x14ac:dyDescent="0.25">
      <c r="A178">
        <v>536386</v>
      </c>
      <c r="B178" t="s">
        <v>76</v>
      </c>
      <c r="C178" t="s">
        <v>77</v>
      </c>
      <c r="D178">
        <v>100</v>
      </c>
      <c r="E178" s="1">
        <v>40513.414583333331</v>
      </c>
      <c r="F178">
        <v>1.65</v>
      </c>
      <c r="G178">
        <v>16029</v>
      </c>
      <c r="H178" t="s">
        <v>10</v>
      </c>
    </row>
    <row r="179" spans="1:8" x14ac:dyDescent="0.25">
      <c r="A179">
        <v>536386</v>
      </c>
      <c r="B179" t="s">
        <v>172</v>
      </c>
      <c r="C179" t="s">
        <v>173</v>
      </c>
      <c r="D179">
        <v>100</v>
      </c>
      <c r="E179" s="1">
        <v>40513.414583333331</v>
      </c>
      <c r="F179">
        <v>1.65</v>
      </c>
      <c r="G179">
        <v>16029</v>
      </c>
      <c r="H179" t="s">
        <v>10</v>
      </c>
    </row>
    <row r="180" spans="1:8" x14ac:dyDescent="0.25">
      <c r="A180">
        <v>536387</v>
      </c>
      <c r="B180">
        <v>79321</v>
      </c>
      <c r="C180" t="s">
        <v>174</v>
      </c>
      <c r="D180">
        <v>192</v>
      </c>
      <c r="E180" s="1">
        <v>40513.415277777778</v>
      </c>
      <c r="F180">
        <v>3.82</v>
      </c>
      <c r="G180">
        <v>16029</v>
      </c>
      <c r="H180" t="s">
        <v>10</v>
      </c>
    </row>
    <row r="181" spans="1:8" x14ac:dyDescent="0.25">
      <c r="A181">
        <v>536387</v>
      </c>
      <c r="B181">
        <v>22780</v>
      </c>
      <c r="C181" t="s">
        <v>175</v>
      </c>
      <c r="D181">
        <v>192</v>
      </c>
      <c r="E181" s="1">
        <v>40513.415277777778</v>
      </c>
      <c r="F181">
        <v>3.37</v>
      </c>
      <c r="G181">
        <v>16029</v>
      </c>
      <c r="H181" t="s">
        <v>10</v>
      </c>
    </row>
    <row r="182" spans="1:8" x14ac:dyDescent="0.25">
      <c r="A182">
        <v>536387</v>
      </c>
      <c r="B182">
        <v>22779</v>
      </c>
      <c r="C182" t="s">
        <v>176</v>
      </c>
      <c r="D182">
        <v>192</v>
      </c>
      <c r="E182" s="1">
        <v>40513.415277777778</v>
      </c>
      <c r="F182">
        <v>3.37</v>
      </c>
      <c r="G182">
        <v>16029</v>
      </c>
      <c r="H182" t="s">
        <v>10</v>
      </c>
    </row>
    <row r="183" spans="1:8" x14ac:dyDescent="0.25">
      <c r="A183">
        <v>536387</v>
      </c>
      <c r="B183">
        <v>22466</v>
      </c>
      <c r="C183" t="s">
        <v>177</v>
      </c>
      <c r="D183">
        <v>432</v>
      </c>
      <c r="E183" s="1">
        <v>40513.415277777778</v>
      </c>
      <c r="F183">
        <v>1.45</v>
      </c>
      <c r="G183">
        <v>16029</v>
      </c>
      <c r="H183" t="s">
        <v>10</v>
      </c>
    </row>
    <row r="184" spans="1:8" x14ac:dyDescent="0.25">
      <c r="A184">
        <v>536387</v>
      </c>
      <c r="B184">
        <v>21731</v>
      </c>
      <c r="C184" t="s">
        <v>53</v>
      </c>
      <c r="D184">
        <v>432</v>
      </c>
      <c r="E184" s="1">
        <v>40513.415277777778</v>
      </c>
      <c r="F184">
        <v>1.25</v>
      </c>
      <c r="G184">
        <v>16029</v>
      </c>
      <c r="H184" t="s">
        <v>10</v>
      </c>
    </row>
    <row r="185" spans="1:8" x14ac:dyDescent="0.25">
      <c r="A185">
        <v>536388</v>
      </c>
      <c r="B185">
        <v>21754</v>
      </c>
      <c r="C185" t="s">
        <v>30</v>
      </c>
      <c r="D185">
        <v>3</v>
      </c>
      <c r="E185" s="1">
        <v>40513.415972222225</v>
      </c>
      <c r="F185">
        <v>5.95</v>
      </c>
      <c r="G185">
        <v>16250</v>
      </c>
      <c r="H185" t="s">
        <v>10</v>
      </c>
    </row>
    <row r="186" spans="1:8" x14ac:dyDescent="0.25">
      <c r="A186">
        <v>536388</v>
      </c>
      <c r="B186">
        <v>21755</v>
      </c>
      <c r="C186" t="s">
        <v>31</v>
      </c>
      <c r="D186">
        <v>3</v>
      </c>
      <c r="E186" s="1">
        <v>40513.415972222225</v>
      </c>
      <c r="F186">
        <v>5.95</v>
      </c>
      <c r="G186">
        <v>16250</v>
      </c>
      <c r="H186" t="s">
        <v>10</v>
      </c>
    </row>
    <row r="187" spans="1:8" x14ac:dyDescent="0.25">
      <c r="A187">
        <v>536388</v>
      </c>
      <c r="B187">
        <v>21523</v>
      </c>
      <c r="C187" t="s">
        <v>137</v>
      </c>
      <c r="D187">
        <v>2</v>
      </c>
      <c r="E187" s="1">
        <v>40513.415972222225</v>
      </c>
      <c r="F187">
        <v>7.95</v>
      </c>
      <c r="G187">
        <v>16250</v>
      </c>
      <c r="H187" t="s">
        <v>10</v>
      </c>
    </row>
    <row r="188" spans="1:8" x14ac:dyDescent="0.25">
      <c r="A188">
        <v>536388</v>
      </c>
      <c r="B188">
        <v>21363</v>
      </c>
      <c r="C188" t="s">
        <v>178</v>
      </c>
      <c r="D188">
        <v>3</v>
      </c>
      <c r="E188" s="1">
        <v>40513.415972222225</v>
      </c>
      <c r="F188">
        <v>4.95</v>
      </c>
      <c r="G188">
        <v>16250</v>
      </c>
      <c r="H188" t="s">
        <v>10</v>
      </c>
    </row>
    <row r="189" spans="1:8" x14ac:dyDescent="0.25">
      <c r="A189">
        <v>536388</v>
      </c>
      <c r="B189">
        <v>21411</v>
      </c>
      <c r="C189" t="s">
        <v>179</v>
      </c>
      <c r="D189">
        <v>3</v>
      </c>
      <c r="E189" s="1">
        <v>40513.415972222225</v>
      </c>
      <c r="F189">
        <v>4.25</v>
      </c>
      <c r="G189">
        <v>16250</v>
      </c>
      <c r="H189" t="s">
        <v>10</v>
      </c>
    </row>
    <row r="190" spans="1:8" x14ac:dyDescent="0.25">
      <c r="A190">
        <v>536388</v>
      </c>
      <c r="B190">
        <v>22318</v>
      </c>
      <c r="C190" t="s">
        <v>180</v>
      </c>
      <c r="D190">
        <v>6</v>
      </c>
      <c r="E190" s="1">
        <v>40513.415972222225</v>
      </c>
      <c r="F190">
        <v>2.95</v>
      </c>
      <c r="G190">
        <v>16250</v>
      </c>
      <c r="H190" t="s">
        <v>10</v>
      </c>
    </row>
    <row r="191" spans="1:8" x14ac:dyDescent="0.25">
      <c r="A191">
        <v>536388</v>
      </c>
      <c r="B191">
        <v>22464</v>
      </c>
      <c r="C191" t="s">
        <v>155</v>
      </c>
      <c r="D191">
        <v>12</v>
      </c>
      <c r="E191" s="1">
        <v>40513.415972222225</v>
      </c>
      <c r="F191">
        <v>1.65</v>
      </c>
      <c r="G191">
        <v>16250</v>
      </c>
      <c r="H191" t="s">
        <v>10</v>
      </c>
    </row>
    <row r="192" spans="1:8" x14ac:dyDescent="0.25">
      <c r="A192">
        <v>536388</v>
      </c>
      <c r="B192">
        <v>22915</v>
      </c>
      <c r="C192" t="s">
        <v>181</v>
      </c>
      <c r="D192">
        <v>12</v>
      </c>
      <c r="E192" s="1">
        <v>40513.415972222225</v>
      </c>
      <c r="F192">
        <v>0.42</v>
      </c>
      <c r="G192">
        <v>16250</v>
      </c>
      <c r="H192" t="s">
        <v>10</v>
      </c>
    </row>
    <row r="193" spans="1:8" x14ac:dyDescent="0.25">
      <c r="A193">
        <v>536388</v>
      </c>
      <c r="B193">
        <v>22922</v>
      </c>
      <c r="C193" t="s">
        <v>182</v>
      </c>
      <c r="D193">
        <v>12</v>
      </c>
      <c r="E193" s="1">
        <v>40513.415972222225</v>
      </c>
      <c r="F193">
        <v>0.85</v>
      </c>
      <c r="G193">
        <v>16250</v>
      </c>
      <c r="H193" t="s">
        <v>10</v>
      </c>
    </row>
    <row r="194" spans="1:8" x14ac:dyDescent="0.25">
      <c r="A194">
        <v>536388</v>
      </c>
      <c r="B194">
        <v>22969</v>
      </c>
      <c r="C194" t="s">
        <v>183</v>
      </c>
      <c r="D194">
        <v>12</v>
      </c>
      <c r="E194" s="1">
        <v>40513.415972222225</v>
      </c>
      <c r="F194">
        <v>1.45</v>
      </c>
      <c r="G194">
        <v>16250</v>
      </c>
      <c r="H194" t="s">
        <v>10</v>
      </c>
    </row>
    <row r="195" spans="1:8" x14ac:dyDescent="0.25">
      <c r="A195">
        <v>536388</v>
      </c>
      <c r="B195">
        <v>22923</v>
      </c>
      <c r="C195" t="s">
        <v>184</v>
      </c>
      <c r="D195">
        <v>12</v>
      </c>
      <c r="E195" s="1">
        <v>40513.415972222225</v>
      </c>
      <c r="F195">
        <v>0.85</v>
      </c>
      <c r="G195">
        <v>16250</v>
      </c>
      <c r="H195" t="s">
        <v>10</v>
      </c>
    </row>
    <row r="196" spans="1:8" x14ac:dyDescent="0.25">
      <c r="A196">
        <v>536388</v>
      </c>
      <c r="B196">
        <v>21115</v>
      </c>
      <c r="C196" t="s">
        <v>185</v>
      </c>
      <c r="D196">
        <v>4</v>
      </c>
      <c r="E196" s="1">
        <v>40513.415972222225</v>
      </c>
      <c r="F196">
        <v>6.75</v>
      </c>
      <c r="G196">
        <v>16250</v>
      </c>
      <c r="H196" t="s">
        <v>10</v>
      </c>
    </row>
    <row r="197" spans="1:8" x14ac:dyDescent="0.25">
      <c r="A197">
        <v>536388</v>
      </c>
      <c r="B197">
        <v>22469</v>
      </c>
      <c r="C197" t="s">
        <v>158</v>
      </c>
      <c r="D197">
        <v>12</v>
      </c>
      <c r="E197" s="1">
        <v>40513.415972222225</v>
      </c>
      <c r="F197">
        <v>1.65</v>
      </c>
      <c r="G197">
        <v>16250</v>
      </c>
      <c r="H197" t="s">
        <v>10</v>
      </c>
    </row>
    <row r="198" spans="1:8" x14ac:dyDescent="0.25">
      <c r="A198">
        <v>536388</v>
      </c>
      <c r="B198">
        <v>22242</v>
      </c>
      <c r="C198" t="s">
        <v>186</v>
      </c>
      <c r="D198">
        <v>12</v>
      </c>
      <c r="E198" s="1">
        <v>40513.415972222225</v>
      </c>
      <c r="F198">
        <v>1.65</v>
      </c>
      <c r="G198">
        <v>16250</v>
      </c>
      <c r="H198" t="s">
        <v>10</v>
      </c>
    </row>
    <row r="199" spans="1:8" x14ac:dyDescent="0.25">
      <c r="A199">
        <v>536389</v>
      </c>
      <c r="B199">
        <v>22941</v>
      </c>
      <c r="C199" t="s">
        <v>187</v>
      </c>
      <c r="D199">
        <v>6</v>
      </c>
      <c r="E199" s="1">
        <v>40513.418749999997</v>
      </c>
      <c r="F199">
        <v>8.5</v>
      </c>
      <c r="G199">
        <v>12431</v>
      </c>
      <c r="H199" t="s">
        <v>188</v>
      </c>
    </row>
    <row r="200" spans="1:8" x14ac:dyDescent="0.25">
      <c r="A200">
        <v>536389</v>
      </c>
      <c r="B200">
        <v>21622</v>
      </c>
      <c r="C200" t="s">
        <v>189</v>
      </c>
      <c r="D200">
        <v>8</v>
      </c>
      <c r="E200" s="1">
        <v>40513.418749999997</v>
      </c>
      <c r="F200">
        <v>4.95</v>
      </c>
      <c r="G200">
        <v>12431</v>
      </c>
      <c r="H200" t="s">
        <v>188</v>
      </c>
    </row>
    <row r="201" spans="1:8" x14ac:dyDescent="0.25">
      <c r="A201">
        <v>536389</v>
      </c>
      <c r="B201">
        <v>21791</v>
      </c>
      <c r="C201" t="s">
        <v>46</v>
      </c>
      <c r="D201">
        <v>12</v>
      </c>
      <c r="E201" s="1">
        <v>40513.418749999997</v>
      </c>
      <c r="F201">
        <v>1.25</v>
      </c>
      <c r="G201">
        <v>12431</v>
      </c>
      <c r="H201" t="s">
        <v>188</v>
      </c>
    </row>
    <row r="202" spans="1:8" x14ac:dyDescent="0.25">
      <c r="A202">
        <v>536389</v>
      </c>
      <c r="B202" t="s">
        <v>151</v>
      </c>
      <c r="C202" t="s">
        <v>152</v>
      </c>
      <c r="D202">
        <v>6</v>
      </c>
      <c r="E202" s="1">
        <v>40513.418749999997</v>
      </c>
      <c r="F202">
        <v>5.45</v>
      </c>
      <c r="G202">
        <v>12431</v>
      </c>
      <c r="H202" t="s">
        <v>188</v>
      </c>
    </row>
    <row r="203" spans="1:8" x14ac:dyDescent="0.25">
      <c r="A203">
        <v>536389</v>
      </c>
      <c r="B203" t="s">
        <v>190</v>
      </c>
      <c r="C203" t="s">
        <v>191</v>
      </c>
      <c r="D203">
        <v>4</v>
      </c>
      <c r="E203" s="1">
        <v>40513.418749999997</v>
      </c>
      <c r="F203">
        <v>6.35</v>
      </c>
      <c r="G203">
        <v>12431</v>
      </c>
      <c r="H203" t="s">
        <v>188</v>
      </c>
    </row>
    <row r="204" spans="1:8" x14ac:dyDescent="0.25">
      <c r="A204">
        <v>536389</v>
      </c>
      <c r="B204" t="s">
        <v>192</v>
      </c>
      <c r="C204" t="s">
        <v>193</v>
      </c>
      <c r="D204">
        <v>6</v>
      </c>
      <c r="E204" s="1">
        <v>40513.418749999997</v>
      </c>
      <c r="F204">
        <v>5.95</v>
      </c>
      <c r="G204">
        <v>12431</v>
      </c>
      <c r="H204" t="s">
        <v>188</v>
      </c>
    </row>
    <row r="205" spans="1:8" x14ac:dyDescent="0.25">
      <c r="A205">
        <v>536389</v>
      </c>
      <c r="B205" t="s">
        <v>194</v>
      </c>
      <c r="C205" t="s">
        <v>195</v>
      </c>
      <c r="D205">
        <v>3</v>
      </c>
      <c r="E205" s="1">
        <v>40513.418749999997</v>
      </c>
      <c r="F205">
        <v>5.95</v>
      </c>
      <c r="G205">
        <v>12431</v>
      </c>
      <c r="H205" t="s">
        <v>188</v>
      </c>
    </row>
    <row r="206" spans="1:8" x14ac:dyDescent="0.25">
      <c r="A206">
        <v>536389</v>
      </c>
      <c r="B206">
        <v>22193</v>
      </c>
      <c r="C206" t="s">
        <v>196</v>
      </c>
      <c r="D206">
        <v>2</v>
      </c>
      <c r="E206" s="1">
        <v>40513.418749999997</v>
      </c>
      <c r="F206">
        <v>8.5</v>
      </c>
      <c r="G206">
        <v>12431</v>
      </c>
      <c r="H206" t="s">
        <v>188</v>
      </c>
    </row>
    <row r="207" spans="1:8" x14ac:dyDescent="0.25">
      <c r="A207">
        <v>536389</v>
      </c>
      <c r="B207">
        <v>22726</v>
      </c>
      <c r="C207" t="s">
        <v>42</v>
      </c>
      <c r="D207">
        <v>4</v>
      </c>
      <c r="E207" s="1">
        <v>40513.418749999997</v>
      </c>
      <c r="F207">
        <v>3.75</v>
      </c>
      <c r="G207">
        <v>12431</v>
      </c>
      <c r="H207" t="s">
        <v>188</v>
      </c>
    </row>
    <row r="208" spans="1:8" x14ac:dyDescent="0.25">
      <c r="A208">
        <v>536389</v>
      </c>
      <c r="B208">
        <v>22727</v>
      </c>
      <c r="C208" t="s">
        <v>41</v>
      </c>
      <c r="D208">
        <v>4</v>
      </c>
      <c r="E208" s="1">
        <v>40513.418749999997</v>
      </c>
      <c r="F208">
        <v>3.75</v>
      </c>
      <c r="G208">
        <v>12431</v>
      </c>
      <c r="H208" t="s">
        <v>188</v>
      </c>
    </row>
    <row r="209" spans="1:8" x14ac:dyDescent="0.25">
      <c r="A209">
        <v>536389</v>
      </c>
      <c r="B209">
        <v>22192</v>
      </c>
      <c r="C209" t="s">
        <v>197</v>
      </c>
      <c r="D209">
        <v>2</v>
      </c>
      <c r="E209" s="1">
        <v>40513.418749999997</v>
      </c>
      <c r="F209">
        <v>8.5</v>
      </c>
      <c r="G209">
        <v>12431</v>
      </c>
      <c r="H209" t="s">
        <v>188</v>
      </c>
    </row>
    <row r="210" spans="1:8" x14ac:dyDescent="0.25">
      <c r="A210">
        <v>536389</v>
      </c>
      <c r="B210">
        <v>22191</v>
      </c>
      <c r="C210" t="s">
        <v>198</v>
      </c>
      <c r="D210">
        <v>2</v>
      </c>
      <c r="E210" s="1">
        <v>40513.418749999997</v>
      </c>
      <c r="F210">
        <v>8.5</v>
      </c>
      <c r="G210">
        <v>12431</v>
      </c>
      <c r="H210" t="s">
        <v>188</v>
      </c>
    </row>
    <row r="211" spans="1:8" x14ac:dyDescent="0.25">
      <c r="A211">
        <v>536389</v>
      </c>
      <c r="B211">
        <v>22195</v>
      </c>
      <c r="C211" t="s">
        <v>199</v>
      </c>
      <c r="D211">
        <v>24</v>
      </c>
      <c r="E211" s="1">
        <v>40513.418749999997</v>
      </c>
      <c r="F211">
        <v>1.65</v>
      </c>
      <c r="G211">
        <v>12431</v>
      </c>
      <c r="H211" t="s">
        <v>188</v>
      </c>
    </row>
    <row r="212" spans="1:8" x14ac:dyDescent="0.25">
      <c r="A212">
        <v>536389</v>
      </c>
      <c r="B212">
        <v>22196</v>
      </c>
      <c r="C212" t="s">
        <v>200</v>
      </c>
      <c r="D212">
        <v>24</v>
      </c>
      <c r="E212" s="1">
        <v>40513.418749999997</v>
      </c>
      <c r="F212">
        <v>0.85</v>
      </c>
      <c r="G212">
        <v>12431</v>
      </c>
      <c r="H212" t="s">
        <v>188</v>
      </c>
    </row>
    <row r="213" spans="1:8" x14ac:dyDescent="0.25">
      <c r="A213">
        <v>536390</v>
      </c>
      <c r="B213">
        <v>22941</v>
      </c>
      <c r="C213" t="s">
        <v>187</v>
      </c>
      <c r="D213">
        <v>2</v>
      </c>
      <c r="E213" s="1">
        <v>40513.429861111108</v>
      </c>
      <c r="F213">
        <v>8.5</v>
      </c>
      <c r="G213">
        <v>17511</v>
      </c>
      <c r="H213" t="s">
        <v>10</v>
      </c>
    </row>
    <row r="214" spans="1:8" x14ac:dyDescent="0.25">
      <c r="A214">
        <v>536390</v>
      </c>
      <c r="B214">
        <v>22960</v>
      </c>
      <c r="C214" t="s">
        <v>34</v>
      </c>
      <c r="D214">
        <v>12</v>
      </c>
      <c r="E214" s="1">
        <v>40513.429861111108</v>
      </c>
      <c r="F214">
        <v>3.75</v>
      </c>
      <c r="G214">
        <v>17511</v>
      </c>
      <c r="H214" t="s">
        <v>10</v>
      </c>
    </row>
    <row r="215" spans="1:8" x14ac:dyDescent="0.25">
      <c r="A215">
        <v>536390</v>
      </c>
      <c r="B215">
        <v>22961</v>
      </c>
      <c r="C215" t="s">
        <v>100</v>
      </c>
      <c r="D215">
        <v>12</v>
      </c>
      <c r="E215" s="1">
        <v>40513.429861111108</v>
      </c>
      <c r="F215">
        <v>1.45</v>
      </c>
      <c r="G215">
        <v>17511</v>
      </c>
      <c r="H215" t="s">
        <v>10</v>
      </c>
    </row>
    <row r="216" spans="1:8" x14ac:dyDescent="0.25">
      <c r="A216">
        <v>536390</v>
      </c>
      <c r="B216">
        <v>22962</v>
      </c>
      <c r="C216" t="s">
        <v>201</v>
      </c>
      <c r="D216">
        <v>48</v>
      </c>
      <c r="E216" s="1">
        <v>40513.429861111108</v>
      </c>
      <c r="F216">
        <v>0.72</v>
      </c>
      <c r="G216">
        <v>17511</v>
      </c>
      <c r="H216" t="s">
        <v>10</v>
      </c>
    </row>
    <row r="217" spans="1:8" x14ac:dyDescent="0.25">
      <c r="A217">
        <v>536390</v>
      </c>
      <c r="B217">
        <v>22963</v>
      </c>
      <c r="C217" t="s">
        <v>202</v>
      </c>
      <c r="D217">
        <v>48</v>
      </c>
      <c r="E217" s="1">
        <v>40513.429861111108</v>
      </c>
      <c r="F217">
        <v>0.72</v>
      </c>
      <c r="G217">
        <v>17511</v>
      </c>
      <c r="H217" t="s">
        <v>10</v>
      </c>
    </row>
    <row r="218" spans="1:8" x14ac:dyDescent="0.25">
      <c r="A218">
        <v>536390</v>
      </c>
      <c r="B218">
        <v>22968</v>
      </c>
      <c r="C218" t="s">
        <v>203</v>
      </c>
      <c r="D218">
        <v>8</v>
      </c>
      <c r="E218" s="1">
        <v>40513.429861111108</v>
      </c>
      <c r="F218">
        <v>8.5</v>
      </c>
      <c r="G218">
        <v>17511</v>
      </c>
      <c r="H218" t="s">
        <v>10</v>
      </c>
    </row>
    <row r="219" spans="1:8" x14ac:dyDescent="0.25">
      <c r="A219">
        <v>536390</v>
      </c>
      <c r="B219" t="s">
        <v>204</v>
      </c>
      <c r="C219" t="s">
        <v>205</v>
      </c>
      <c r="D219">
        <v>144</v>
      </c>
      <c r="E219" s="1">
        <v>40513.429861111108</v>
      </c>
      <c r="F219">
        <v>0.64</v>
      </c>
      <c r="G219">
        <v>17511</v>
      </c>
      <c r="H219" t="s">
        <v>10</v>
      </c>
    </row>
    <row r="220" spans="1:8" x14ac:dyDescent="0.25">
      <c r="A220">
        <v>536390</v>
      </c>
      <c r="B220">
        <v>22910</v>
      </c>
      <c r="C220" t="s">
        <v>206</v>
      </c>
      <c r="D220">
        <v>40</v>
      </c>
      <c r="E220" s="1">
        <v>40513.429861111108</v>
      </c>
      <c r="F220">
        <v>2.5499999999999998</v>
      </c>
      <c r="G220">
        <v>17511</v>
      </c>
      <c r="H220" t="s">
        <v>10</v>
      </c>
    </row>
    <row r="221" spans="1:8" x14ac:dyDescent="0.25">
      <c r="A221">
        <v>536390</v>
      </c>
      <c r="B221">
        <v>20668</v>
      </c>
      <c r="C221" t="s">
        <v>207</v>
      </c>
      <c r="D221">
        <v>288</v>
      </c>
      <c r="E221" s="1">
        <v>40513.429861111108</v>
      </c>
      <c r="F221">
        <v>0.1</v>
      </c>
      <c r="G221">
        <v>17511</v>
      </c>
      <c r="H221" t="s">
        <v>10</v>
      </c>
    </row>
    <row r="222" spans="1:8" x14ac:dyDescent="0.25">
      <c r="A222">
        <v>536390</v>
      </c>
      <c r="B222" t="s">
        <v>8</v>
      </c>
      <c r="C222" t="s">
        <v>9</v>
      </c>
      <c r="D222">
        <v>64</v>
      </c>
      <c r="E222" s="1">
        <v>40513.429861111108</v>
      </c>
      <c r="F222">
        <v>2.5499999999999998</v>
      </c>
      <c r="G222">
        <v>17511</v>
      </c>
      <c r="H222" t="s">
        <v>10</v>
      </c>
    </row>
    <row r="223" spans="1:8" x14ac:dyDescent="0.25">
      <c r="A223">
        <v>536390</v>
      </c>
      <c r="B223">
        <v>22197</v>
      </c>
      <c r="C223" t="s">
        <v>208</v>
      </c>
      <c r="D223">
        <v>100</v>
      </c>
      <c r="E223" s="1">
        <v>40513.429861111108</v>
      </c>
      <c r="F223">
        <v>0.72</v>
      </c>
      <c r="G223">
        <v>17511</v>
      </c>
      <c r="H223" t="s">
        <v>10</v>
      </c>
    </row>
    <row r="224" spans="1:8" x14ac:dyDescent="0.25">
      <c r="A224">
        <v>536390</v>
      </c>
      <c r="B224">
        <v>22198</v>
      </c>
      <c r="C224" t="s">
        <v>209</v>
      </c>
      <c r="D224">
        <v>50</v>
      </c>
      <c r="E224" s="1">
        <v>40513.429861111108</v>
      </c>
      <c r="F224">
        <v>1.45</v>
      </c>
      <c r="G224">
        <v>17511</v>
      </c>
      <c r="H224" t="s">
        <v>10</v>
      </c>
    </row>
    <row r="225" spans="1:8" x14ac:dyDescent="0.25">
      <c r="A225">
        <v>536390</v>
      </c>
      <c r="B225">
        <v>21533</v>
      </c>
      <c r="C225" t="s">
        <v>126</v>
      </c>
      <c r="D225">
        <v>12</v>
      </c>
      <c r="E225" s="1">
        <v>40513.429861111108</v>
      </c>
      <c r="F225">
        <v>4.25</v>
      </c>
      <c r="G225">
        <v>17511</v>
      </c>
      <c r="H225" t="s">
        <v>10</v>
      </c>
    </row>
    <row r="226" spans="1:8" x14ac:dyDescent="0.25">
      <c r="A226">
        <v>536390</v>
      </c>
      <c r="B226">
        <v>21080</v>
      </c>
      <c r="C226" t="s">
        <v>210</v>
      </c>
      <c r="D226">
        <v>96</v>
      </c>
      <c r="E226" s="1">
        <v>40513.429861111108</v>
      </c>
      <c r="F226">
        <v>0.64</v>
      </c>
      <c r="G226">
        <v>17511</v>
      </c>
      <c r="H226" t="s">
        <v>10</v>
      </c>
    </row>
    <row r="227" spans="1:8" x14ac:dyDescent="0.25">
      <c r="A227">
        <v>536390</v>
      </c>
      <c r="B227">
        <v>21094</v>
      </c>
      <c r="C227" t="s">
        <v>84</v>
      </c>
      <c r="D227">
        <v>96</v>
      </c>
      <c r="E227" s="1">
        <v>40513.429861111108</v>
      </c>
      <c r="F227">
        <v>0.64</v>
      </c>
      <c r="G227">
        <v>17511</v>
      </c>
      <c r="H227" t="s">
        <v>10</v>
      </c>
    </row>
    <row r="228" spans="1:8" x14ac:dyDescent="0.25">
      <c r="A228">
        <v>536390</v>
      </c>
      <c r="B228">
        <v>21086</v>
      </c>
      <c r="C228" t="s">
        <v>211</v>
      </c>
      <c r="D228">
        <v>48</v>
      </c>
      <c r="E228" s="1">
        <v>40513.429861111108</v>
      </c>
      <c r="F228">
        <v>0.65</v>
      </c>
      <c r="G228">
        <v>17511</v>
      </c>
      <c r="H228" t="s">
        <v>10</v>
      </c>
    </row>
    <row r="229" spans="1:8" x14ac:dyDescent="0.25">
      <c r="A229">
        <v>536390</v>
      </c>
      <c r="B229">
        <v>21786</v>
      </c>
      <c r="C229" t="s">
        <v>212</v>
      </c>
      <c r="D229">
        <v>144</v>
      </c>
      <c r="E229" s="1">
        <v>40513.429861111108</v>
      </c>
      <c r="F229">
        <v>0.32</v>
      </c>
      <c r="G229">
        <v>17511</v>
      </c>
      <c r="H229" t="s">
        <v>10</v>
      </c>
    </row>
    <row r="230" spans="1:8" x14ac:dyDescent="0.25">
      <c r="A230">
        <v>536390</v>
      </c>
      <c r="B230">
        <v>22654</v>
      </c>
      <c r="C230" t="s">
        <v>213</v>
      </c>
      <c r="D230">
        <v>40</v>
      </c>
      <c r="E230" s="1">
        <v>40513.429861111108</v>
      </c>
      <c r="F230">
        <v>4.95</v>
      </c>
      <c r="G230">
        <v>17511</v>
      </c>
      <c r="H230" t="s">
        <v>10</v>
      </c>
    </row>
    <row r="231" spans="1:8" x14ac:dyDescent="0.25">
      <c r="A231">
        <v>536390</v>
      </c>
      <c r="B231">
        <v>21485</v>
      </c>
      <c r="C231" t="s">
        <v>214</v>
      </c>
      <c r="D231">
        <v>24</v>
      </c>
      <c r="E231" s="1">
        <v>40513.429861111108</v>
      </c>
      <c r="F231">
        <v>4.25</v>
      </c>
      <c r="G231">
        <v>17511</v>
      </c>
      <c r="H231" t="s">
        <v>10</v>
      </c>
    </row>
    <row r="232" spans="1:8" x14ac:dyDescent="0.25">
      <c r="A232">
        <v>536390</v>
      </c>
      <c r="B232" t="s">
        <v>14</v>
      </c>
      <c r="C232" t="s">
        <v>15</v>
      </c>
      <c r="D232">
        <v>24</v>
      </c>
      <c r="E232" s="1">
        <v>40513.429861111108</v>
      </c>
      <c r="F232">
        <v>3.39</v>
      </c>
      <c r="G232">
        <v>17511</v>
      </c>
      <c r="H232" t="s">
        <v>10</v>
      </c>
    </row>
    <row r="233" spans="1:8" x14ac:dyDescent="0.25">
      <c r="A233">
        <v>536390</v>
      </c>
      <c r="B233" t="s">
        <v>215</v>
      </c>
      <c r="C233" t="s">
        <v>216</v>
      </c>
      <c r="D233">
        <v>24</v>
      </c>
      <c r="E233" s="1">
        <v>40513.429861111108</v>
      </c>
      <c r="F233">
        <v>3.75</v>
      </c>
      <c r="G233">
        <v>17511</v>
      </c>
      <c r="H233" t="s">
        <v>10</v>
      </c>
    </row>
    <row r="234" spans="1:8" x14ac:dyDescent="0.25">
      <c r="A234">
        <v>536390</v>
      </c>
      <c r="B234">
        <v>22174</v>
      </c>
      <c r="C234" t="s">
        <v>217</v>
      </c>
      <c r="D234">
        <v>48</v>
      </c>
      <c r="E234" s="1">
        <v>40513.429861111108</v>
      </c>
      <c r="F234">
        <v>1.48</v>
      </c>
      <c r="G234">
        <v>17511</v>
      </c>
      <c r="H234" t="s">
        <v>10</v>
      </c>
    </row>
    <row r="235" spans="1:8" x14ac:dyDescent="0.25">
      <c r="A235">
        <v>536390</v>
      </c>
      <c r="B235">
        <v>22969</v>
      </c>
      <c r="C235" t="s">
        <v>183</v>
      </c>
      <c r="D235">
        <v>96</v>
      </c>
      <c r="E235" s="1">
        <v>40513.429861111108</v>
      </c>
      <c r="F235">
        <v>1.25</v>
      </c>
      <c r="G235">
        <v>17511</v>
      </c>
      <c r="H235" t="s">
        <v>10</v>
      </c>
    </row>
    <row r="236" spans="1:8" x14ac:dyDescent="0.25">
      <c r="A236">
        <v>536390</v>
      </c>
      <c r="B236" t="s">
        <v>172</v>
      </c>
      <c r="C236" t="s">
        <v>173</v>
      </c>
      <c r="D236">
        <v>100</v>
      </c>
      <c r="E236" s="1">
        <v>40513.429861111108</v>
      </c>
      <c r="F236">
        <v>1.65</v>
      </c>
      <c r="G236">
        <v>17511</v>
      </c>
      <c r="H236" t="s">
        <v>10</v>
      </c>
    </row>
    <row r="237" spans="1:8" x14ac:dyDescent="0.25">
      <c r="A237" t="s">
        <v>218</v>
      </c>
      <c r="B237">
        <v>22556</v>
      </c>
      <c r="C237" t="s">
        <v>219</v>
      </c>
      <c r="D237">
        <v>-12</v>
      </c>
      <c r="E237" s="1">
        <v>40513.433333333334</v>
      </c>
      <c r="F237">
        <v>1.65</v>
      </c>
      <c r="G237">
        <v>17548</v>
      </c>
      <c r="H237" t="s">
        <v>10</v>
      </c>
    </row>
    <row r="238" spans="1:8" x14ac:dyDescent="0.25">
      <c r="A238" t="s">
        <v>218</v>
      </c>
      <c r="B238">
        <v>21984</v>
      </c>
      <c r="C238" t="s">
        <v>220</v>
      </c>
      <c r="D238">
        <v>-24</v>
      </c>
      <c r="E238" s="1">
        <v>40513.433333333334</v>
      </c>
      <c r="F238">
        <v>0.28999999999999998</v>
      </c>
      <c r="G238">
        <v>17548</v>
      </c>
      <c r="H238" t="s">
        <v>10</v>
      </c>
    </row>
    <row r="239" spans="1:8" x14ac:dyDescent="0.25">
      <c r="A239" t="s">
        <v>218</v>
      </c>
      <c r="B239">
        <v>21983</v>
      </c>
      <c r="C239" t="s">
        <v>221</v>
      </c>
      <c r="D239">
        <v>-24</v>
      </c>
      <c r="E239" s="1">
        <v>40513.433333333334</v>
      </c>
      <c r="F239">
        <v>0.28999999999999998</v>
      </c>
      <c r="G239">
        <v>17548</v>
      </c>
      <c r="H239" t="s">
        <v>10</v>
      </c>
    </row>
    <row r="240" spans="1:8" x14ac:dyDescent="0.25">
      <c r="A240" t="s">
        <v>218</v>
      </c>
      <c r="B240">
        <v>21980</v>
      </c>
      <c r="C240" t="s">
        <v>222</v>
      </c>
      <c r="D240">
        <v>-24</v>
      </c>
      <c r="E240" s="1">
        <v>40513.433333333334</v>
      </c>
      <c r="F240">
        <v>0.28999999999999998</v>
      </c>
      <c r="G240">
        <v>17548</v>
      </c>
      <c r="H240" t="s">
        <v>10</v>
      </c>
    </row>
    <row r="241" spans="1:8" x14ac:dyDescent="0.25">
      <c r="A241" t="s">
        <v>218</v>
      </c>
      <c r="B241">
        <v>21484</v>
      </c>
      <c r="C241" t="s">
        <v>223</v>
      </c>
      <c r="D241">
        <v>-12</v>
      </c>
      <c r="E241" s="1">
        <v>40513.433333333334</v>
      </c>
      <c r="F241">
        <v>3.45</v>
      </c>
      <c r="G241">
        <v>17548</v>
      </c>
      <c r="H241" t="s">
        <v>10</v>
      </c>
    </row>
    <row r="242" spans="1:8" x14ac:dyDescent="0.25">
      <c r="A242" t="s">
        <v>218</v>
      </c>
      <c r="B242">
        <v>22557</v>
      </c>
      <c r="C242" t="s">
        <v>224</v>
      </c>
      <c r="D242">
        <v>-12</v>
      </c>
      <c r="E242" s="1">
        <v>40513.433333333334</v>
      </c>
      <c r="F242">
        <v>1.65</v>
      </c>
      <c r="G242">
        <v>17548</v>
      </c>
      <c r="H242" t="s">
        <v>10</v>
      </c>
    </row>
    <row r="243" spans="1:8" x14ac:dyDescent="0.25">
      <c r="A243" t="s">
        <v>218</v>
      </c>
      <c r="B243">
        <v>22553</v>
      </c>
      <c r="C243" t="s">
        <v>225</v>
      </c>
      <c r="D243">
        <v>-24</v>
      </c>
      <c r="E243" s="1">
        <v>40513.433333333334</v>
      </c>
      <c r="F243">
        <v>1.65</v>
      </c>
      <c r="G243">
        <v>17548</v>
      </c>
      <c r="H243" t="s">
        <v>10</v>
      </c>
    </row>
    <row r="244" spans="1:8" x14ac:dyDescent="0.25">
      <c r="A244">
        <v>536392</v>
      </c>
      <c r="B244">
        <v>22150</v>
      </c>
      <c r="C244" t="s">
        <v>226</v>
      </c>
      <c r="D244">
        <v>6</v>
      </c>
      <c r="E244" s="1">
        <v>40513.436805555553</v>
      </c>
      <c r="F244">
        <v>1.95</v>
      </c>
      <c r="G244">
        <v>13705</v>
      </c>
      <c r="H244" t="s">
        <v>10</v>
      </c>
    </row>
    <row r="245" spans="1:8" x14ac:dyDescent="0.25">
      <c r="A245">
        <v>536392</v>
      </c>
      <c r="B245">
        <v>22619</v>
      </c>
      <c r="C245" t="s">
        <v>227</v>
      </c>
      <c r="D245">
        <v>4</v>
      </c>
      <c r="E245" s="1">
        <v>40513.436805555553</v>
      </c>
      <c r="F245">
        <v>3.75</v>
      </c>
      <c r="G245">
        <v>13705</v>
      </c>
      <c r="H245" t="s">
        <v>10</v>
      </c>
    </row>
    <row r="246" spans="1:8" x14ac:dyDescent="0.25">
      <c r="A246">
        <v>536392</v>
      </c>
      <c r="B246">
        <v>21891</v>
      </c>
      <c r="C246" t="s">
        <v>228</v>
      </c>
      <c r="D246">
        <v>12</v>
      </c>
      <c r="E246" s="1">
        <v>40513.436805555553</v>
      </c>
      <c r="F246">
        <v>1.25</v>
      </c>
      <c r="G246">
        <v>13705</v>
      </c>
      <c r="H246" t="s">
        <v>10</v>
      </c>
    </row>
    <row r="247" spans="1:8" x14ac:dyDescent="0.25">
      <c r="A247">
        <v>536392</v>
      </c>
      <c r="B247">
        <v>21889</v>
      </c>
      <c r="C247" t="s">
        <v>229</v>
      </c>
      <c r="D247">
        <v>12</v>
      </c>
      <c r="E247" s="1">
        <v>40513.436805555553</v>
      </c>
      <c r="F247">
        <v>1.25</v>
      </c>
      <c r="G247">
        <v>13705</v>
      </c>
      <c r="H247" t="s">
        <v>10</v>
      </c>
    </row>
    <row r="248" spans="1:8" x14ac:dyDescent="0.25">
      <c r="A248">
        <v>536392</v>
      </c>
      <c r="B248">
        <v>22827</v>
      </c>
      <c r="C248" t="s">
        <v>230</v>
      </c>
      <c r="D248">
        <v>1</v>
      </c>
      <c r="E248" s="1">
        <v>40513.436805555553</v>
      </c>
      <c r="F248">
        <v>165</v>
      </c>
      <c r="G248">
        <v>13705</v>
      </c>
      <c r="H248" t="s">
        <v>10</v>
      </c>
    </row>
    <row r="249" spans="1:8" x14ac:dyDescent="0.25">
      <c r="A249">
        <v>536392</v>
      </c>
      <c r="B249">
        <v>22127</v>
      </c>
      <c r="C249" t="s">
        <v>231</v>
      </c>
      <c r="D249">
        <v>12</v>
      </c>
      <c r="E249" s="1">
        <v>40513.436805555553</v>
      </c>
      <c r="F249">
        <v>1.25</v>
      </c>
      <c r="G249">
        <v>13705</v>
      </c>
      <c r="H249" t="s">
        <v>10</v>
      </c>
    </row>
    <row r="250" spans="1:8" x14ac:dyDescent="0.25">
      <c r="A250">
        <v>536392</v>
      </c>
      <c r="B250">
        <v>22128</v>
      </c>
      <c r="C250" t="s">
        <v>232</v>
      </c>
      <c r="D250">
        <v>12</v>
      </c>
      <c r="E250" s="1">
        <v>40513.436805555553</v>
      </c>
      <c r="F250">
        <v>1.25</v>
      </c>
      <c r="G250">
        <v>13705</v>
      </c>
      <c r="H250" t="s">
        <v>10</v>
      </c>
    </row>
    <row r="251" spans="1:8" x14ac:dyDescent="0.25">
      <c r="A251">
        <v>536392</v>
      </c>
      <c r="B251">
        <v>22502</v>
      </c>
      <c r="C251" t="s">
        <v>233</v>
      </c>
      <c r="D251">
        <v>4</v>
      </c>
      <c r="E251" s="1">
        <v>40513.436805555553</v>
      </c>
      <c r="F251">
        <v>5.95</v>
      </c>
      <c r="G251">
        <v>13705</v>
      </c>
      <c r="H251" t="s">
        <v>10</v>
      </c>
    </row>
    <row r="252" spans="1:8" x14ac:dyDescent="0.25">
      <c r="A252">
        <v>536392</v>
      </c>
      <c r="B252">
        <v>84879</v>
      </c>
      <c r="C252" t="s">
        <v>22</v>
      </c>
      <c r="D252">
        <v>16</v>
      </c>
      <c r="E252" s="1">
        <v>40513.436805555553</v>
      </c>
      <c r="F252">
        <v>1.69</v>
      </c>
      <c r="G252">
        <v>13705</v>
      </c>
      <c r="H252" t="s">
        <v>10</v>
      </c>
    </row>
    <row r="253" spans="1:8" x14ac:dyDescent="0.25">
      <c r="A253">
        <v>536392</v>
      </c>
      <c r="B253">
        <v>22338</v>
      </c>
      <c r="C253" t="s">
        <v>234</v>
      </c>
      <c r="D253">
        <v>24</v>
      </c>
      <c r="E253" s="1">
        <v>40513.436805555553</v>
      </c>
      <c r="F253">
        <v>0.65</v>
      </c>
      <c r="G253">
        <v>13705</v>
      </c>
      <c r="H253" t="s">
        <v>10</v>
      </c>
    </row>
    <row r="254" spans="1:8" x14ac:dyDescent="0.25">
      <c r="A254">
        <v>536393</v>
      </c>
      <c r="B254">
        <v>22180</v>
      </c>
      <c r="C254" t="s">
        <v>235</v>
      </c>
      <c r="D254">
        <v>8</v>
      </c>
      <c r="E254" s="1">
        <v>40513.442361111112</v>
      </c>
      <c r="F254">
        <v>9.9499999999999993</v>
      </c>
      <c r="G254">
        <v>13747</v>
      </c>
      <c r="H254" t="s">
        <v>10</v>
      </c>
    </row>
    <row r="255" spans="1:8" x14ac:dyDescent="0.25">
      <c r="A255">
        <v>536394</v>
      </c>
      <c r="B255">
        <v>21506</v>
      </c>
      <c r="C255" t="s">
        <v>236</v>
      </c>
      <c r="D255">
        <v>24</v>
      </c>
      <c r="E255" s="1">
        <v>40513.443749999999</v>
      </c>
      <c r="F255">
        <v>0.42</v>
      </c>
      <c r="G255">
        <v>13408</v>
      </c>
      <c r="H255" t="s">
        <v>10</v>
      </c>
    </row>
    <row r="256" spans="1:8" x14ac:dyDescent="0.25">
      <c r="A256">
        <v>536394</v>
      </c>
      <c r="B256">
        <v>22633</v>
      </c>
      <c r="C256" t="s">
        <v>20</v>
      </c>
      <c r="D256">
        <v>96</v>
      </c>
      <c r="E256" s="1">
        <v>40513.443749999999</v>
      </c>
      <c r="F256">
        <v>1.85</v>
      </c>
      <c r="G256">
        <v>13408</v>
      </c>
      <c r="H256" t="s">
        <v>10</v>
      </c>
    </row>
    <row r="257" spans="1:8" x14ac:dyDescent="0.25">
      <c r="A257">
        <v>536394</v>
      </c>
      <c r="B257">
        <v>22866</v>
      </c>
      <c r="C257" t="s">
        <v>237</v>
      </c>
      <c r="D257">
        <v>96</v>
      </c>
      <c r="E257" s="1">
        <v>40513.443749999999</v>
      </c>
      <c r="F257">
        <v>1.85</v>
      </c>
      <c r="G257">
        <v>13408</v>
      </c>
      <c r="H257" t="s">
        <v>10</v>
      </c>
    </row>
    <row r="258" spans="1:8" x14ac:dyDescent="0.25">
      <c r="A258">
        <v>536394</v>
      </c>
      <c r="B258">
        <v>22865</v>
      </c>
      <c r="C258" t="s">
        <v>238</v>
      </c>
      <c r="D258">
        <v>96</v>
      </c>
      <c r="E258" s="1">
        <v>40513.443749999999</v>
      </c>
      <c r="F258">
        <v>1.85</v>
      </c>
      <c r="G258">
        <v>13408</v>
      </c>
      <c r="H258" t="s">
        <v>10</v>
      </c>
    </row>
    <row r="259" spans="1:8" x14ac:dyDescent="0.25">
      <c r="A259">
        <v>536394</v>
      </c>
      <c r="B259">
        <v>22632</v>
      </c>
      <c r="C259" t="s">
        <v>239</v>
      </c>
      <c r="D259">
        <v>96</v>
      </c>
      <c r="E259" s="1">
        <v>40513.443749999999</v>
      </c>
      <c r="F259">
        <v>1.85</v>
      </c>
      <c r="G259">
        <v>13408</v>
      </c>
      <c r="H259" t="s">
        <v>10</v>
      </c>
    </row>
    <row r="260" spans="1:8" x14ac:dyDescent="0.25">
      <c r="A260">
        <v>536394</v>
      </c>
      <c r="B260">
        <v>21485</v>
      </c>
      <c r="C260" t="s">
        <v>214</v>
      </c>
      <c r="D260">
        <v>12</v>
      </c>
      <c r="E260" s="1">
        <v>40513.443749999999</v>
      </c>
      <c r="F260">
        <v>4.95</v>
      </c>
      <c r="G260">
        <v>13408</v>
      </c>
      <c r="H260" t="s">
        <v>10</v>
      </c>
    </row>
    <row r="261" spans="1:8" x14ac:dyDescent="0.25">
      <c r="A261">
        <v>536394</v>
      </c>
      <c r="B261">
        <v>22349</v>
      </c>
      <c r="C261" t="s">
        <v>240</v>
      </c>
      <c r="D261">
        <v>12</v>
      </c>
      <c r="E261" s="1">
        <v>40513.443749999999</v>
      </c>
      <c r="F261">
        <v>3.75</v>
      </c>
      <c r="G261">
        <v>13408</v>
      </c>
      <c r="H261" t="s">
        <v>10</v>
      </c>
    </row>
    <row r="262" spans="1:8" x14ac:dyDescent="0.25">
      <c r="A262">
        <v>536394</v>
      </c>
      <c r="B262">
        <v>22558</v>
      </c>
      <c r="C262" t="s">
        <v>241</v>
      </c>
      <c r="D262">
        <v>48</v>
      </c>
      <c r="E262" s="1">
        <v>40513.443749999999</v>
      </c>
      <c r="F262">
        <v>1.25</v>
      </c>
      <c r="G262">
        <v>13408</v>
      </c>
      <c r="H262" t="s">
        <v>10</v>
      </c>
    </row>
    <row r="263" spans="1:8" x14ac:dyDescent="0.25">
      <c r="A263">
        <v>536394</v>
      </c>
      <c r="B263">
        <v>85152</v>
      </c>
      <c r="C263" t="s">
        <v>242</v>
      </c>
      <c r="D263">
        <v>12</v>
      </c>
      <c r="E263" s="1">
        <v>40513.443749999999</v>
      </c>
      <c r="F263">
        <v>2.1</v>
      </c>
      <c r="G263">
        <v>13408</v>
      </c>
      <c r="H263" t="s">
        <v>10</v>
      </c>
    </row>
    <row r="264" spans="1:8" x14ac:dyDescent="0.25">
      <c r="A264">
        <v>536394</v>
      </c>
      <c r="B264" t="s">
        <v>8</v>
      </c>
      <c r="C264" t="s">
        <v>9</v>
      </c>
      <c r="D264">
        <v>32</v>
      </c>
      <c r="E264" s="1">
        <v>40513.443749999999</v>
      </c>
      <c r="F264">
        <v>2.5499999999999998</v>
      </c>
      <c r="G264">
        <v>13408</v>
      </c>
      <c r="H264" t="s">
        <v>10</v>
      </c>
    </row>
    <row r="265" spans="1:8" x14ac:dyDescent="0.25">
      <c r="A265">
        <v>536394</v>
      </c>
      <c r="B265">
        <v>22652</v>
      </c>
      <c r="C265" t="s">
        <v>243</v>
      </c>
      <c r="D265">
        <v>20</v>
      </c>
      <c r="E265" s="1">
        <v>40513.443749999999</v>
      </c>
      <c r="F265">
        <v>1.65</v>
      </c>
      <c r="G265">
        <v>13408</v>
      </c>
      <c r="H265" t="s">
        <v>10</v>
      </c>
    </row>
    <row r="266" spans="1:8" x14ac:dyDescent="0.25">
      <c r="A266">
        <v>536395</v>
      </c>
      <c r="B266">
        <v>22188</v>
      </c>
      <c r="C266" t="s">
        <v>244</v>
      </c>
      <c r="D266">
        <v>8</v>
      </c>
      <c r="E266" s="1">
        <v>40513.449305555558</v>
      </c>
      <c r="F266">
        <v>3.95</v>
      </c>
      <c r="G266">
        <v>13767</v>
      </c>
      <c r="H266" t="s">
        <v>10</v>
      </c>
    </row>
    <row r="267" spans="1:8" x14ac:dyDescent="0.25">
      <c r="A267">
        <v>536395</v>
      </c>
      <c r="B267">
        <v>84879</v>
      </c>
      <c r="C267" t="s">
        <v>22</v>
      </c>
      <c r="D267">
        <v>32</v>
      </c>
      <c r="E267" s="1">
        <v>40513.449305555558</v>
      </c>
      <c r="F267">
        <v>1.69</v>
      </c>
      <c r="G267">
        <v>13767</v>
      </c>
      <c r="H267" t="s">
        <v>10</v>
      </c>
    </row>
    <row r="268" spans="1:8" x14ac:dyDescent="0.25">
      <c r="A268">
        <v>536395</v>
      </c>
      <c r="B268">
        <v>21977</v>
      </c>
      <c r="C268" t="s">
        <v>90</v>
      </c>
      <c r="D268">
        <v>24</v>
      </c>
      <c r="E268" s="1">
        <v>40513.449305555558</v>
      </c>
      <c r="F268">
        <v>0.55000000000000004</v>
      </c>
      <c r="G268">
        <v>13767</v>
      </c>
      <c r="H268" t="s">
        <v>10</v>
      </c>
    </row>
    <row r="269" spans="1:8" x14ac:dyDescent="0.25">
      <c r="A269">
        <v>536395</v>
      </c>
      <c r="B269">
        <v>84991</v>
      </c>
      <c r="C269" t="s">
        <v>91</v>
      </c>
      <c r="D269">
        <v>24</v>
      </c>
      <c r="E269" s="1">
        <v>40513.449305555558</v>
      </c>
      <c r="F269">
        <v>0.55000000000000004</v>
      </c>
      <c r="G269">
        <v>13767</v>
      </c>
      <c r="H269" t="s">
        <v>10</v>
      </c>
    </row>
    <row r="270" spans="1:8" x14ac:dyDescent="0.25">
      <c r="A270">
        <v>536395</v>
      </c>
      <c r="B270">
        <v>21212</v>
      </c>
      <c r="C270" t="s">
        <v>88</v>
      </c>
      <c r="D270">
        <v>24</v>
      </c>
      <c r="E270" s="1">
        <v>40513.449305555558</v>
      </c>
      <c r="F270">
        <v>0.55000000000000004</v>
      </c>
      <c r="G270">
        <v>13767</v>
      </c>
      <c r="H270" t="s">
        <v>10</v>
      </c>
    </row>
    <row r="271" spans="1:8" x14ac:dyDescent="0.25">
      <c r="A271">
        <v>536395</v>
      </c>
      <c r="B271">
        <v>21484</v>
      </c>
      <c r="C271" t="s">
        <v>223</v>
      </c>
      <c r="D271">
        <v>8</v>
      </c>
      <c r="E271" s="1">
        <v>40513.449305555558</v>
      </c>
      <c r="F271">
        <v>3.45</v>
      </c>
      <c r="G271">
        <v>13767</v>
      </c>
      <c r="H271" t="s">
        <v>10</v>
      </c>
    </row>
    <row r="272" spans="1:8" x14ac:dyDescent="0.25">
      <c r="A272">
        <v>536395</v>
      </c>
      <c r="B272">
        <v>21314</v>
      </c>
      <c r="C272" t="s">
        <v>245</v>
      </c>
      <c r="D272">
        <v>8</v>
      </c>
      <c r="E272" s="1">
        <v>40513.449305555558</v>
      </c>
      <c r="F272">
        <v>2.1</v>
      </c>
      <c r="G272">
        <v>13767</v>
      </c>
      <c r="H272" t="s">
        <v>10</v>
      </c>
    </row>
    <row r="273" spans="1:8" x14ac:dyDescent="0.25">
      <c r="A273">
        <v>536395</v>
      </c>
      <c r="B273">
        <v>22730</v>
      </c>
      <c r="C273" t="s">
        <v>246</v>
      </c>
      <c r="D273">
        <v>4</v>
      </c>
      <c r="E273" s="1">
        <v>40513.449305555558</v>
      </c>
      <c r="F273">
        <v>3.75</v>
      </c>
      <c r="G273">
        <v>13767</v>
      </c>
      <c r="H273" t="s">
        <v>10</v>
      </c>
    </row>
    <row r="274" spans="1:8" x14ac:dyDescent="0.25">
      <c r="A274">
        <v>536395</v>
      </c>
      <c r="B274">
        <v>22727</v>
      </c>
      <c r="C274" t="s">
        <v>41</v>
      </c>
      <c r="D274">
        <v>8</v>
      </c>
      <c r="E274" s="1">
        <v>40513.449305555558</v>
      </c>
      <c r="F274">
        <v>3.75</v>
      </c>
      <c r="G274">
        <v>13767</v>
      </c>
      <c r="H274" t="s">
        <v>10</v>
      </c>
    </row>
    <row r="275" spans="1:8" x14ac:dyDescent="0.25">
      <c r="A275">
        <v>536395</v>
      </c>
      <c r="B275">
        <v>22729</v>
      </c>
      <c r="C275" t="s">
        <v>247</v>
      </c>
      <c r="D275">
        <v>8</v>
      </c>
      <c r="E275" s="1">
        <v>40513.449305555558</v>
      </c>
      <c r="F275">
        <v>3.75</v>
      </c>
      <c r="G275">
        <v>13767</v>
      </c>
      <c r="H275" t="s">
        <v>10</v>
      </c>
    </row>
    <row r="276" spans="1:8" x14ac:dyDescent="0.25">
      <c r="A276">
        <v>536395</v>
      </c>
      <c r="B276">
        <v>22726</v>
      </c>
      <c r="C276" t="s">
        <v>42</v>
      </c>
      <c r="D276">
        <v>8</v>
      </c>
      <c r="E276" s="1">
        <v>40513.449305555558</v>
      </c>
      <c r="F276">
        <v>3.75</v>
      </c>
      <c r="G276">
        <v>13767</v>
      </c>
      <c r="H276" t="s">
        <v>10</v>
      </c>
    </row>
    <row r="277" spans="1:8" x14ac:dyDescent="0.25">
      <c r="A277">
        <v>536395</v>
      </c>
      <c r="B277">
        <v>22114</v>
      </c>
      <c r="C277" t="s">
        <v>73</v>
      </c>
      <c r="D277">
        <v>8</v>
      </c>
      <c r="E277" s="1">
        <v>40513.449305555558</v>
      </c>
      <c r="F277">
        <v>3.95</v>
      </c>
      <c r="G277">
        <v>13767</v>
      </c>
      <c r="H277" t="s">
        <v>10</v>
      </c>
    </row>
    <row r="278" spans="1:8" x14ac:dyDescent="0.25">
      <c r="A278">
        <v>536395</v>
      </c>
      <c r="B278">
        <v>22867</v>
      </c>
      <c r="C278" t="s">
        <v>248</v>
      </c>
      <c r="D278">
        <v>48</v>
      </c>
      <c r="E278" s="1">
        <v>40513.449305555558</v>
      </c>
      <c r="F278">
        <v>2.1</v>
      </c>
      <c r="G278">
        <v>13767</v>
      </c>
      <c r="H278" t="s">
        <v>10</v>
      </c>
    </row>
    <row r="279" spans="1:8" x14ac:dyDescent="0.25">
      <c r="A279">
        <v>536395</v>
      </c>
      <c r="B279">
        <v>22866</v>
      </c>
      <c r="C279" t="s">
        <v>237</v>
      </c>
      <c r="D279">
        <v>48</v>
      </c>
      <c r="E279" s="1">
        <v>40513.449305555558</v>
      </c>
      <c r="F279">
        <v>2.1</v>
      </c>
      <c r="G279">
        <v>13767</v>
      </c>
      <c r="H279" t="s">
        <v>10</v>
      </c>
    </row>
    <row r="280" spans="1:8" x14ac:dyDescent="0.25">
      <c r="A280">
        <v>536396</v>
      </c>
      <c r="B280" t="s">
        <v>8</v>
      </c>
      <c r="C280" t="s">
        <v>9</v>
      </c>
      <c r="D280">
        <v>6</v>
      </c>
      <c r="E280" s="1">
        <v>40513.45208333333</v>
      </c>
      <c r="F280">
        <v>2.5499999999999998</v>
      </c>
      <c r="G280">
        <v>17850</v>
      </c>
      <c r="H280" t="s">
        <v>10</v>
      </c>
    </row>
    <row r="281" spans="1:8" x14ac:dyDescent="0.25">
      <c r="A281">
        <v>536396</v>
      </c>
      <c r="B281">
        <v>71053</v>
      </c>
      <c r="C281" t="s">
        <v>11</v>
      </c>
      <c r="D281">
        <v>6</v>
      </c>
      <c r="E281" s="1">
        <v>40513.45208333333</v>
      </c>
      <c r="F281">
        <v>3.39</v>
      </c>
      <c r="G281">
        <v>17850</v>
      </c>
      <c r="H281" t="s">
        <v>10</v>
      </c>
    </row>
    <row r="282" spans="1:8" x14ac:dyDescent="0.25">
      <c r="A282">
        <v>536396</v>
      </c>
      <c r="B282" t="s">
        <v>12</v>
      </c>
      <c r="C282" t="s">
        <v>13</v>
      </c>
      <c r="D282">
        <v>8</v>
      </c>
      <c r="E282" s="1">
        <v>40513.45208333333</v>
      </c>
      <c r="F282">
        <v>2.75</v>
      </c>
      <c r="G282">
        <v>17850</v>
      </c>
      <c r="H282" t="s">
        <v>10</v>
      </c>
    </row>
    <row r="283" spans="1:8" x14ac:dyDescent="0.25">
      <c r="A283">
        <v>536396</v>
      </c>
      <c r="B283" t="s">
        <v>128</v>
      </c>
      <c r="C283" t="s">
        <v>129</v>
      </c>
      <c r="D283">
        <v>6</v>
      </c>
      <c r="E283" s="1">
        <v>40513.45208333333</v>
      </c>
      <c r="F283">
        <v>4.95</v>
      </c>
      <c r="G283">
        <v>17850</v>
      </c>
      <c r="H283" t="s">
        <v>10</v>
      </c>
    </row>
    <row r="284" spans="1:8" x14ac:dyDescent="0.25">
      <c r="A284">
        <v>536396</v>
      </c>
      <c r="B284">
        <v>20679</v>
      </c>
      <c r="C284" t="s">
        <v>62</v>
      </c>
      <c r="D284">
        <v>6</v>
      </c>
      <c r="E284" s="1">
        <v>40513.45208333333</v>
      </c>
      <c r="F284">
        <v>4.95</v>
      </c>
      <c r="G284">
        <v>17850</v>
      </c>
      <c r="H284" t="s">
        <v>10</v>
      </c>
    </row>
    <row r="285" spans="1:8" x14ac:dyDescent="0.25">
      <c r="A285">
        <v>536396</v>
      </c>
      <c r="B285">
        <v>37370</v>
      </c>
      <c r="C285" t="s">
        <v>63</v>
      </c>
      <c r="D285">
        <v>6</v>
      </c>
      <c r="E285" s="1">
        <v>40513.45208333333</v>
      </c>
      <c r="F285">
        <v>1.06</v>
      </c>
      <c r="G285">
        <v>17850</v>
      </c>
      <c r="H285" t="s">
        <v>10</v>
      </c>
    </row>
    <row r="286" spans="1:8" x14ac:dyDescent="0.25">
      <c r="A286">
        <v>536396</v>
      </c>
      <c r="B286">
        <v>21871</v>
      </c>
      <c r="C286" t="s">
        <v>64</v>
      </c>
      <c r="D286">
        <v>6</v>
      </c>
      <c r="E286" s="1">
        <v>40513.45208333333</v>
      </c>
      <c r="F286">
        <v>1.06</v>
      </c>
      <c r="G286">
        <v>17850</v>
      </c>
      <c r="H286" t="s">
        <v>10</v>
      </c>
    </row>
    <row r="287" spans="1:8" x14ac:dyDescent="0.25">
      <c r="A287">
        <v>536396</v>
      </c>
      <c r="B287">
        <v>21071</v>
      </c>
      <c r="C287" t="s">
        <v>65</v>
      </c>
      <c r="D287">
        <v>6</v>
      </c>
      <c r="E287" s="1">
        <v>40513.45208333333</v>
      </c>
      <c r="F287">
        <v>1.06</v>
      </c>
      <c r="G287">
        <v>17850</v>
      </c>
      <c r="H287" t="s">
        <v>10</v>
      </c>
    </row>
    <row r="288" spans="1:8" x14ac:dyDescent="0.25">
      <c r="A288">
        <v>536396</v>
      </c>
      <c r="B288">
        <v>21068</v>
      </c>
      <c r="C288" t="s">
        <v>66</v>
      </c>
      <c r="D288">
        <v>6</v>
      </c>
      <c r="E288" s="1">
        <v>40513.45208333333</v>
      </c>
      <c r="F288">
        <v>1.06</v>
      </c>
      <c r="G288">
        <v>17850</v>
      </c>
      <c r="H288" t="s">
        <v>10</v>
      </c>
    </row>
    <row r="289" spans="1:8" x14ac:dyDescent="0.25">
      <c r="A289">
        <v>536396</v>
      </c>
      <c r="B289">
        <v>82483</v>
      </c>
      <c r="C289" t="s">
        <v>67</v>
      </c>
      <c r="D289">
        <v>2</v>
      </c>
      <c r="E289" s="1">
        <v>40513.45208333333</v>
      </c>
      <c r="F289">
        <v>4.95</v>
      </c>
      <c r="G289">
        <v>17850</v>
      </c>
      <c r="H289" t="s">
        <v>10</v>
      </c>
    </row>
    <row r="290" spans="1:8" x14ac:dyDescent="0.25">
      <c r="A290">
        <v>536396</v>
      </c>
      <c r="B290">
        <v>82486</v>
      </c>
      <c r="C290" t="s">
        <v>68</v>
      </c>
      <c r="D290">
        <v>4</v>
      </c>
      <c r="E290" s="1">
        <v>40513.45208333333</v>
      </c>
      <c r="F290">
        <v>6.95</v>
      </c>
      <c r="G290">
        <v>17850</v>
      </c>
      <c r="H290" t="s">
        <v>10</v>
      </c>
    </row>
    <row r="291" spans="1:8" x14ac:dyDescent="0.25">
      <c r="A291">
        <v>536396</v>
      </c>
      <c r="B291">
        <v>82482</v>
      </c>
      <c r="C291" t="s">
        <v>69</v>
      </c>
      <c r="D291">
        <v>6</v>
      </c>
      <c r="E291" s="1">
        <v>40513.45208333333</v>
      </c>
      <c r="F291">
        <v>2.1</v>
      </c>
      <c r="G291">
        <v>17850</v>
      </c>
      <c r="H291" t="s">
        <v>10</v>
      </c>
    </row>
    <row r="292" spans="1:8" x14ac:dyDescent="0.25">
      <c r="A292">
        <v>536396</v>
      </c>
      <c r="B292" t="s">
        <v>70</v>
      </c>
      <c r="C292" t="s">
        <v>71</v>
      </c>
      <c r="D292">
        <v>12</v>
      </c>
      <c r="E292" s="1">
        <v>40513.45208333333</v>
      </c>
      <c r="F292">
        <v>2.5499999999999998</v>
      </c>
      <c r="G292">
        <v>17850</v>
      </c>
      <c r="H292" t="s">
        <v>10</v>
      </c>
    </row>
    <row r="293" spans="1:8" x14ac:dyDescent="0.25">
      <c r="A293">
        <v>536396</v>
      </c>
      <c r="B293" t="s">
        <v>14</v>
      </c>
      <c r="C293" t="s">
        <v>15</v>
      </c>
      <c r="D293">
        <v>6</v>
      </c>
      <c r="E293" s="1">
        <v>40513.45208333333</v>
      </c>
      <c r="F293">
        <v>3.39</v>
      </c>
      <c r="G293">
        <v>17850</v>
      </c>
      <c r="H293" t="s">
        <v>10</v>
      </c>
    </row>
    <row r="294" spans="1:8" x14ac:dyDescent="0.25">
      <c r="A294">
        <v>536396</v>
      </c>
      <c r="B294" t="s">
        <v>16</v>
      </c>
      <c r="C294" t="s">
        <v>17</v>
      </c>
      <c r="D294">
        <v>6</v>
      </c>
      <c r="E294" s="1">
        <v>40513.45208333333</v>
      </c>
      <c r="F294">
        <v>3.39</v>
      </c>
      <c r="G294">
        <v>17850</v>
      </c>
      <c r="H294" t="s">
        <v>10</v>
      </c>
    </row>
    <row r="295" spans="1:8" x14ac:dyDescent="0.25">
      <c r="A295">
        <v>536396</v>
      </c>
      <c r="B295">
        <v>22752</v>
      </c>
      <c r="C295" t="s">
        <v>18</v>
      </c>
      <c r="D295">
        <v>2</v>
      </c>
      <c r="E295" s="1">
        <v>40513.45208333333</v>
      </c>
      <c r="F295">
        <v>7.65</v>
      </c>
      <c r="G295">
        <v>17850</v>
      </c>
      <c r="H295" t="s">
        <v>10</v>
      </c>
    </row>
    <row r="296" spans="1:8" x14ac:dyDescent="0.25">
      <c r="A296">
        <v>536396</v>
      </c>
      <c r="B296">
        <v>22803</v>
      </c>
      <c r="C296" t="s">
        <v>249</v>
      </c>
      <c r="D296">
        <v>2</v>
      </c>
      <c r="E296" s="1">
        <v>40513.45208333333</v>
      </c>
      <c r="F296">
        <v>35.75</v>
      </c>
      <c r="G296">
        <v>17850</v>
      </c>
      <c r="H296" t="s">
        <v>10</v>
      </c>
    </row>
    <row r="297" spans="1:8" x14ac:dyDescent="0.25">
      <c r="A297">
        <v>536396</v>
      </c>
      <c r="B297">
        <v>21730</v>
      </c>
      <c r="C297" t="s">
        <v>19</v>
      </c>
      <c r="D297">
        <v>6</v>
      </c>
      <c r="E297" s="1">
        <v>40513.45208333333</v>
      </c>
      <c r="F297">
        <v>4.25</v>
      </c>
      <c r="G297">
        <v>17850</v>
      </c>
      <c r="H297" t="s">
        <v>10</v>
      </c>
    </row>
    <row r="298" spans="1:8" x14ac:dyDescent="0.25">
      <c r="A298">
        <v>536397</v>
      </c>
      <c r="B298" t="s">
        <v>250</v>
      </c>
      <c r="C298" t="s">
        <v>251</v>
      </c>
      <c r="D298">
        <v>12</v>
      </c>
      <c r="E298" s="1">
        <v>40513.45208333333</v>
      </c>
      <c r="F298">
        <v>4.6500000000000004</v>
      </c>
      <c r="G298">
        <v>17924</v>
      </c>
      <c r="H298" t="s">
        <v>10</v>
      </c>
    </row>
    <row r="299" spans="1:8" x14ac:dyDescent="0.25">
      <c r="A299">
        <v>536397</v>
      </c>
      <c r="B299" t="s">
        <v>151</v>
      </c>
      <c r="C299" t="s">
        <v>152</v>
      </c>
      <c r="D299">
        <v>48</v>
      </c>
      <c r="E299" s="1">
        <v>40513.45208333333</v>
      </c>
      <c r="F299">
        <v>4.6500000000000004</v>
      </c>
      <c r="G299">
        <v>17924</v>
      </c>
      <c r="H299" t="s">
        <v>10</v>
      </c>
    </row>
    <row r="300" spans="1:8" x14ac:dyDescent="0.25">
      <c r="A300">
        <v>536398</v>
      </c>
      <c r="B300">
        <v>21980</v>
      </c>
      <c r="C300" t="s">
        <v>222</v>
      </c>
      <c r="D300">
        <v>24</v>
      </c>
      <c r="E300" s="1">
        <v>40513.452777777777</v>
      </c>
      <c r="F300">
        <v>0.28999999999999998</v>
      </c>
      <c r="G300">
        <v>13448</v>
      </c>
      <c r="H300" t="s">
        <v>10</v>
      </c>
    </row>
    <row r="301" spans="1:8" x14ac:dyDescent="0.25">
      <c r="A301">
        <v>536398</v>
      </c>
      <c r="B301">
        <v>21844</v>
      </c>
      <c r="C301" t="s">
        <v>252</v>
      </c>
      <c r="D301">
        <v>6</v>
      </c>
      <c r="E301" s="1">
        <v>40513.452777777777</v>
      </c>
      <c r="F301">
        <v>2.95</v>
      </c>
      <c r="G301">
        <v>13448</v>
      </c>
      <c r="H301" t="s">
        <v>10</v>
      </c>
    </row>
    <row r="302" spans="1:8" x14ac:dyDescent="0.25">
      <c r="A302">
        <v>536398</v>
      </c>
      <c r="B302">
        <v>22468</v>
      </c>
      <c r="C302" t="s">
        <v>253</v>
      </c>
      <c r="D302">
        <v>4</v>
      </c>
      <c r="E302" s="1">
        <v>40513.452777777777</v>
      </c>
      <c r="F302">
        <v>6.75</v>
      </c>
      <c r="G302">
        <v>13448</v>
      </c>
      <c r="H302" t="s">
        <v>10</v>
      </c>
    </row>
    <row r="303" spans="1:8" x14ac:dyDescent="0.25">
      <c r="A303">
        <v>536398</v>
      </c>
      <c r="B303">
        <v>22637</v>
      </c>
      <c r="C303" t="s">
        <v>110</v>
      </c>
      <c r="D303">
        <v>8</v>
      </c>
      <c r="E303" s="1">
        <v>40513.452777777777</v>
      </c>
      <c r="F303">
        <v>2.5499999999999998</v>
      </c>
      <c r="G303">
        <v>13448</v>
      </c>
      <c r="H303" t="s">
        <v>10</v>
      </c>
    </row>
    <row r="304" spans="1:8" x14ac:dyDescent="0.25">
      <c r="A304">
        <v>536398</v>
      </c>
      <c r="B304">
        <v>22752</v>
      </c>
      <c r="C304" t="s">
        <v>18</v>
      </c>
      <c r="D304">
        <v>6</v>
      </c>
      <c r="E304" s="1">
        <v>40513.452777777777</v>
      </c>
      <c r="F304">
        <v>8.5</v>
      </c>
      <c r="G304">
        <v>13448</v>
      </c>
      <c r="H304" t="s">
        <v>10</v>
      </c>
    </row>
    <row r="305" spans="1:8" x14ac:dyDescent="0.25">
      <c r="A305">
        <v>536398</v>
      </c>
      <c r="B305">
        <v>48185</v>
      </c>
      <c r="C305" t="s">
        <v>254</v>
      </c>
      <c r="D305">
        <v>2</v>
      </c>
      <c r="E305" s="1">
        <v>40513.452777777777</v>
      </c>
      <c r="F305">
        <v>7.95</v>
      </c>
      <c r="G305">
        <v>13448</v>
      </c>
      <c r="H305" t="s">
        <v>10</v>
      </c>
    </row>
    <row r="306" spans="1:8" x14ac:dyDescent="0.25">
      <c r="A306">
        <v>536398</v>
      </c>
      <c r="B306">
        <v>22632</v>
      </c>
      <c r="C306" t="s">
        <v>239</v>
      </c>
      <c r="D306">
        <v>12</v>
      </c>
      <c r="E306" s="1">
        <v>40513.452777777777</v>
      </c>
      <c r="F306">
        <v>2.1</v>
      </c>
      <c r="G306">
        <v>13448</v>
      </c>
      <c r="H306" t="s">
        <v>10</v>
      </c>
    </row>
    <row r="307" spans="1:8" x14ac:dyDescent="0.25">
      <c r="A307">
        <v>536398</v>
      </c>
      <c r="B307">
        <v>22866</v>
      </c>
      <c r="C307" t="s">
        <v>237</v>
      </c>
      <c r="D307">
        <v>12</v>
      </c>
      <c r="E307" s="1">
        <v>40513.452777777777</v>
      </c>
      <c r="F307">
        <v>2.1</v>
      </c>
      <c r="G307">
        <v>13448</v>
      </c>
      <c r="H307" t="s">
        <v>10</v>
      </c>
    </row>
    <row r="308" spans="1:8" x14ac:dyDescent="0.25">
      <c r="A308">
        <v>536398</v>
      </c>
      <c r="B308">
        <v>22865</v>
      </c>
      <c r="C308" t="s">
        <v>238</v>
      </c>
      <c r="D308">
        <v>12</v>
      </c>
      <c r="E308" s="1">
        <v>40513.452777777777</v>
      </c>
      <c r="F308">
        <v>2.1</v>
      </c>
      <c r="G308">
        <v>13448</v>
      </c>
      <c r="H308" t="s">
        <v>10</v>
      </c>
    </row>
    <row r="309" spans="1:8" x14ac:dyDescent="0.25">
      <c r="A309">
        <v>536398</v>
      </c>
      <c r="B309">
        <v>21232</v>
      </c>
      <c r="C309" t="s">
        <v>255</v>
      </c>
      <c r="D309">
        <v>12</v>
      </c>
      <c r="E309" s="1">
        <v>40513.452777777777</v>
      </c>
      <c r="F309">
        <v>1.25</v>
      </c>
      <c r="G309">
        <v>13448</v>
      </c>
      <c r="H309" t="s">
        <v>10</v>
      </c>
    </row>
    <row r="310" spans="1:8" x14ac:dyDescent="0.25">
      <c r="A310">
        <v>536398</v>
      </c>
      <c r="B310">
        <v>22064</v>
      </c>
      <c r="C310" t="s">
        <v>256</v>
      </c>
      <c r="D310">
        <v>12</v>
      </c>
      <c r="E310" s="1">
        <v>40513.452777777777</v>
      </c>
      <c r="F310">
        <v>1.65</v>
      </c>
      <c r="G310">
        <v>13448</v>
      </c>
      <c r="H310" t="s">
        <v>10</v>
      </c>
    </row>
    <row r="311" spans="1:8" x14ac:dyDescent="0.25">
      <c r="A311">
        <v>536398</v>
      </c>
      <c r="B311">
        <v>22449</v>
      </c>
      <c r="C311" t="s">
        <v>257</v>
      </c>
      <c r="D311">
        <v>6</v>
      </c>
      <c r="E311" s="1">
        <v>40513.452777777777</v>
      </c>
      <c r="F311">
        <v>3.35</v>
      </c>
      <c r="G311">
        <v>13448</v>
      </c>
      <c r="H311" t="s">
        <v>10</v>
      </c>
    </row>
    <row r="312" spans="1:8" x14ac:dyDescent="0.25">
      <c r="A312">
        <v>536398</v>
      </c>
      <c r="B312">
        <v>22114</v>
      </c>
      <c r="C312" t="s">
        <v>73</v>
      </c>
      <c r="D312">
        <v>4</v>
      </c>
      <c r="E312" s="1">
        <v>40513.452777777777</v>
      </c>
      <c r="F312">
        <v>3.95</v>
      </c>
      <c r="G312">
        <v>13448</v>
      </c>
      <c r="H312" t="s">
        <v>10</v>
      </c>
    </row>
    <row r="313" spans="1:8" x14ac:dyDescent="0.25">
      <c r="A313">
        <v>536398</v>
      </c>
      <c r="B313">
        <v>22835</v>
      </c>
      <c r="C313" t="s">
        <v>258</v>
      </c>
      <c r="D313">
        <v>8</v>
      </c>
      <c r="E313" s="1">
        <v>40513.452777777777</v>
      </c>
      <c r="F313">
        <v>4.6500000000000004</v>
      </c>
      <c r="G313">
        <v>13448</v>
      </c>
      <c r="H313" t="s">
        <v>10</v>
      </c>
    </row>
    <row r="314" spans="1:8" x14ac:dyDescent="0.25">
      <c r="A314">
        <v>536398</v>
      </c>
      <c r="B314">
        <v>22112</v>
      </c>
      <c r="C314" t="s">
        <v>259</v>
      </c>
      <c r="D314">
        <v>9</v>
      </c>
      <c r="E314" s="1">
        <v>40513.452777777777</v>
      </c>
      <c r="F314">
        <v>4.95</v>
      </c>
      <c r="G314">
        <v>13448</v>
      </c>
      <c r="H314" t="s">
        <v>10</v>
      </c>
    </row>
    <row r="315" spans="1:8" x14ac:dyDescent="0.25">
      <c r="A315">
        <v>536398</v>
      </c>
      <c r="B315">
        <v>21479</v>
      </c>
      <c r="C315" t="s">
        <v>260</v>
      </c>
      <c r="D315">
        <v>4</v>
      </c>
      <c r="E315" s="1">
        <v>40513.452777777777</v>
      </c>
      <c r="F315">
        <v>3.75</v>
      </c>
      <c r="G315">
        <v>13448</v>
      </c>
      <c r="H315" t="s">
        <v>10</v>
      </c>
    </row>
    <row r="316" spans="1:8" x14ac:dyDescent="0.25">
      <c r="A316">
        <v>536398</v>
      </c>
      <c r="B316">
        <v>22111</v>
      </c>
      <c r="C316" t="s">
        <v>261</v>
      </c>
      <c r="D316">
        <v>9</v>
      </c>
      <c r="E316" s="1">
        <v>40513.452777777777</v>
      </c>
      <c r="F316">
        <v>4.95</v>
      </c>
      <c r="G316">
        <v>13448</v>
      </c>
      <c r="H316" t="s">
        <v>10</v>
      </c>
    </row>
    <row r="317" spans="1:8" x14ac:dyDescent="0.25">
      <c r="A317">
        <v>536399</v>
      </c>
      <c r="B317">
        <v>22632</v>
      </c>
      <c r="C317" t="s">
        <v>21</v>
      </c>
      <c r="D317">
        <v>6</v>
      </c>
      <c r="E317" s="1">
        <v>40513.452777777777</v>
      </c>
      <c r="F317">
        <v>1.85</v>
      </c>
      <c r="G317">
        <v>17850</v>
      </c>
      <c r="H317" t="s">
        <v>10</v>
      </c>
    </row>
    <row r="318" spans="1:8" x14ac:dyDescent="0.25">
      <c r="A318">
        <v>536399</v>
      </c>
      <c r="B318">
        <v>22633</v>
      </c>
      <c r="C318" t="s">
        <v>20</v>
      </c>
      <c r="D318">
        <v>6</v>
      </c>
      <c r="E318" s="1">
        <v>40513.452777777777</v>
      </c>
      <c r="F318">
        <v>1.85</v>
      </c>
      <c r="G318">
        <v>17850</v>
      </c>
      <c r="H318" t="s">
        <v>10</v>
      </c>
    </row>
    <row r="319" spans="1:8" x14ac:dyDescent="0.25">
      <c r="A319">
        <v>536400</v>
      </c>
      <c r="B319">
        <v>22969</v>
      </c>
      <c r="C319" t="s">
        <v>183</v>
      </c>
      <c r="D319">
        <v>12</v>
      </c>
      <c r="E319" s="1">
        <v>40513.453472222223</v>
      </c>
      <c r="F319">
        <v>1.45</v>
      </c>
      <c r="G319">
        <v>13448</v>
      </c>
      <c r="H319" t="s">
        <v>10</v>
      </c>
    </row>
    <row r="320" spans="1:8" x14ac:dyDescent="0.25">
      <c r="A320">
        <v>536401</v>
      </c>
      <c r="B320">
        <v>22110</v>
      </c>
      <c r="C320" t="s">
        <v>262</v>
      </c>
      <c r="D320">
        <v>1</v>
      </c>
      <c r="E320" s="1">
        <v>40513.472916666666</v>
      </c>
      <c r="F320">
        <v>2.5499999999999998</v>
      </c>
      <c r="G320">
        <v>15862</v>
      </c>
      <c r="H320" t="s">
        <v>10</v>
      </c>
    </row>
    <row r="321" spans="1:8" x14ac:dyDescent="0.25">
      <c r="A321">
        <v>536401</v>
      </c>
      <c r="B321">
        <v>22098</v>
      </c>
      <c r="C321" t="s">
        <v>263</v>
      </c>
      <c r="D321">
        <v>1</v>
      </c>
      <c r="E321" s="1">
        <v>40513.472916666666</v>
      </c>
      <c r="F321">
        <v>1.25</v>
      </c>
      <c r="G321">
        <v>15862</v>
      </c>
      <c r="H321" t="s">
        <v>10</v>
      </c>
    </row>
    <row r="322" spans="1:8" x14ac:dyDescent="0.25">
      <c r="A322">
        <v>536401</v>
      </c>
      <c r="B322">
        <v>22100</v>
      </c>
      <c r="C322" t="s">
        <v>264</v>
      </c>
      <c r="D322">
        <v>2</v>
      </c>
      <c r="E322" s="1">
        <v>40513.472916666666</v>
      </c>
      <c r="F322">
        <v>1.25</v>
      </c>
      <c r="G322">
        <v>15862</v>
      </c>
      <c r="H322" t="s">
        <v>10</v>
      </c>
    </row>
    <row r="323" spans="1:8" x14ac:dyDescent="0.25">
      <c r="A323">
        <v>536401</v>
      </c>
      <c r="B323">
        <v>22766</v>
      </c>
      <c r="C323" t="s">
        <v>265</v>
      </c>
      <c r="D323">
        <v>1</v>
      </c>
      <c r="E323" s="1">
        <v>40513.472916666666</v>
      </c>
      <c r="F323">
        <v>2.95</v>
      </c>
      <c r="G323">
        <v>15862</v>
      </c>
      <c r="H323" t="s">
        <v>10</v>
      </c>
    </row>
    <row r="324" spans="1:8" x14ac:dyDescent="0.25">
      <c r="A324">
        <v>536401</v>
      </c>
      <c r="B324">
        <v>22451</v>
      </c>
      <c r="C324" t="s">
        <v>266</v>
      </c>
      <c r="D324">
        <v>1</v>
      </c>
      <c r="E324" s="1">
        <v>40513.472916666666</v>
      </c>
      <c r="F324">
        <v>3.35</v>
      </c>
      <c r="G324">
        <v>15862</v>
      </c>
      <c r="H324" t="s">
        <v>10</v>
      </c>
    </row>
    <row r="325" spans="1:8" x14ac:dyDescent="0.25">
      <c r="A325">
        <v>536401</v>
      </c>
      <c r="B325">
        <v>22549</v>
      </c>
      <c r="C325" t="s">
        <v>267</v>
      </c>
      <c r="D325">
        <v>1</v>
      </c>
      <c r="E325" s="1">
        <v>40513.472916666666</v>
      </c>
      <c r="F325">
        <v>1.45</v>
      </c>
      <c r="G325">
        <v>15862</v>
      </c>
      <c r="H325" t="s">
        <v>10</v>
      </c>
    </row>
    <row r="326" spans="1:8" x14ac:dyDescent="0.25">
      <c r="A326">
        <v>536401</v>
      </c>
      <c r="B326">
        <v>84744</v>
      </c>
      <c r="C326" t="s">
        <v>268</v>
      </c>
      <c r="D326">
        <v>1</v>
      </c>
      <c r="E326" s="1">
        <v>40513.472916666666</v>
      </c>
      <c r="F326">
        <v>1.25</v>
      </c>
      <c r="G326">
        <v>15862</v>
      </c>
      <c r="H326" t="s">
        <v>10</v>
      </c>
    </row>
    <row r="327" spans="1:8" x14ac:dyDescent="0.25">
      <c r="A327">
        <v>536401</v>
      </c>
      <c r="B327" t="s">
        <v>269</v>
      </c>
      <c r="C327" t="s">
        <v>270</v>
      </c>
      <c r="D327">
        <v>2</v>
      </c>
      <c r="E327" s="1">
        <v>40513.472916666666</v>
      </c>
      <c r="F327">
        <v>1.25</v>
      </c>
      <c r="G327">
        <v>15862</v>
      </c>
      <c r="H327" t="s">
        <v>10</v>
      </c>
    </row>
    <row r="328" spans="1:8" x14ac:dyDescent="0.25">
      <c r="A328">
        <v>536401</v>
      </c>
      <c r="B328">
        <v>21328</v>
      </c>
      <c r="C328" t="s">
        <v>271</v>
      </c>
      <c r="D328">
        <v>1</v>
      </c>
      <c r="E328" s="1">
        <v>40513.472916666666</v>
      </c>
      <c r="F328">
        <v>1.65</v>
      </c>
      <c r="G328">
        <v>15862</v>
      </c>
      <c r="H328" t="s">
        <v>10</v>
      </c>
    </row>
    <row r="329" spans="1:8" x14ac:dyDescent="0.25">
      <c r="A329">
        <v>536401</v>
      </c>
      <c r="B329">
        <v>22961</v>
      </c>
      <c r="C329" t="s">
        <v>100</v>
      </c>
      <c r="D329">
        <v>4</v>
      </c>
      <c r="E329" s="1">
        <v>40513.472916666666</v>
      </c>
      <c r="F329">
        <v>1.45</v>
      </c>
      <c r="G329">
        <v>15862</v>
      </c>
      <c r="H329" t="s">
        <v>10</v>
      </c>
    </row>
    <row r="330" spans="1:8" x14ac:dyDescent="0.25">
      <c r="A330">
        <v>536401</v>
      </c>
      <c r="B330" t="s">
        <v>272</v>
      </c>
      <c r="C330" t="s">
        <v>273</v>
      </c>
      <c r="D330">
        <v>1</v>
      </c>
      <c r="E330" s="1">
        <v>40513.472916666666</v>
      </c>
      <c r="F330">
        <v>1.25</v>
      </c>
      <c r="G330">
        <v>15862</v>
      </c>
      <c r="H330" t="s">
        <v>10</v>
      </c>
    </row>
    <row r="331" spans="1:8" x14ac:dyDescent="0.25">
      <c r="A331">
        <v>536401</v>
      </c>
      <c r="B331">
        <v>22473</v>
      </c>
      <c r="C331" t="s">
        <v>274</v>
      </c>
      <c r="D331">
        <v>1</v>
      </c>
      <c r="E331" s="1">
        <v>40513.472916666666</v>
      </c>
      <c r="F331">
        <v>4.95</v>
      </c>
      <c r="G331">
        <v>15862</v>
      </c>
      <c r="H331" t="s">
        <v>10</v>
      </c>
    </row>
    <row r="332" spans="1:8" x14ac:dyDescent="0.25">
      <c r="A332">
        <v>536401</v>
      </c>
      <c r="B332" t="s">
        <v>275</v>
      </c>
      <c r="C332" t="s">
        <v>276</v>
      </c>
      <c r="D332">
        <v>2</v>
      </c>
      <c r="E332" s="1">
        <v>40513.472916666666</v>
      </c>
      <c r="F332">
        <v>3.75</v>
      </c>
      <c r="G332">
        <v>15862</v>
      </c>
      <c r="H332" t="s">
        <v>10</v>
      </c>
    </row>
    <row r="333" spans="1:8" x14ac:dyDescent="0.25">
      <c r="A333">
        <v>536401</v>
      </c>
      <c r="B333" t="s">
        <v>277</v>
      </c>
      <c r="C333" t="s">
        <v>278</v>
      </c>
      <c r="D333">
        <v>2</v>
      </c>
      <c r="E333" s="1">
        <v>40513.472916666666</v>
      </c>
      <c r="F333">
        <v>1.25</v>
      </c>
      <c r="G333">
        <v>15862</v>
      </c>
      <c r="H333" t="s">
        <v>10</v>
      </c>
    </row>
    <row r="334" spans="1:8" x14ac:dyDescent="0.25">
      <c r="A334">
        <v>536401</v>
      </c>
      <c r="B334">
        <v>22767</v>
      </c>
      <c r="C334" t="s">
        <v>279</v>
      </c>
      <c r="D334">
        <v>2</v>
      </c>
      <c r="E334" s="1">
        <v>40513.472916666666</v>
      </c>
      <c r="F334">
        <v>9.9499999999999993</v>
      </c>
      <c r="G334">
        <v>15862</v>
      </c>
      <c r="H334" t="s">
        <v>10</v>
      </c>
    </row>
    <row r="335" spans="1:8" x14ac:dyDescent="0.25">
      <c r="A335">
        <v>536401</v>
      </c>
      <c r="B335">
        <v>22768</v>
      </c>
      <c r="C335" t="s">
        <v>280</v>
      </c>
      <c r="D335">
        <v>1</v>
      </c>
      <c r="E335" s="1">
        <v>40513.472916666666</v>
      </c>
      <c r="F335">
        <v>9.9499999999999993</v>
      </c>
      <c r="G335">
        <v>15862</v>
      </c>
      <c r="H335" t="s">
        <v>10</v>
      </c>
    </row>
    <row r="336" spans="1:8" x14ac:dyDescent="0.25">
      <c r="A336">
        <v>536401</v>
      </c>
      <c r="B336">
        <v>21463</v>
      </c>
      <c r="C336" t="s">
        <v>281</v>
      </c>
      <c r="D336">
        <v>1</v>
      </c>
      <c r="E336" s="1">
        <v>40513.472916666666</v>
      </c>
      <c r="F336">
        <v>5.95</v>
      </c>
      <c r="G336">
        <v>15862</v>
      </c>
      <c r="H336" t="s">
        <v>10</v>
      </c>
    </row>
    <row r="337" spans="1:8" x14ac:dyDescent="0.25">
      <c r="A337">
        <v>536401</v>
      </c>
      <c r="B337">
        <v>21464</v>
      </c>
      <c r="C337" t="s">
        <v>282</v>
      </c>
      <c r="D337">
        <v>1</v>
      </c>
      <c r="E337" s="1">
        <v>40513.472916666666</v>
      </c>
      <c r="F337">
        <v>4.25</v>
      </c>
      <c r="G337">
        <v>15862</v>
      </c>
      <c r="H337" t="s">
        <v>10</v>
      </c>
    </row>
    <row r="338" spans="1:8" x14ac:dyDescent="0.25">
      <c r="A338">
        <v>536401</v>
      </c>
      <c r="B338">
        <v>20820</v>
      </c>
      <c r="C338" t="s">
        <v>283</v>
      </c>
      <c r="D338">
        <v>3</v>
      </c>
      <c r="E338" s="1">
        <v>40513.472916666666</v>
      </c>
      <c r="F338">
        <v>4.95</v>
      </c>
      <c r="G338">
        <v>15862</v>
      </c>
      <c r="H338" t="s">
        <v>10</v>
      </c>
    </row>
    <row r="339" spans="1:8" x14ac:dyDescent="0.25">
      <c r="A339">
        <v>536401</v>
      </c>
      <c r="B339">
        <v>85150</v>
      </c>
      <c r="C339" t="s">
        <v>284</v>
      </c>
      <c r="D339">
        <v>1</v>
      </c>
      <c r="E339" s="1">
        <v>40513.472916666666</v>
      </c>
      <c r="F339">
        <v>2.5499999999999998</v>
      </c>
      <c r="G339">
        <v>15862</v>
      </c>
      <c r="H339" t="s">
        <v>10</v>
      </c>
    </row>
    <row r="340" spans="1:8" x14ac:dyDescent="0.25">
      <c r="A340">
        <v>536401</v>
      </c>
      <c r="B340">
        <v>22117</v>
      </c>
      <c r="C340" t="s">
        <v>285</v>
      </c>
      <c r="D340">
        <v>1</v>
      </c>
      <c r="E340" s="1">
        <v>40513.472916666666</v>
      </c>
      <c r="F340">
        <v>2.95</v>
      </c>
      <c r="G340">
        <v>15862</v>
      </c>
      <c r="H340" t="s">
        <v>10</v>
      </c>
    </row>
    <row r="341" spans="1:8" x14ac:dyDescent="0.25">
      <c r="A341">
        <v>536401</v>
      </c>
      <c r="B341">
        <v>21169</v>
      </c>
      <c r="C341" t="s">
        <v>112</v>
      </c>
      <c r="D341">
        <v>2</v>
      </c>
      <c r="E341" s="1">
        <v>40513.472916666666</v>
      </c>
      <c r="F341">
        <v>1.69</v>
      </c>
      <c r="G341">
        <v>15862</v>
      </c>
      <c r="H341" t="s">
        <v>10</v>
      </c>
    </row>
    <row r="342" spans="1:8" x14ac:dyDescent="0.25">
      <c r="A342">
        <v>536401</v>
      </c>
      <c r="B342">
        <v>48129</v>
      </c>
      <c r="C342" t="s">
        <v>286</v>
      </c>
      <c r="D342">
        <v>1</v>
      </c>
      <c r="E342" s="1">
        <v>40513.472916666666</v>
      </c>
      <c r="F342">
        <v>7.95</v>
      </c>
      <c r="G342">
        <v>15862</v>
      </c>
      <c r="H342" t="s">
        <v>10</v>
      </c>
    </row>
    <row r="343" spans="1:8" x14ac:dyDescent="0.25">
      <c r="A343">
        <v>536401</v>
      </c>
      <c r="B343">
        <v>82580</v>
      </c>
      <c r="C343" t="s">
        <v>287</v>
      </c>
      <c r="D343">
        <v>1</v>
      </c>
      <c r="E343" s="1">
        <v>40513.472916666666</v>
      </c>
      <c r="F343">
        <v>0.55000000000000004</v>
      </c>
      <c r="G343">
        <v>15862</v>
      </c>
      <c r="H343" t="s">
        <v>10</v>
      </c>
    </row>
    <row r="344" spans="1:8" x14ac:dyDescent="0.25">
      <c r="A344">
        <v>536401</v>
      </c>
      <c r="B344">
        <v>82578</v>
      </c>
      <c r="C344" t="s">
        <v>288</v>
      </c>
      <c r="D344">
        <v>1</v>
      </c>
      <c r="E344" s="1">
        <v>40513.472916666666</v>
      </c>
      <c r="F344">
        <v>0.55000000000000004</v>
      </c>
      <c r="G344">
        <v>15862</v>
      </c>
      <c r="H344" t="s">
        <v>10</v>
      </c>
    </row>
    <row r="345" spans="1:8" x14ac:dyDescent="0.25">
      <c r="A345">
        <v>536401</v>
      </c>
      <c r="B345">
        <v>82581</v>
      </c>
      <c r="C345" t="s">
        <v>289</v>
      </c>
      <c r="D345">
        <v>2</v>
      </c>
      <c r="E345" s="1">
        <v>40513.472916666666</v>
      </c>
      <c r="F345">
        <v>0.55000000000000004</v>
      </c>
      <c r="G345">
        <v>15862</v>
      </c>
      <c r="H345" t="s">
        <v>10</v>
      </c>
    </row>
    <row r="346" spans="1:8" x14ac:dyDescent="0.25">
      <c r="A346">
        <v>536401</v>
      </c>
      <c r="B346">
        <v>22413</v>
      </c>
      <c r="C346" t="s">
        <v>290</v>
      </c>
      <c r="D346">
        <v>4</v>
      </c>
      <c r="E346" s="1">
        <v>40513.472916666666</v>
      </c>
      <c r="F346">
        <v>2.95</v>
      </c>
      <c r="G346">
        <v>15862</v>
      </c>
      <c r="H346" t="s">
        <v>10</v>
      </c>
    </row>
    <row r="347" spans="1:8" x14ac:dyDescent="0.25">
      <c r="A347">
        <v>536401</v>
      </c>
      <c r="B347">
        <v>21907</v>
      </c>
      <c r="C347" t="s">
        <v>291</v>
      </c>
      <c r="D347">
        <v>2</v>
      </c>
      <c r="E347" s="1">
        <v>40513.472916666666</v>
      </c>
      <c r="F347">
        <v>2.1</v>
      </c>
      <c r="G347">
        <v>15862</v>
      </c>
      <c r="H347" t="s">
        <v>10</v>
      </c>
    </row>
    <row r="348" spans="1:8" x14ac:dyDescent="0.25">
      <c r="A348">
        <v>536401</v>
      </c>
      <c r="B348">
        <v>22441</v>
      </c>
      <c r="C348" t="s">
        <v>292</v>
      </c>
      <c r="D348">
        <v>1</v>
      </c>
      <c r="E348" s="1">
        <v>40513.472916666666</v>
      </c>
      <c r="F348">
        <v>2.1</v>
      </c>
      <c r="G348">
        <v>15862</v>
      </c>
      <c r="H348" t="s">
        <v>10</v>
      </c>
    </row>
    <row r="349" spans="1:8" x14ac:dyDescent="0.25">
      <c r="A349">
        <v>536401</v>
      </c>
      <c r="B349">
        <v>21122</v>
      </c>
      <c r="C349" t="s">
        <v>293</v>
      </c>
      <c r="D349">
        <v>1</v>
      </c>
      <c r="E349" s="1">
        <v>40513.472916666666</v>
      </c>
      <c r="F349">
        <v>1.25</v>
      </c>
      <c r="G349">
        <v>15862</v>
      </c>
      <c r="H349" t="s">
        <v>10</v>
      </c>
    </row>
    <row r="350" spans="1:8" x14ac:dyDescent="0.25">
      <c r="A350">
        <v>536401</v>
      </c>
      <c r="B350">
        <v>22851</v>
      </c>
      <c r="C350" t="s">
        <v>294</v>
      </c>
      <c r="D350">
        <v>1</v>
      </c>
      <c r="E350" s="1">
        <v>40513.472916666666</v>
      </c>
      <c r="F350">
        <v>0.85</v>
      </c>
      <c r="G350">
        <v>15862</v>
      </c>
      <c r="H350" t="s">
        <v>10</v>
      </c>
    </row>
    <row r="351" spans="1:8" x14ac:dyDescent="0.25">
      <c r="A351">
        <v>536401</v>
      </c>
      <c r="B351">
        <v>84991</v>
      </c>
      <c r="C351" t="s">
        <v>91</v>
      </c>
      <c r="D351">
        <v>3</v>
      </c>
      <c r="E351" s="1">
        <v>40513.472916666666</v>
      </c>
      <c r="F351">
        <v>0.55000000000000004</v>
      </c>
      <c r="G351">
        <v>15862</v>
      </c>
      <c r="H351" t="s">
        <v>10</v>
      </c>
    </row>
    <row r="352" spans="1:8" x14ac:dyDescent="0.25">
      <c r="A352">
        <v>536401</v>
      </c>
      <c r="B352">
        <v>22810</v>
      </c>
      <c r="C352" t="s">
        <v>295</v>
      </c>
      <c r="D352">
        <v>1</v>
      </c>
      <c r="E352" s="1">
        <v>40513.472916666666</v>
      </c>
      <c r="F352">
        <v>2.95</v>
      </c>
      <c r="G352">
        <v>15862</v>
      </c>
      <c r="H352" t="s">
        <v>10</v>
      </c>
    </row>
    <row r="353" spans="1:8" x14ac:dyDescent="0.25">
      <c r="A353">
        <v>536401</v>
      </c>
      <c r="B353">
        <v>22809</v>
      </c>
      <c r="C353" t="s">
        <v>296</v>
      </c>
      <c r="D353">
        <v>1</v>
      </c>
      <c r="E353" s="1">
        <v>40513.472916666666</v>
      </c>
      <c r="F353">
        <v>2.95</v>
      </c>
      <c r="G353">
        <v>15862</v>
      </c>
      <c r="H353" t="s">
        <v>10</v>
      </c>
    </row>
    <row r="354" spans="1:8" x14ac:dyDescent="0.25">
      <c r="A354">
        <v>536401</v>
      </c>
      <c r="B354">
        <v>22435</v>
      </c>
      <c r="C354" t="s">
        <v>297</v>
      </c>
      <c r="D354">
        <v>2</v>
      </c>
      <c r="E354" s="1">
        <v>40513.472916666666</v>
      </c>
      <c r="F354">
        <v>1.25</v>
      </c>
      <c r="G354">
        <v>15862</v>
      </c>
      <c r="H354" t="s">
        <v>10</v>
      </c>
    </row>
    <row r="355" spans="1:8" x14ac:dyDescent="0.25">
      <c r="A355">
        <v>536401</v>
      </c>
      <c r="B355">
        <v>20966</v>
      </c>
      <c r="C355" t="s">
        <v>298</v>
      </c>
      <c r="D355">
        <v>3</v>
      </c>
      <c r="E355" s="1">
        <v>40513.472916666666</v>
      </c>
      <c r="F355">
        <v>1.25</v>
      </c>
      <c r="G355">
        <v>15862</v>
      </c>
      <c r="H355" t="s">
        <v>10</v>
      </c>
    </row>
    <row r="356" spans="1:8" x14ac:dyDescent="0.25">
      <c r="A356">
        <v>536401</v>
      </c>
      <c r="B356">
        <v>20963</v>
      </c>
      <c r="C356" t="s">
        <v>299</v>
      </c>
      <c r="D356">
        <v>1</v>
      </c>
      <c r="E356" s="1">
        <v>40513.472916666666</v>
      </c>
      <c r="F356">
        <v>1.25</v>
      </c>
      <c r="G356">
        <v>15862</v>
      </c>
      <c r="H356" t="s">
        <v>10</v>
      </c>
    </row>
    <row r="357" spans="1:8" x14ac:dyDescent="0.25">
      <c r="A357">
        <v>536401</v>
      </c>
      <c r="B357">
        <v>20961</v>
      </c>
      <c r="C357" t="s">
        <v>300</v>
      </c>
      <c r="D357">
        <v>1</v>
      </c>
      <c r="E357" s="1">
        <v>40513.472916666666</v>
      </c>
      <c r="F357">
        <v>1.25</v>
      </c>
      <c r="G357">
        <v>15862</v>
      </c>
      <c r="H357" t="s">
        <v>10</v>
      </c>
    </row>
    <row r="358" spans="1:8" x14ac:dyDescent="0.25">
      <c r="A358">
        <v>536401</v>
      </c>
      <c r="B358">
        <v>22068</v>
      </c>
      <c r="C358" t="s">
        <v>301</v>
      </c>
      <c r="D358">
        <v>2</v>
      </c>
      <c r="E358" s="1">
        <v>40513.472916666666</v>
      </c>
      <c r="F358">
        <v>1.65</v>
      </c>
      <c r="G358">
        <v>15862</v>
      </c>
      <c r="H358" t="s">
        <v>10</v>
      </c>
    </row>
    <row r="359" spans="1:8" x14ac:dyDescent="0.25">
      <c r="A359">
        <v>536401</v>
      </c>
      <c r="B359">
        <v>21743</v>
      </c>
      <c r="C359" t="s">
        <v>302</v>
      </c>
      <c r="D359">
        <v>2</v>
      </c>
      <c r="E359" s="1">
        <v>40513.472916666666</v>
      </c>
      <c r="F359">
        <v>2.95</v>
      </c>
      <c r="G359">
        <v>15862</v>
      </c>
      <c r="H359" t="s">
        <v>10</v>
      </c>
    </row>
    <row r="360" spans="1:8" x14ac:dyDescent="0.25">
      <c r="A360">
        <v>536401</v>
      </c>
      <c r="B360">
        <v>21744</v>
      </c>
      <c r="C360" t="s">
        <v>303</v>
      </c>
      <c r="D360">
        <v>2</v>
      </c>
      <c r="E360" s="1">
        <v>40513.472916666666</v>
      </c>
      <c r="F360">
        <v>2.95</v>
      </c>
      <c r="G360">
        <v>15862</v>
      </c>
      <c r="H360" t="s">
        <v>10</v>
      </c>
    </row>
    <row r="361" spans="1:8" x14ac:dyDescent="0.25">
      <c r="A361">
        <v>536401</v>
      </c>
      <c r="B361" t="s">
        <v>304</v>
      </c>
      <c r="C361" t="s">
        <v>305</v>
      </c>
      <c r="D361">
        <v>1</v>
      </c>
      <c r="E361" s="1">
        <v>40513.472916666666</v>
      </c>
      <c r="F361">
        <v>5.95</v>
      </c>
      <c r="G361">
        <v>15862</v>
      </c>
      <c r="H361" t="s">
        <v>10</v>
      </c>
    </row>
    <row r="362" spans="1:8" x14ac:dyDescent="0.25">
      <c r="A362">
        <v>536401</v>
      </c>
      <c r="B362">
        <v>21592</v>
      </c>
      <c r="C362" t="s">
        <v>306</v>
      </c>
      <c r="D362">
        <v>1</v>
      </c>
      <c r="E362" s="1">
        <v>40513.472916666666</v>
      </c>
      <c r="F362">
        <v>1.25</v>
      </c>
      <c r="G362">
        <v>15862</v>
      </c>
      <c r="H362" t="s">
        <v>10</v>
      </c>
    </row>
    <row r="363" spans="1:8" x14ac:dyDescent="0.25">
      <c r="A363">
        <v>536401</v>
      </c>
      <c r="B363">
        <v>21587</v>
      </c>
      <c r="C363" t="s">
        <v>307</v>
      </c>
      <c r="D363">
        <v>2</v>
      </c>
      <c r="E363" s="1">
        <v>40513.472916666666</v>
      </c>
      <c r="F363">
        <v>2.5499999999999998</v>
      </c>
      <c r="G363">
        <v>15862</v>
      </c>
      <c r="H363" t="s">
        <v>10</v>
      </c>
    </row>
    <row r="364" spans="1:8" x14ac:dyDescent="0.25">
      <c r="A364">
        <v>536401</v>
      </c>
      <c r="B364">
        <v>20992</v>
      </c>
      <c r="C364" t="s">
        <v>308</v>
      </c>
      <c r="D364">
        <v>9</v>
      </c>
      <c r="E364" s="1">
        <v>40513.472916666666</v>
      </c>
      <c r="F364">
        <v>0.85</v>
      </c>
      <c r="G364">
        <v>15862</v>
      </c>
      <c r="H364" t="s">
        <v>10</v>
      </c>
    </row>
    <row r="365" spans="1:8" x14ac:dyDescent="0.25">
      <c r="A365">
        <v>536401</v>
      </c>
      <c r="B365">
        <v>22662</v>
      </c>
      <c r="C365" t="s">
        <v>170</v>
      </c>
      <c r="D365">
        <v>1</v>
      </c>
      <c r="E365" s="1">
        <v>40513.472916666666</v>
      </c>
      <c r="F365">
        <v>1.65</v>
      </c>
      <c r="G365">
        <v>15862</v>
      </c>
      <c r="H365" t="s">
        <v>10</v>
      </c>
    </row>
    <row r="366" spans="1:8" x14ac:dyDescent="0.25">
      <c r="A366">
        <v>536401</v>
      </c>
      <c r="B366" t="s">
        <v>8</v>
      </c>
      <c r="C366" t="s">
        <v>9</v>
      </c>
      <c r="D366">
        <v>4</v>
      </c>
      <c r="E366" s="1">
        <v>40513.472916666666</v>
      </c>
      <c r="F366">
        <v>2.95</v>
      </c>
      <c r="G366">
        <v>15862</v>
      </c>
      <c r="H366" t="s">
        <v>10</v>
      </c>
    </row>
    <row r="367" spans="1:8" x14ac:dyDescent="0.25">
      <c r="A367">
        <v>536401</v>
      </c>
      <c r="B367">
        <v>22804</v>
      </c>
      <c r="C367" t="s">
        <v>309</v>
      </c>
      <c r="D367">
        <v>3</v>
      </c>
      <c r="E367" s="1">
        <v>40513.472916666666</v>
      </c>
      <c r="F367">
        <v>2.95</v>
      </c>
      <c r="G367">
        <v>15862</v>
      </c>
      <c r="H367" t="s">
        <v>10</v>
      </c>
    </row>
    <row r="368" spans="1:8" x14ac:dyDescent="0.25">
      <c r="A368">
        <v>536401</v>
      </c>
      <c r="B368">
        <v>82483</v>
      </c>
      <c r="C368" t="s">
        <v>67</v>
      </c>
      <c r="D368">
        <v>1</v>
      </c>
      <c r="E368" s="1">
        <v>40513.472916666666</v>
      </c>
      <c r="F368">
        <v>5.95</v>
      </c>
      <c r="G368">
        <v>15862</v>
      </c>
      <c r="H368" t="s">
        <v>10</v>
      </c>
    </row>
    <row r="369" spans="1:8" x14ac:dyDescent="0.25">
      <c r="A369">
        <v>536401</v>
      </c>
      <c r="B369">
        <v>20749</v>
      </c>
      <c r="C369" t="s">
        <v>310</v>
      </c>
      <c r="D369">
        <v>1</v>
      </c>
      <c r="E369" s="1">
        <v>40513.472916666666</v>
      </c>
      <c r="F369">
        <v>7.95</v>
      </c>
      <c r="G369">
        <v>15862</v>
      </c>
      <c r="H369" t="s">
        <v>10</v>
      </c>
    </row>
    <row r="370" spans="1:8" x14ac:dyDescent="0.25">
      <c r="A370">
        <v>536401</v>
      </c>
      <c r="B370">
        <v>20725</v>
      </c>
      <c r="C370" t="s">
        <v>85</v>
      </c>
      <c r="D370">
        <v>1</v>
      </c>
      <c r="E370" s="1">
        <v>40513.472916666666</v>
      </c>
      <c r="F370">
        <v>1.65</v>
      </c>
      <c r="G370">
        <v>15862</v>
      </c>
      <c r="H370" t="s">
        <v>10</v>
      </c>
    </row>
    <row r="371" spans="1:8" x14ac:dyDescent="0.25">
      <c r="A371">
        <v>536401</v>
      </c>
      <c r="B371">
        <v>22382</v>
      </c>
      <c r="C371" t="s">
        <v>311</v>
      </c>
      <c r="D371">
        <v>2</v>
      </c>
      <c r="E371" s="1">
        <v>40513.472916666666</v>
      </c>
      <c r="F371">
        <v>1.65</v>
      </c>
      <c r="G371">
        <v>15862</v>
      </c>
      <c r="H371" t="s">
        <v>10</v>
      </c>
    </row>
    <row r="372" spans="1:8" x14ac:dyDescent="0.25">
      <c r="A372">
        <v>536401</v>
      </c>
      <c r="B372">
        <v>20726</v>
      </c>
      <c r="C372" t="s">
        <v>312</v>
      </c>
      <c r="D372">
        <v>1</v>
      </c>
      <c r="E372" s="1">
        <v>40513.472916666666</v>
      </c>
      <c r="F372">
        <v>1.65</v>
      </c>
      <c r="G372">
        <v>15862</v>
      </c>
      <c r="H372" t="s">
        <v>10</v>
      </c>
    </row>
    <row r="373" spans="1:8" x14ac:dyDescent="0.25">
      <c r="A373">
        <v>536401</v>
      </c>
      <c r="B373">
        <v>22384</v>
      </c>
      <c r="C373" t="s">
        <v>313</v>
      </c>
      <c r="D373">
        <v>1</v>
      </c>
      <c r="E373" s="1">
        <v>40513.472916666666</v>
      </c>
      <c r="F373">
        <v>1.65</v>
      </c>
      <c r="G373">
        <v>15862</v>
      </c>
      <c r="H373" t="s">
        <v>10</v>
      </c>
    </row>
    <row r="374" spans="1:8" x14ac:dyDescent="0.25">
      <c r="A374">
        <v>536401</v>
      </c>
      <c r="B374">
        <v>22467</v>
      </c>
      <c r="C374" t="s">
        <v>314</v>
      </c>
      <c r="D374">
        <v>5</v>
      </c>
      <c r="E374" s="1">
        <v>40513.472916666666</v>
      </c>
      <c r="F374">
        <v>2.5499999999999998</v>
      </c>
      <c r="G374">
        <v>15862</v>
      </c>
      <c r="H374" t="s">
        <v>10</v>
      </c>
    </row>
    <row r="375" spans="1:8" x14ac:dyDescent="0.25">
      <c r="A375">
        <v>536401</v>
      </c>
      <c r="B375" t="s">
        <v>315</v>
      </c>
      <c r="C375" t="s">
        <v>316</v>
      </c>
      <c r="D375">
        <v>3</v>
      </c>
      <c r="E375" s="1">
        <v>40513.472916666666</v>
      </c>
      <c r="F375">
        <v>2.95</v>
      </c>
      <c r="G375">
        <v>15862</v>
      </c>
      <c r="H375" t="s">
        <v>10</v>
      </c>
    </row>
    <row r="376" spans="1:8" x14ac:dyDescent="0.25">
      <c r="A376">
        <v>536401</v>
      </c>
      <c r="B376" t="s">
        <v>317</v>
      </c>
      <c r="C376" t="s">
        <v>318</v>
      </c>
      <c r="D376">
        <v>3</v>
      </c>
      <c r="E376" s="1">
        <v>40513.472916666666</v>
      </c>
      <c r="F376">
        <v>2.95</v>
      </c>
      <c r="G376">
        <v>15862</v>
      </c>
      <c r="H376" t="s">
        <v>10</v>
      </c>
    </row>
    <row r="377" spans="1:8" x14ac:dyDescent="0.25">
      <c r="A377">
        <v>536401</v>
      </c>
      <c r="B377">
        <v>21108</v>
      </c>
      <c r="C377" t="s">
        <v>319</v>
      </c>
      <c r="D377">
        <v>9</v>
      </c>
      <c r="E377" s="1">
        <v>40513.472916666666</v>
      </c>
      <c r="F377">
        <v>2.5499999999999998</v>
      </c>
      <c r="G377">
        <v>15862</v>
      </c>
      <c r="H377" t="s">
        <v>10</v>
      </c>
    </row>
    <row r="378" spans="1:8" x14ac:dyDescent="0.25">
      <c r="A378">
        <v>536401</v>
      </c>
      <c r="B378">
        <v>22848</v>
      </c>
      <c r="C378" t="s">
        <v>320</v>
      </c>
      <c r="D378">
        <v>1</v>
      </c>
      <c r="E378" s="1">
        <v>40513.472916666666</v>
      </c>
      <c r="F378">
        <v>16.95</v>
      </c>
      <c r="G378">
        <v>15862</v>
      </c>
      <c r="H378" t="s">
        <v>10</v>
      </c>
    </row>
    <row r="379" spans="1:8" x14ac:dyDescent="0.25">
      <c r="A379">
        <v>536401</v>
      </c>
      <c r="B379">
        <v>21033</v>
      </c>
      <c r="C379" t="s">
        <v>78</v>
      </c>
      <c r="D379">
        <v>4</v>
      </c>
      <c r="E379" s="1">
        <v>40513.472916666666</v>
      </c>
      <c r="F379">
        <v>2.95</v>
      </c>
      <c r="G379">
        <v>15862</v>
      </c>
      <c r="H379" t="s">
        <v>10</v>
      </c>
    </row>
    <row r="380" spans="1:8" x14ac:dyDescent="0.25">
      <c r="A380">
        <v>536401</v>
      </c>
      <c r="B380" t="s">
        <v>321</v>
      </c>
      <c r="C380" t="s">
        <v>322</v>
      </c>
      <c r="D380">
        <v>1</v>
      </c>
      <c r="E380" s="1">
        <v>40513.472916666666</v>
      </c>
      <c r="F380">
        <v>10.65</v>
      </c>
      <c r="G380">
        <v>15862</v>
      </c>
      <c r="H380" t="s">
        <v>10</v>
      </c>
    </row>
    <row r="381" spans="1:8" x14ac:dyDescent="0.25">
      <c r="A381">
        <v>536401</v>
      </c>
      <c r="B381" t="s">
        <v>215</v>
      </c>
      <c r="C381" t="s">
        <v>216</v>
      </c>
      <c r="D381">
        <v>1</v>
      </c>
      <c r="E381" s="1">
        <v>40513.472916666666</v>
      </c>
      <c r="F381">
        <v>4.25</v>
      </c>
      <c r="G381">
        <v>15862</v>
      </c>
      <c r="H381" t="s">
        <v>10</v>
      </c>
    </row>
    <row r="382" spans="1:8" x14ac:dyDescent="0.25">
      <c r="A382">
        <v>536401</v>
      </c>
      <c r="B382">
        <v>22428</v>
      </c>
      <c r="C382" t="s">
        <v>164</v>
      </c>
      <c r="D382">
        <v>2</v>
      </c>
      <c r="E382" s="1">
        <v>40513.472916666666</v>
      </c>
      <c r="F382">
        <v>6.95</v>
      </c>
      <c r="G382">
        <v>15862</v>
      </c>
      <c r="H382" t="s">
        <v>10</v>
      </c>
    </row>
    <row r="383" spans="1:8" x14ac:dyDescent="0.25">
      <c r="A383">
        <v>536401</v>
      </c>
      <c r="B383">
        <v>22502</v>
      </c>
      <c r="C383" t="s">
        <v>233</v>
      </c>
      <c r="D383">
        <v>2</v>
      </c>
      <c r="E383" s="1">
        <v>40513.472916666666</v>
      </c>
      <c r="F383">
        <v>5.95</v>
      </c>
      <c r="G383">
        <v>15862</v>
      </c>
      <c r="H383" t="s">
        <v>10</v>
      </c>
    </row>
    <row r="384" spans="1:8" x14ac:dyDescent="0.25">
      <c r="A384">
        <v>536402</v>
      </c>
      <c r="B384">
        <v>22086</v>
      </c>
      <c r="C384" t="s">
        <v>61</v>
      </c>
      <c r="D384">
        <v>40</v>
      </c>
      <c r="E384" s="1">
        <v>40513.473611111112</v>
      </c>
      <c r="F384">
        <v>2.5499999999999998</v>
      </c>
      <c r="G384">
        <v>15513</v>
      </c>
      <c r="H384" t="s">
        <v>10</v>
      </c>
    </row>
    <row r="385" spans="1:8" x14ac:dyDescent="0.25">
      <c r="A385">
        <v>536402</v>
      </c>
      <c r="B385">
        <v>22910</v>
      </c>
      <c r="C385" t="s">
        <v>206</v>
      </c>
      <c r="D385">
        <v>40</v>
      </c>
      <c r="E385" s="1">
        <v>40513.473611111112</v>
      </c>
      <c r="F385">
        <v>2.5499999999999998</v>
      </c>
      <c r="G385">
        <v>15513</v>
      </c>
      <c r="H385" t="s">
        <v>10</v>
      </c>
    </row>
    <row r="386" spans="1:8" x14ac:dyDescent="0.25">
      <c r="A386">
        <v>536402</v>
      </c>
      <c r="B386">
        <v>22837</v>
      </c>
      <c r="C386" t="s">
        <v>323</v>
      </c>
      <c r="D386">
        <v>36</v>
      </c>
      <c r="E386" s="1">
        <v>40513.473611111112</v>
      </c>
      <c r="F386">
        <v>4.25</v>
      </c>
      <c r="G386">
        <v>15513</v>
      </c>
      <c r="H386" t="s">
        <v>10</v>
      </c>
    </row>
    <row r="387" spans="1:8" x14ac:dyDescent="0.25">
      <c r="A387">
        <v>536403</v>
      </c>
      <c r="B387">
        <v>22867</v>
      </c>
      <c r="C387" t="s">
        <v>248</v>
      </c>
      <c r="D387">
        <v>96</v>
      </c>
      <c r="E387" s="1">
        <v>40513.477083333331</v>
      </c>
      <c r="F387">
        <v>1.85</v>
      </c>
      <c r="G387">
        <v>12791</v>
      </c>
      <c r="H387" t="s">
        <v>324</v>
      </c>
    </row>
    <row r="388" spans="1:8" x14ac:dyDescent="0.25">
      <c r="A388">
        <v>536403</v>
      </c>
      <c r="B388" t="s">
        <v>59</v>
      </c>
      <c r="C388" t="s">
        <v>60</v>
      </c>
      <c r="D388">
        <v>1</v>
      </c>
      <c r="E388" s="1">
        <v>40513.477083333331</v>
      </c>
      <c r="F388">
        <v>15</v>
      </c>
      <c r="G388">
        <v>12791</v>
      </c>
      <c r="H388" t="s">
        <v>324</v>
      </c>
    </row>
    <row r="389" spans="1:8" x14ac:dyDescent="0.25">
      <c r="A389">
        <v>536404</v>
      </c>
      <c r="B389">
        <v>22297</v>
      </c>
      <c r="C389" t="s">
        <v>325</v>
      </c>
      <c r="D389">
        <v>24</v>
      </c>
      <c r="E389" s="1">
        <v>40513.478472222225</v>
      </c>
      <c r="F389">
        <v>1.25</v>
      </c>
      <c r="G389">
        <v>16218</v>
      </c>
      <c r="H389" t="s">
        <v>10</v>
      </c>
    </row>
    <row r="390" spans="1:8" x14ac:dyDescent="0.25">
      <c r="A390">
        <v>536404</v>
      </c>
      <c r="B390">
        <v>22771</v>
      </c>
      <c r="C390" t="s">
        <v>107</v>
      </c>
      <c r="D390">
        <v>12</v>
      </c>
      <c r="E390" s="1">
        <v>40513.478472222225</v>
      </c>
      <c r="F390">
        <v>1.25</v>
      </c>
      <c r="G390">
        <v>16218</v>
      </c>
      <c r="H390" t="s">
        <v>10</v>
      </c>
    </row>
    <row r="391" spans="1:8" x14ac:dyDescent="0.25">
      <c r="A391">
        <v>536404</v>
      </c>
      <c r="B391">
        <v>22772</v>
      </c>
      <c r="C391" t="s">
        <v>326</v>
      </c>
      <c r="D391">
        <v>12</v>
      </c>
      <c r="E391" s="1">
        <v>40513.478472222225</v>
      </c>
      <c r="F391">
        <v>1.25</v>
      </c>
      <c r="G391">
        <v>16218</v>
      </c>
      <c r="H391" t="s">
        <v>10</v>
      </c>
    </row>
    <row r="392" spans="1:8" x14ac:dyDescent="0.25">
      <c r="A392">
        <v>536404</v>
      </c>
      <c r="B392">
        <v>22773</v>
      </c>
      <c r="C392" t="s">
        <v>327</v>
      </c>
      <c r="D392">
        <v>12</v>
      </c>
      <c r="E392" s="1">
        <v>40513.478472222225</v>
      </c>
      <c r="F392">
        <v>1.25</v>
      </c>
      <c r="G392">
        <v>16218</v>
      </c>
      <c r="H392" t="s">
        <v>10</v>
      </c>
    </row>
    <row r="393" spans="1:8" x14ac:dyDescent="0.25">
      <c r="A393">
        <v>536404</v>
      </c>
      <c r="B393">
        <v>22805</v>
      </c>
      <c r="C393" t="s">
        <v>328</v>
      </c>
      <c r="D393">
        <v>12</v>
      </c>
      <c r="E393" s="1">
        <v>40513.478472222225</v>
      </c>
      <c r="F393">
        <v>1.25</v>
      </c>
      <c r="G393">
        <v>16218</v>
      </c>
      <c r="H393" t="s">
        <v>10</v>
      </c>
    </row>
    <row r="394" spans="1:8" x14ac:dyDescent="0.25">
      <c r="A394">
        <v>536404</v>
      </c>
      <c r="B394">
        <v>22469</v>
      </c>
      <c r="C394" t="s">
        <v>158</v>
      </c>
      <c r="D394">
        <v>12</v>
      </c>
      <c r="E394" s="1">
        <v>40513.478472222225</v>
      </c>
      <c r="F394">
        <v>1.65</v>
      </c>
      <c r="G394">
        <v>16218</v>
      </c>
      <c r="H394" t="s">
        <v>10</v>
      </c>
    </row>
    <row r="395" spans="1:8" x14ac:dyDescent="0.25">
      <c r="A395">
        <v>536404</v>
      </c>
      <c r="B395">
        <v>22197</v>
      </c>
      <c r="C395" t="s">
        <v>208</v>
      </c>
      <c r="D395">
        <v>36</v>
      </c>
      <c r="E395" s="1">
        <v>40513.478472222225</v>
      </c>
      <c r="F395">
        <v>0.85</v>
      </c>
      <c r="G395">
        <v>16218</v>
      </c>
      <c r="H395" t="s">
        <v>10</v>
      </c>
    </row>
    <row r="396" spans="1:8" x14ac:dyDescent="0.25">
      <c r="A396">
        <v>536404</v>
      </c>
      <c r="B396">
        <v>21125</v>
      </c>
      <c r="C396" t="s">
        <v>329</v>
      </c>
      <c r="D396">
        <v>12</v>
      </c>
      <c r="E396" s="1">
        <v>40513.478472222225</v>
      </c>
      <c r="F396">
        <v>1.25</v>
      </c>
      <c r="G396">
        <v>16218</v>
      </c>
      <c r="H396" t="s">
        <v>10</v>
      </c>
    </row>
    <row r="397" spans="1:8" x14ac:dyDescent="0.25">
      <c r="A397">
        <v>536404</v>
      </c>
      <c r="B397">
        <v>21126</v>
      </c>
      <c r="C397" t="s">
        <v>330</v>
      </c>
      <c r="D397">
        <v>12</v>
      </c>
      <c r="E397" s="1">
        <v>40513.478472222225</v>
      </c>
      <c r="F397">
        <v>1.25</v>
      </c>
      <c r="G397">
        <v>16218</v>
      </c>
      <c r="H397" t="s">
        <v>10</v>
      </c>
    </row>
    <row r="398" spans="1:8" x14ac:dyDescent="0.25">
      <c r="A398">
        <v>536404</v>
      </c>
      <c r="B398" t="s">
        <v>331</v>
      </c>
      <c r="C398" t="s">
        <v>332</v>
      </c>
      <c r="D398">
        <v>12</v>
      </c>
      <c r="E398" s="1">
        <v>40513.478472222225</v>
      </c>
      <c r="F398">
        <v>1.25</v>
      </c>
      <c r="G398">
        <v>16218</v>
      </c>
      <c r="H398" t="s">
        <v>10</v>
      </c>
    </row>
    <row r="399" spans="1:8" x14ac:dyDescent="0.25">
      <c r="A399">
        <v>536404</v>
      </c>
      <c r="B399" t="s">
        <v>333</v>
      </c>
      <c r="C399" t="s">
        <v>334</v>
      </c>
      <c r="D399">
        <v>12</v>
      </c>
      <c r="E399" s="1">
        <v>40513.478472222225</v>
      </c>
      <c r="F399">
        <v>1.25</v>
      </c>
      <c r="G399">
        <v>16218</v>
      </c>
      <c r="H399" t="s">
        <v>10</v>
      </c>
    </row>
    <row r="400" spans="1:8" x14ac:dyDescent="0.25">
      <c r="A400">
        <v>536404</v>
      </c>
      <c r="B400" t="s">
        <v>269</v>
      </c>
      <c r="C400" t="s">
        <v>270</v>
      </c>
      <c r="D400">
        <v>12</v>
      </c>
      <c r="E400" s="1">
        <v>40513.478472222225</v>
      </c>
      <c r="F400">
        <v>1.25</v>
      </c>
      <c r="G400">
        <v>16218</v>
      </c>
      <c r="H400" t="s">
        <v>10</v>
      </c>
    </row>
    <row r="401" spans="1:8" x14ac:dyDescent="0.25">
      <c r="A401">
        <v>536404</v>
      </c>
      <c r="B401" t="s">
        <v>335</v>
      </c>
      <c r="C401" t="s">
        <v>336</v>
      </c>
      <c r="D401">
        <v>12</v>
      </c>
      <c r="E401" s="1">
        <v>40513.478472222225</v>
      </c>
      <c r="F401">
        <v>1.25</v>
      </c>
      <c r="G401">
        <v>16218</v>
      </c>
      <c r="H401" t="s">
        <v>10</v>
      </c>
    </row>
    <row r="402" spans="1:8" x14ac:dyDescent="0.25">
      <c r="A402">
        <v>536404</v>
      </c>
      <c r="B402">
        <v>21061</v>
      </c>
      <c r="C402" t="s">
        <v>337</v>
      </c>
      <c r="D402">
        <v>12</v>
      </c>
      <c r="E402" s="1">
        <v>40513.478472222225</v>
      </c>
      <c r="F402">
        <v>0.85</v>
      </c>
      <c r="G402">
        <v>16218</v>
      </c>
      <c r="H402" t="s">
        <v>10</v>
      </c>
    </row>
    <row r="403" spans="1:8" x14ac:dyDescent="0.25">
      <c r="A403">
        <v>536404</v>
      </c>
      <c r="B403">
        <v>21063</v>
      </c>
      <c r="C403" t="s">
        <v>338</v>
      </c>
      <c r="D403">
        <v>12</v>
      </c>
      <c r="E403" s="1">
        <v>40513.478472222225</v>
      </c>
      <c r="F403">
        <v>0.85</v>
      </c>
      <c r="G403">
        <v>16218</v>
      </c>
      <c r="H403" t="s">
        <v>10</v>
      </c>
    </row>
    <row r="404" spans="1:8" x14ac:dyDescent="0.25">
      <c r="A404">
        <v>536404</v>
      </c>
      <c r="B404">
        <v>21062</v>
      </c>
      <c r="C404" t="s">
        <v>339</v>
      </c>
      <c r="D404">
        <v>12</v>
      </c>
      <c r="E404" s="1">
        <v>40513.478472222225</v>
      </c>
      <c r="F404">
        <v>0.85</v>
      </c>
      <c r="G404">
        <v>16218</v>
      </c>
      <c r="H404" t="s">
        <v>10</v>
      </c>
    </row>
    <row r="405" spans="1:8" x14ac:dyDescent="0.25">
      <c r="A405">
        <v>536404</v>
      </c>
      <c r="B405">
        <v>84380</v>
      </c>
      <c r="C405" t="s">
        <v>340</v>
      </c>
      <c r="D405">
        <v>12</v>
      </c>
      <c r="E405" s="1">
        <v>40513.478472222225</v>
      </c>
      <c r="F405">
        <v>1.25</v>
      </c>
      <c r="G405">
        <v>16218</v>
      </c>
      <c r="H405" t="s">
        <v>10</v>
      </c>
    </row>
    <row r="406" spans="1:8" x14ac:dyDescent="0.25">
      <c r="A406">
        <v>536404</v>
      </c>
      <c r="B406">
        <v>84378</v>
      </c>
      <c r="C406" t="s">
        <v>341</v>
      </c>
      <c r="D406">
        <v>12</v>
      </c>
      <c r="E406" s="1">
        <v>40513.478472222225</v>
      </c>
      <c r="F406">
        <v>1.25</v>
      </c>
      <c r="G406">
        <v>16218</v>
      </c>
      <c r="H406" t="s">
        <v>10</v>
      </c>
    </row>
    <row r="407" spans="1:8" x14ac:dyDescent="0.25">
      <c r="A407">
        <v>536404</v>
      </c>
      <c r="B407">
        <v>22964</v>
      </c>
      <c r="C407" t="s">
        <v>342</v>
      </c>
      <c r="D407">
        <v>12</v>
      </c>
      <c r="E407" s="1">
        <v>40513.478472222225</v>
      </c>
      <c r="F407">
        <v>2.1</v>
      </c>
      <c r="G407">
        <v>16218</v>
      </c>
      <c r="H407" t="s">
        <v>10</v>
      </c>
    </row>
    <row r="408" spans="1:8" x14ac:dyDescent="0.25">
      <c r="A408">
        <v>536404</v>
      </c>
      <c r="B408">
        <v>21213</v>
      </c>
      <c r="C408" t="s">
        <v>343</v>
      </c>
      <c r="D408">
        <v>24</v>
      </c>
      <c r="E408" s="1">
        <v>40513.478472222225</v>
      </c>
      <c r="F408">
        <v>0.55000000000000004</v>
      </c>
      <c r="G408">
        <v>16218</v>
      </c>
      <c r="H408" t="s">
        <v>10</v>
      </c>
    </row>
    <row r="409" spans="1:8" x14ac:dyDescent="0.25">
      <c r="A409">
        <v>536404</v>
      </c>
      <c r="B409">
        <v>22417</v>
      </c>
      <c r="C409" t="s">
        <v>344</v>
      </c>
      <c r="D409">
        <v>24</v>
      </c>
      <c r="E409" s="1">
        <v>40513.478472222225</v>
      </c>
      <c r="F409">
        <v>0.55000000000000004</v>
      </c>
      <c r="G409">
        <v>16218</v>
      </c>
      <c r="H409" t="s">
        <v>10</v>
      </c>
    </row>
    <row r="410" spans="1:8" x14ac:dyDescent="0.25">
      <c r="A410">
        <v>536404</v>
      </c>
      <c r="B410">
        <v>21212</v>
      </c>
      <c r="C410" t="s">
        <v>88</v>
      </c>
      <c r="D410">
        <v>24</v>
      </c>
      <c r="E410" s="1">
        <v>40513.478472222225</v>
      </c>
      <c r="F410">
        <v>0.55000000000000004</v>
      </c>
      <c r="G410">
        <v>16218</v>
      </c>
      <c r="H410" t="s">
        <v>10</v>
      </c>
    </row>
    <row r="411" spans="1:8" x14ac:dyDescent="0.25">
      <c r="A411">
        <v>536404</v>
      </c>
      <c r="B411">
        <v>84992</v>
      </c>
      <c r="C411" t="s">
        <v>345</v>
      </c>
      <c r="D411">
        <v>24</v>
      </c>
      <c r="E411" s="1">
        <v>40513.478472222225</v>
      </c>
      <c r="F411">
        <v>0.55000000000000004</v>
      </c>
      <c r="G411">
        <v>16218</v>
      </c>
      <c r="H411" t="s">
        <v>10</v>
      </c>
    </row>
    <row r="412" spans="1:8" x14ac:dyDescent="0.25">
      <c r="A412">
        <v>536404</v>
      </c>
      <c r="B412">
        <v>21975</v>
      </c>
      <c r="C412" t="s">
        <v>89</v>
      </c>
      <c r="D412">
        <v>24</v>
      </c>
      <c r="E412" s="1">
        <v>40513.478472222225</v>
      </c>
      <c r="F412">
        <v>0.55000000000000004</v>
      </c>
      <c r="G412">
        <v>16218</v>
      </c>
      <c r="H412" t="s">
        <v>10</v>
      </c>
    </row>
    <row r="413" spans="1:8" x14ac:dyDescent="0.25">
      <c r="A413">
        <v>536404</v>
      </c>
      <c r="B413">
        <v>22383</v>
      </c>
      <c r="C413" t="s">
        <v>346</v>
      </c>
      <c r="D413">
        <v>10</v>
      </c>
      <c r="E413" s="1">
        <v>40513.478472222225</v>
      </c>
      <c r="F413">
        <v>1.65</v>
      </c>
      <c r="G413">
        <v>16218</v>
      </c>
      <c r="H413" t="s">
        <v>10</v>
      </c>
    </row>
    <row r="414" spans="1:8" x14ac:dyDescent="0.25">
      <c r="A414">
        <v>536404</v>
      </c>
      <c r="B414">
        <v>20728</v>
      </c>
      <c r="C414" t="s">
        <v>347</v>
      </c>
      <c r="D414">
        <v>10</v>
      </c>
      <c r="E414" s="1">
        <v>40513.478472222225</v>
      </c>
      <c r="F414">
        <v>1.65</v>
      </c>
      <c r="G414">
        <v>16218</v>
      </c>
      <c r="H414" t="s">
        <v>10</v>
      </c>
    </row>
    <row r="415" spans="1:8" x14ac:dyDescent="0.25">
      <c r="A415">
        <v>536404</v>
      </c>
      <c r="B415">
        <v>20727</v>
      </c>
      <c r="C415" t="s">
        <v>348</v>
      </c>
      <c r="D415">
        <v>10</v>
      </c>
      <c r="E415" s="1">
        <v>40513.478472222225</v>
      </c>
      <c r="F415">
        <v>1.65</v>
      </c>
      <c r="G415">
        <v>16218</v>
      </c>
      <c r="H415" t="s">
        <v>10</v>
      </c>
    </row>
    <row r="416" spans="1:8" x14ac:dyDescent="0.25">
      <c r="A416">
        <v>536404</v>
      </c>
      <c r="B416">
        <v>22296</v>
      </c>
      <c r="C416" t="s">
        <v>349</v>
      </c>
      <c r="D416">
        <v>24</v>
      </c>
      <c r="E416" s="1">
        <v>40513.478472222225</v>
      </c>
      <c r="F416">
        <v>1.65</v>
      </c>
      <c r="G416">
        <v>16218</v>
      </c>
      <c r="H416" t="s">
        <v>10</v>
      </c>
    </row>
    <row r="417" spans="1:8" x14ac:dyDescent="0.25">
      <c r="A417">
        <v>536405</v>
      </c>
      <c r="B417">
        <v>20914</v>
      </c>
      <c r="C417" t="s">
        <v>350</v>
      </c>
      <c r="D417">
        <v>128</v>
      </c>
      <c r="E417" s="1">
        <v>40513.480555555558</v>
      </c>
      <c r="F417">
        <v>2.5499999999999998</v>
      </c>
      <c r="G417">
        <v>14045</v>
      </c>
      <c r="H417" t="s">
        <v>10</v>
      </c>
    </row>
    <row r="418" spans="1:8" x14ac:dyDescent="0.25">
      <c r="A418">
        <v>536406</v>
      </c>
      <c r="B418" t="s">
        <v>8</v>
      </c>
      <c r="C418" t="s">
        <v>9</v>
      </c>
      <c r="D418">
        <v>8</v>
      </c>
      <c r="E418" s="1">
        <v>40513.481249999997</v>
      </c>
      <c r="F418">
        <v>2.5499999999999998</v>
      </c>
      <c r="G418">
        <v>17850</v>
      </c>
      <c r="H418" t="s">
        <v>10</v>
      </c>
    </row>
    <row r="419" spans="1:8" x14ac:dyDescent="0.25">
      <c r="A419">
        <v>536406</v>
      </c>
      <c r="B419">
        <v>71053</v>
      </c>
      <c r="C419" t="s">
        <v>11</v>
      </c>
      <c r="D419">
        <v>8</v>
      </c>
      <c r="E419" s="1">
        <v>40513.481249999997</v>
      </c>
      <c r="F419">
        <v>3.39</v>
      </c>
      <c r="G419">
        <v>17850</v>
      </c>
      <c r="H419" t="s">
        <v>10</v>
      </c>
    </row>
    <row r="420" spans="1:8" x14ac:dyDescent="0.25">
      <c r="A420">
        <v>536406</v>
      </c>
      <c r="B420" t="s">
        <v>12</v>
      </c>
      <c r="C420" t="s">
        <v>13</v>
      </c>
      <c r="D420">
        <v>8</v>
      </c>
      <c r="E420" s="1">
        <v>40513.481249999997</v>
      </c>
      <c r="F420">
        <v>2.75</v>
      </c>
      <c r="G420">
        <v>17850</v>
      </c>
      <c r="H420" t="s">
        <v>10</v>
      </c>
    </row>
    <row r="421" spans="1:8" x14ac:dyDescent="0.25">
      <c r="A421">
        <v>536406</v>
      </c>
      <c r="B421">
        <v>20679</v>
      </c>
      <c r="C421" t="s">
        <v>62</v>
      </c>
      <c r="D421">
        <v>6</v>
      </c>
      <c r="E421" s="1">
        <v>40513.481249999997</v>
      </c>
      <c r="F421">
        <v>4.95</v>
      </c>
      <c r="G421">
        <v>17850</v>
      </c>
      <c r="H421" t="s">
        <v>10</v>
      </c>
    </row>
    <row r="422" spans="1:8" x14ac:dyDescent="0.25">
      <c r="A422">
        <v>536406</v>
      </c>
      <c r="B422">
        <v>37370</v>
      </c>
      <c r="C422" t="s">
        <v>63</v>
      </c>
      <c r="D422">
        <v>6</v>
      </c>
      <c r="E422" s="1">
        <v>40513.481249999997</v>
      </c>
      <c r="F422">
        <v>1.06</v>
      </c>
      <c r="G422">
        <v>17850</v>
      </c>
      <c r="H422" t="s">
        <v>10</v>
      </c>
    </row>
    <row r="423" spans="1:8" x14ac:dyDescent="0.25">
      <c r="A423">
        <v>536406</v>
      </c>
      <c r="B423">
        <v>21871</v>
      </c>
      <c r="C423" t="s">
        <v>64</v>
      </c>
      <c r="D423">
        <v>6</v>
      </c>
      <c r="E423" s="1">
        <v>40513.481249999997</v>
      </c>
      <c r="F423">
        <v>1.06</v>
      </c>
      <c r="G423">
        <v>17850</v>
      </c>
      <c r="H423" t="s">
        <v>10</v>
      </c>
    </row>
    <row r="424" spans="1:8" x14ac:dyDescent="0.25">
      <c r="A424">
        <v>536406</v>
      </c>
      <c r="B424">
        <v>21071</v>
      </c>
      <c r="C424" t="s">
        <v>65</v>
      </c>
      <c r="D424">
        <v>6</v>
      </c>
      <c r="E424" s="1">
        <v>40513.481249999997</v>
      </c>
      <c r="F424">
        <v>1.06</v>
      </c>
      <c r="G424">
        <v>17850</v>
      </c>
      <c r="H424" t="s">
        <v>10</v>
      </c>
    </row>
    <row r="425" spans="1:8" x14ac:dyDescent="0.25">
      <c r="A425">
        <v>536406</v>
      </c>
      <c r="B425">
        <v>21068</v>
      </c>
      <c r="C425" t="s">
        <v>66</v>
      </c>
      <c r="D425">
        <v>6</v>
      </c>
      <c r="E425" s="1">
        <v>40513.481249999997</v>
      </c>
      <c r="F425">
        <v>1.06</v>
      </c>
      <c r="G425">
        <v>17850</v>
      </c>
      <c r="H425" t="s">
        <v>10</v>
      </c>
    </row>
    <row r="426" spans="1:8" x14ac:dyDescent="0.25">
      <c r="A426">
        <v>536406</v>
      </c>
      <c r="B426">
        <v>82483</v>
      </c>
      <c r="C426" t="s">
        <v>67</v>
      </c>
      <c r="D426">
        <v>4</v>
      </c>
      <c r="E426" s="1">
        <v>40513.481249999997</v>
      </c>
      <c r="F426">
        <v>4.95</v>
      </c>
      <c r="G426">
        <v>17850</v>
      </c>
      <c r="H426" t="s">
        <v>10</v>
      </c>
    </row>
    <row r="427" spans="1:8" x14ac:dyDescent="0.25">
      <c r="A427">
        <v>536406</v>
      </c>
      <c r="B427">
        <v>82486</v>
      </c>
      <c r="C427" t="s">
        <v>68</v>
      </c>
      <c r="D427">
        <v>4</v>
      </c>
      <c r="E427" s="1">
        <v>40513.481249999997</v>
      </c>
      <c r="F427">
        <v>6.95</v>
      </c>
      <c r="G427">
        <v>17850</v>
      </c>
      <c r="H427" t="s">
        <v>10</v>
      </c>
    </row>
    <row r="428" spans="1:8" x14ac:dyDescent="0.25">
      <c r="A428">
        <v>536406</v>
      </c>
      <c r="B428">
        <v>82482</v>
      </c>
      <c r="C428" t="s">
        <v>69</v>
      </c>
      <c r="D428">
        <v>6</v>
      </c>
      <c r="E428" s="1">
        <v>40513.481249999997</v>
      </c>
      <c r="F428">
        <v>2.1</v>
      </c>
      <c r="G428">
        <v>17850</v>
      </c>
      <c r="H428" t="s">
        <v>10</v>
      </c>
    </row>
    <row r="429" spans="1:8" x14ac:dyDescent="0.25">
      <c r="A429">
        <v>536406</v>
      </c>
      <c r="B429" t="s">
        <v>70</v>
      </c>
      <c r="C429" t="s">
        <v>71</v>
      </c>
      <c r="D429">
        <v>6</v>
      </c>
      <c r="E429" s="1">
        <v>40513.481249999997</v>
      </c>
      <c r="F429">
        <v>2.5499999999999998</v>
      </c>
      <c r="G429">
        <v>17850</v>
      </c>
      <c r="H429" t="s">
        <v>10</v>
      </c>
    </row>
    <row r="430" spans="1:8" x14ac:dyDescent="0.25">
      <c r="A430">
        <v>536406</v>
      </c>
      <c r="B430" t="s">
        <v>14</v>
      </c>
      <c r="C430" t="s">
        <v>15</v>
      </c>
      <c r="D430">
        <v>6</v>
      </c>
      <c r="E430" s="1">
        <v>40513.481249999997</v>
      </c>
      <c r="F430">
        <v>3.39</v>
      </c>
      <c r="G430">
        <v>17850</v>
      </c>
      <c r="H430" t="s">
        <v>10</v>
      </c>
    </row>
    <row r="431" spans="1:8" x14ac:dyDescent="0.25">
      <c r="A431">
        <v>536406</v>
      </c>
      <c r="B431" t="s">
        <v>16</v>
      </c>
      <c r="C431" t="s">
        <v>17</v>
      </c>
      <c r="D431">
        <v>6</v>
      </c>
      <c r="E431" s="1">
        <v>40513.481249999997</v>
      </c>
      <c r="F431">
        <v>3.39</v>
      </c>
      <c r="G431">
        <v>17850</v>
      </c>
      <c r="H431" t="s">
        <v>10</v>
      </c>
    </row>
    <row r="432" spans="1:8" x14ac:dyDescent="0.25">
      <c r="A432">
        <v>536406</v>
      </c>
      <c r="B432">
        <v>22752</v>
      </c>
      <c r="C432" t="s">
        <v>18</v>
      </c>
      <c r="D432">
        <v>2</v>
      </c>
      <c r="E432" s="1">
        <v>40513.481249999997</v>
      </c>
      <c r="F432">
        <v>7.65</v>
      </c>
      <c r="G432">
        <v>17850</v>
      </c>
      <c r="H432" t="s">
        <v>10</v>
      </c>
    </row>
    <row r="433" spans="1:8" x14ac:dyDescent="0.25">
      <c r="A433">
        <v>536406</v>
      </c>
      <c r="B433">
        <v>22803</v>
      </c>
      <c r="C433" t="s">
        <v>249</v>
      </c>
      <c r="D433">
        <v>2</v>
      </c>
      <c r="E433" s="1">
        <v>40513.481249999997</v>
      </c>
      <c r="F433">
        <v>35.75</v>
      </c>
      <c r="G433">
        <v>17850</v>
      </c>
      <c r="H433" t="s">
        <v>10</v>
      </c>
    </row>
    <row r="434" spans="1:8" x14ac:dyDescent="0.25">
      <c r="A434">
        <v>536406</v>
      </c>
      <c r="B434">
        <v>21730</v>
      </c>
      <c r="C434" t="s">
        <v>19</v>
      </c>
      <c r="D434">
        <v>6</v>
      </c>
      <c r="E434" s="1">
        <v>40513.481249999997</v>
      </c>
      <c r="F434">
        <v>4.25</v>
      </c>
      <c r="G434">
        <v>17850</v>
      </c>
      <c r="H434" t="s">
        <v>10</v>
      </c>
    </row>
    <row r="435" spans="1:8" x14ac:dyDescent="0.25">
      <c r="A435">
        <v>536407</v>
      </c>
      <c r="B435">
        <v>22632</v>
      </c>
      <c r="C435" t="s">
        <v>21</v>
      </c>
      <c r="D435">
        <v>6</v>
      </c>
      <c r="E435" s="1">
        <v>40513.481944444444</v>
      </c>
      <c r="F435">
        <v>1.85</v>
      </c>
      <c r="G435">
        <v>17850</v>
      </c>
      <c r="H435" t="s">
        <v>10</v>
      </c>
    </row>
    <row r="436" spans="1:8" x14ac:dyDescent="0.25">
      <c r="A436">
        <v>536407</v>
      </c>
      <c r="B436">
        <v>22633</v>
      </c>
      <c r="C436" t="s">
        <v>20</v>
      </c>
      <c r="D436">
        <v>6</v>
      </c>
      <c r="E436" s="1">
        <v>40513.481944444444</v>
      </c>
      <c r="F436">
        <v>1.85</v>
      </c>
      <c r="G436">
        <v>17850</v>
      </c>
      <c r="H436" t="s">
        <v>10</v>
      </c>
    </row>
    <row r="437" spans="1:8" x14ac:dyDescent="0.25">
      <c r="A437">
        <v>536408</v>
      </c>
      <c r="B437">
        <v>22537</v>
      </c>
      <c r="C437" t="s">
        <v>351</v>
      </c>
      <c r="D437">
        <v>24</v>
      </c>
      <c r="E437" s="1">
        <v>40513.486805555556</v>
      </c>
      <c r="F437">
        <v>0.42</v>
      </c>
      <c r="G437">
        <v>14307</v>
      </c>
      <c r="H437" t="s">
        <v>10</v>
      </c>
    </row>
    <row r="438" spans="1:8" x14ac:dyDescent="0.25">
      <c r="A438">
        <v>536408</v>
      </c>
      <c r="B438">
        <v>22533</v>
      </c>
      <c r="C438" t="s">
        <v>352</v>
      </c>
      <c r="D438">
        <v>24</v>
      </c>
      <c r="E438" s="1">
        <v>40513.486805555556</v>
      </c>
      <c r="F438">
        <v>0.42</v>
      </c>
      <c r="G438">
        <v>14307</v>
      </c>
      <c r="H438" t="s">
        <v>10</v>
      </c>
    </row>
    <row r="439" spans="1:8" x14ac:dyDescent="0.25">
      <c r="A439">
        <v>536408</v>
      </c>
      <c r="B439">
        <v>20982</v>
      </c>
      <c r="C439" t="s">
        <v>353</v>
      </c>
      <c r="D439">
        <v>12</v>
      </c>
      <c r="E439" s="1">
        <v>40513.486805555556</v>
      </c>
      <c r="F439">
        <v>0.85</v>
      </c>
      <c r="G439">
        <v>14307</v>
      </c>
      <c r="H439" t="s">
        <v>10</v>
      </c>
    </row>
    <row r="440" spans="1:8" x14ac:dyDescent="0.25">
      <c r="A440">
        <v>536408</v>
      </c>
      <c r="B440">
        <v>21832</v>
      </c>
      <c r="C440" t="s">
        <v>142</v>
      </c>
      <c r="D440">
        <v>12</v>
      </c>
      <c r="E440" s="1">
        <v>40513.486805555556</v>
      </c>
      <c r="F440">
        <v>1.65</v>
      </c>
      <c r="G440">
        <v>14307</v>
      </c>
      <c r="H440" t="s">
        <v>10</v>
      </c>
    </row>
    <row r="441" spans="1:8" x14ac:dyDescent="0.25">
      <c r="A441">
        <v>536408</v>
      </c>
      <c r="B441">
        <v>21915</v>
      </c>
      <c r="C441" t="s">
        <v>354</v>
      </c>
      <c r="D441">
        <v>12</v>
      </c>
      <c r="E441" s="1">
        <v>40513.486805555556</v>
      </c>
      <c r="F441">
        <v>1.25</v>
      </c>
      <c r="G441">
        <v>14307</v>
      </c>
      <c r="H441" t="s">
        <v>10</v>
      </c>
    </row>
    <row r="442" spans="1:8" x14ac:dyDescent="0.25">
      <c r="A442">
        <v>536408</v>
      </c>
      <c r="B442">
        <v>21914</v>
      </c>
      <c r="C442" t="s">
        <v>355</v>
      </c>
      <c r="D442">
        <v>12</v>
      </c>
      <c r="E442" s="1">
        <v>40513.486805555556</v>
      </c>
      <c r="F442">
        <v>1.25</v>
      </c>
      <c r="G442">
        <v>14307</v>
      </c>
      <c r="H442" t="s">
        <v>10</v>
      </c>
    </row>
    <row r="443" spans="1:8" x14ac:dyDescent="0.25">
      <c r="A443">
        <v>536408</v>
      </c>
      <c r="B443">
        <v>21544</v>
      </c>
      <c r="C443" t="s">
        <v>356</v>
      </c>
      <c r="D443">
        <v>12</v>
      </c>
      <c r="E443" s="1">
        <v>40513.486805555556</v>
      </c>
      <c r="F443">
        <v>0.85</v>
      </c>
      <c r="G443">
        <v>14307</v>
      </c>
      <c r="H443" t="s">
        <v>10</v>
      </c>
    </row>
    <row r="444" spans="1:8" x14ac:dyDescent="0.25">
      <c r="A444">
        <v>536408</v>
      </c>
      <c r="B444">
        <v>22813</v>
      </c>
      <c r="C444" t="s">
        <v>357</v>
      </c>
      <c r="D444">
        <v>12</v>
      </c>
      <c r="E444" s="1">
        <v>40513.486805555556</v>
      </c>
      <c r="F444">
        <v>1.95</v>
      </c>
      <c r="G444">
        <v>14307</v>
      </c>
      <c r="H444" t="s">
        <v>10</v>
      </c>
    </row>
    <row r="445" spans="1:8" x14ac:dyDescent="0.25">
      <c r="A445">
        <v>536408</v>
      </c>
      <c r="B445">
        <v>22114</v>
      </c>
      <c r="C445" t="s">
        <v>73</v>
      </c>
      <c r="D445">
        <v>4</v>
      </c>
      <c r="E445" s="1">
        <v>40513.486805555556</v>
      </c>
      <c r="F445">
        <v>3.95</v>
      </c>
      <c r="G445">
        <v>14307</v>
      </c>
      <c r="H445" t="s">
        <v>10</v>
      </c>
    </row>
    <row r="446" spans="1:8" x14ac:dyDescent="0.25">
      <c r="A446">
        <v>536408</v>
      </c>
      <c r="B446" t="s">
        <v>16</v>
      </c>
      <c r="C446" t="s">
        <v>17</v>
      </c>
      <c r="D446">
        <v>4</v>
      </c>
      <c r="E446" s="1">
        <v>40513.486805555556</v>
      </c>
      <c r="F446">
        <v>3.75</v>
      </c>
      <c r="G446">
        <v>14307</v>
      </c>
      <c r="H446" t="s">
        <v>10</v>
      </c>
    </row>
    <row r="447" spans="1:8" x14ac:dyDescent="0.25">
      <c r="A447">
        <v>536408</v>
      </c>
      <c r="B447">
        <v>21479</v>
      </c>
      <c r="C447" t="s">
        <v>260</v>
      </c>
      <c r="D447">
        <v>4</v>
      </c>
      <c r="E447" s="1">
        <v>40513.486805555556</v>
      </c>
      <c r="F447">
        <v>3.75</v>
      </c>
      <c r="G447">
        <v>14307</v>
      </c>
      <c r="H447" t="s">
        <v>10</v>
      </c>
    </row>
    <row r="448" spans="1:8" x14ac:dyDescent="0.25">
      <c r="A448">
        <v>536408</v>
      </c>
      <c r="B448">
        <v>22964</v>
      </c>
      <c r="C448" t="s">
        <v>342</v>
      </c>
      <c r="D448">
        <v>6</v>
      </c>
      <c r="E448" s="1">
        <v>40513.486805555556</v>
      </c>
      <c r="F448">
        <v>2.1</v>
      </c>
      <c r="G448">
        <v>14307</v>
      </c>
      <c r="H448" t="s">
        <v>10</v>
      </c>
    </row>
    <row r="449" spans="1:8" x14ac:dyDescent="0.25">
      <c r="A449">
        <v>536408</v>
      </c>
      <c r="B449">
        <v>84375</v>
      </c>
      <c r="C449" t="s">
        <v>358</v>
      </c>
      <c r="D449">
        <v>12</v>
      </c>
      <c r="E449" s="1">
        <v>40513.486805555556</v>
      </c>
      <c r="F449">
        <v>2.1</v>
      </c>
      <c r="G449">
        <v>14307</v>
      </c>
      <c r="H449" t="s">
        <v>10</v>
      </c>
    </row>
    <row r="450" spans="1:8" x14ac:dyDescent="0.25">
      <c r="A450">
        <v>536408</v>
      </c>
      <c r="B450">
        <v>22418</v>
      </c>
      <c r="C450" t="s">
        <v>359</v>
      </c>
      <c r="D450">
        <v>24</v>
      </c>
      <c r="E450" s="1">
        <v>40513.486805555556</v>
      </c>
      <c r="F450">
        <v>0.85</v>
      </c>
      <c r="G450">
        <v>14307</v>
      </c>
      <c r="H450" t="s">
        <v>10</v>
      </c>
    </row>
    <row r="451" spans="1:8" x14ac:dyDescent="0.25">
      <c r="A451">
        <v>536408</v>
      </c>
      <c r="B451">
        <v>22178</v>
      </c>
      <c r="C451" t="s">
        <v>360</v>
      </c>
      <c r="D451">
        <v>12</v>
      </c>
      <c r="E451" s="1">
        <v>40513.486805555556</v>
      </c>
      <c r="F451">
        <v>1.25</v>
      </c>
      <c r="G451">
        <v>14307</v>
      </c>
      <c r="H451" t="s">
        <v>10</v>
      </c>
    </row>
    <row r="452" spans="1:8" x14ac:dyDescent="0.25">
      <c r="A452">
        <v>536408</v>
      </c>
      <c r="B452" t="s">
        <v>361</v>
      </c>
      <c r="C452" t="s">
        <v>362</v>
      </c>
      <c r="D452">
        <v>12</v>
      </c>
      <c r="E452" s="1">
        <v>40513.486805555556</v>
      </c>
      <c r="F452">
        <v>0.95</v>
      </c>
      <c r="G452">
        <v>14307</v>
      </c>
      <c r="H452" t="s">
        <v>10</v>
      </c>
    </row>
    <row r="453" spans="1:8" x14ac:dyDescent="0.25">
      <c r="A453">
        <v>536408</v>
      </c>
      <c r="B453">
        <v>21733</v>
      </c>
      <c r="C453" t="s">
        <v>74</v>
      </c>
      <c r="D453">
        <v>6</v>
      </c>
      <c r="E453" s="1">
        <v>40513.486805555556</v>
      </c>
      <c r="F453">
        <v>2.95</v>
      </c>
      <c r="G453">
        <v>14307</v>
      </c>
      <c r="H453" t="s">
        <v>10</v>
      </c>
    </row>
    <row r="454" spans="1:8" x14ac:dyDescent="0.25">
      <c r="A454">
        <v>536408</v>
      </c>
      <c r="B454">
        <v>22465</v>
      </c>
      <c r="C454" t="s">
        <v>363</v>
      </c>
      <c r="D454">
        <v>12</v>
      </c>
      <c r="E454" s="1">
        <v>40513.486805555556</v>
      </c>
      <c r="F454">
        <v>1.65</v>
      </c>
      <c r="G454">
        <v>14307</v>
      </c>
      <c r="H454" t="s">
        <v>10</v>
      </c>
    </row>
    <row r="455" spans="1:8" x14ac:dyDescent="0.25">
      <c r="A455">
        <v>536408</v>
      </c>
      <c r="B455">
        <v>84949</v>
      </c>
      <c r="C455" t="s">
        <v>364</v>
      </c>
      <c r="D455">
        <v>6</v>
      </c>
      <c r="E455" s="1">
        <v>40513.486805555556</v>
      </c>
      <c r="F455">
        <v>1.65</v>
      </c>
      <c r="G455">
        <v>14307</v>
      </c>
      <c r="H455" t="s">
        <v>10</v>
      </c>
    </row>
    <row r="456" spans="1:8" x14ac:dyDescent="0.25">
      <c r="A456">
        <v>536408</v>
      </c>
      <c r="B456">
        <v>20685</v>
      </c>
      <c r="C456" t="s">
        <v>365</v>
      </c>
      <c r="D456">
        <v>2</v>
      </c>
      <c r="E456" s="1">
        <v>40513.486805555556</v>
      </c>
      <c r="F456">
        <v>7.95</v>
      </c>
      <c r="G456">
        <v>14307</v>
      </c>
      <c r="H456" t="s">
        <v>10</v>
      </c>
    </row>
    <row r="457" spans="1:8" x14ac:dyDescent="0.25">
      <c r="A457">
        <v>536408</v>
      </c>
      <c r="B457">
        <v>48194</v>
      </c>
      <c r="C457" t="s">
        <v>366</v>
      </c>
      <c r="D457">
        <v>2</v>
      </c>
      <c r="E457" s="1">
        <v>40513.486805555556</v>
      </c>
      <c r="F457">
        <v>7.95</v>
      </c>
      <c r="G457">
        <v>14307</v>
      </c>
      <c r="H457" t="s">
        <v>10</v>
      </c>
    </row>
    <row r="458" spans="1:8" x14ac:dyDescent="0.25">
      <c r="A458">
        <v>536408</v>
      </c>
      <c r="B458">
        <v>22488</v>
      </c>
      <c r="C458" t="s">
        <v>367</v>
      </c>
      <c r="D458">
        <v>12</v>
      </c>
      <c r="E458" s="1">
        <v>40513.486805555556</v>
      </c>
      <c r="F458">
        <v>1.65</v>
      </c>
      <c r="G458">
        <v>14307</v>
      </c>
      <c r="H458" t="s">
        <v>10</v>
      </c>
    </row>
    <row r="459" spans="1:8" x14ac:dyDescent="0.25">
      <c r="A459">
        <v>536408</v>
      </c>
      <c r="B459">
        <v>22219</v>
      </c>
      <c r="C459" t="s">
        <v>368</v>
      </c>
      <c r="D459">
        <v>12</v>
      </c>
      <c r="E459" s="1">
        <v>40513.486805555556</v>
      </c>
      <c r="F459">
        <v>0.85</v>
      </c>
      <c r="G459">
        <v>14307</v>
      </c>
      <c r="H459" t="s">
        <v>10</v>
      </c>
    </row>
    <row r="460" spans="1:8" x14ac:dyDescent="0.25">
      <c r="A460">
        <v>536408</v>
      </c>
      <c r="B460">
        <v>84879</v>
      </c>
      <c r="C460" t="s">
        <v>22</v>
      </c>
      <c r="D460">
        <v>8</v>
      </c>
      <c r="E460" s="1">
        <v>40513.486805555556</v>
      </c>
      <c r="F460">
        <v>1.69</v>
      </c>
      <c r="G460">
        <v>14307</v>
      </c>
      <c r="H460" t="s">
        <v>10</v>
      </c>
    </row>
    <row r="461" spans="1:8" x14ac:dyDescent="0.25">
      <c r="A461">
        <v>536408</v>
      </c>
      <c r="B461">
        <v>21754</v>
      </c>
      <c r="C461" t="s">
        <v>30</v>
      </c>
      <c r="D461">
        <v>3</v>
      </c>
      <c r="E461" s="1">
        <v>40513.486805555556</v>
      </c>
      <c r="F461">
        <v>5.95</v>
      </c>
      <c r="G461">
        <v>14307</v>
      </c>
      <c r="H461" t="s">
        <v>10</v>
      </c>
    </row>
    <row r="462" spans="1:8" x14ac:dyDescent="0.25">
      <c r="A462">
        <v>536408</v>
      </c>
      <c r="B462">
        <v>21755</v>
      </c>
      <c r="C462" t="s">
        <v>31</v>
      </c>
      <c r="D462">
        <v>3</v>
      </c>
      <c r="E462" s="1">
        <v>40513.486805555556</v>
      </c>
      <c r="F462">
        <v>5.95</v>
      </c>
      <c r="G462">
        <v>14307</v>
      </c>
      <c r="H462" t="s">
        <v>10</v>
      </c>
    </row>
    <row r="463" spans="1:8" x14ac:dyDescent="0.25">
      <c r="A463">
        <v>536408</v>
      </c>
      <c r="B463">
        <v>22766</v>
      </c>
      <c r="C463" t="s">
        <v>265</v>
      </c>
      <c r="D463">
        <v>8</v>
      </c>
      <c r="E463" s="1">
        <v>40513.486805555556</v>
      </c>
      <c r="F463">
        <v>2.95</v>
      </c>
      <c r="G463">
        <v>14307</v>
      </c>
      <c r="H463" t="s">
        <v>10</v>
      </c>
    </row>
    <row r="464" spans="1:8" x14ac:dyDescent="0.25">
      <c r="A464">
        <v>536408</v>
      </c>
      <c r="B464">
        <v>22610</v>
      </c>
      <c r="C464" t="s">
        <v>369</v>
      </c>
      <c r="D464">
        <v>36</v>
      </c>
      <c r="E464" s="1">
        <v>40513.486805555556</v>
      </c>
      <c r="F464">
        <v>0.85</v>
      </c>
      <c r="G464">
        <v>14307</v>
      </c>
      <c r="H464" t="s">
        <v>10</v>
      </c>
    </row>
    <row r="465" spans="1:8" x14ac:dyDescent="0.25">
      <c r="A465">
        <v>536408</v>
      </c>
      <c r="B465">
        <v>22716</v>
      </c>
      <c r="C465" t="s">
        <v>370</v>
      </c>
      <c r="D465">
        <v>12</v>
      </c>
      <c r="E465" s="1">
        <v>40513.486805555556</v>
      </c>
      <c r="F465">
        <v>0.42</v>
      </c>
      <c r="G465">
        <v>14307</v>
      </c>
      <c r="H465" t="s">
        <v>10</v>
      </c>
    </row>
    <row r="466" spans="1:8" x14ac:dyDescent="0.25">
      <c r="A466">
        <v>536408</v>
      </c>
      <c r="B466">
        <v>22706</v>
      </c>
      <c r="C466" t="s">
        <v>371</v>
      </c>
      <c r="D466">
        <v>25</v>
      </c>
      <c r="E466" s="1">
        <v>40513.486805555556</v>
      </c>
      <c r="F466">
        <v>0.42</v>
      </c>
      <c r="G466">
        <v>14307</v>
      </c>
      <c r="H466" t="s">
        <v>10</v>
      </c>
    </row>
    <row r="467" spans="1:8" x14ac:dyDescent="0.25">
      <c r="A467">
        <v>536408</v>
      </c>
      <c r="B467">
        <v>22371</v>
      </c>
      <c r="C467" t="s">
        <v>372</v>
      </c>
      <c r="D467">
        <v>4</v>
      </c>
      <c r="E467" s="1">
        <v>40513.486805555556</v>
      </c>
      <c r="F467">
        <v>4.25</v>
      </c>
      <c r="G467">
        <v>14307</v>
      </c>
      <c r="H467" t="s">
        <v>10</v>
      </c>
    </row>
    <row r="468" spans="1:8" x14ac:dyDescent="0.25">
      <c r="A468">
        <v>536408</v>
      </c>
      <c r="B468" t="s">
        <v>192</v>
      </c>
      <c r="C468" t="s">
        <v>193</v>
      </c>
      <c r="D468">
        <v>3</v>
      </c>
      <c r="E468" s="1">
        <v>40513.486805555556</v>
      </c>
      <c r="F468">
        <v>5.95</v>
      </c>
      <c r="G468">
        <v>14307</v>
      </c>
      <c r="H468" t="s">
        <v>10</v>
      </c>
    </row>
    <row r="469" spans="1:8" x14ac:dyDescent="0.25">
      <c r="A469">
        <v>536408</v>
      </c>
      <c r="B469" t="s">
        <v>194</v>
      </c>
      <c r="C469" t="s">
        <v>195</v>
      </c>
      <c r="D469">
        <v>3</v>
      </c>
      <c r="E469" s="1">
        <v>40513.486805555556</v>
      </c>
      <c r="F469">
        <v>5.95</v>
      </c>
      <c r="G469">
        <v>14307</v>
      </c>
      <c r="H469" t="s">
        <v>10</v>
      </c>
    </row>
    <row r="470" spans="1:8" x14ac:dyDescent="0.25">
      <c r="A470">
        <v>536408</v>
      </c>
      <c r="B470" t="s">
        <v>80</v>
      </c>
      <c r="C470" t="s">
        <v>81</v>
      </c>
      <c r="D470">
        <v>6</v>
      </c>
      <c r="E470" s="1">
        <v>40513.486805555556</v>
      </c>
      <c r="F470">
        <v>3.75</v>
      </c>
      <c r="G470">
        <v>14307</v>
      </c>
      <c r="H470" t="s">
        <v>10</v>
      </c>
    </row>
    <row r="471" spans="1:8" x14ac:dyDescent="0.25">
      <c r="A471">
        <v>536408</v>
      </c>
      <c r="B471">
        <v>21212</v>
      </c>
      <c r="C471" t="s">
        <v>88</v>
      </c>
      <c r="D471">
        <v>24</v>
      </c>
      <c r="E471" s="1">
        <v>40513.486805555556</v>
      </c>
      <c r="F471">
        <v>0.55000000000000004</v>
      </c>
      <c r="G471">
        <v>14307</v>
      </c>
      <c r="H471" t="s">
        <v>10</v>
      </c>
    </row>
    <row r="472" spans="1:8" x14ac:dyDescent="0.25">
      <c r="A472">
        <v>536408</v>
      </c>
      <c r="B472">
        <v>21210</v>
      </c>
      <c r="C472" t="s">
        <v>373</v>
      </c>
      <c r="D472">
        <v>12</v>
      </c>
      <c r="E472" s="1">
        <v>40513.486805555556</v>
      </c>
      <c r="F472">
        <v>1.45</v>
      </c>
      <c r="G472">
        <v>14307</v>
      </c>
      <c r="H472" t="s">
        <v>10</v>
      </c>
    </row>
    <row r="473" spans="1:8" x14ac:dyDescent="0.25">
      <c r="A473">
        <v>536408</v>
      </c>
      <c r="B473">
        <v>22914</v>
      </c>
      <c r="C473" t="s">
        <v>37</v>
      </c>
      <c r="D473">
        <v>3</v>
      </c>
      <c r="E473" s="1">
        <v>40513.486805555556</v>
      </c>
      <c r="F473">
        <v>4.95</v>
      </c>
      <c r="G473">
        <v>14307</v>
      </c>
      <c r="H473" t="s">
        <v>10</v>
      </c>
    </row>
    <row r="474" spans="1:8" x14ac:dyDescent="0.25">
      <c r="A474">
        <v>536408</v>
      </c>
      <c r="B474">
        <v>22553</v>
      </c>
      <c r="C474" t="s">
        <v>225</v>
      </c>
      <c r="D474">
        <v>12</v>
      </c>
      <c r="E474" s="1">
        <v>40513.486805555556</v>
      </c>
      <c r="F474">
        <v>1.65</v>
      </c>
      <c r="G474">
        <v>14307</v>
      </c>
      <c r="H474" t="s">
        <v>10</v>
      </c>
    </row>
    <row r="475" spans="1:8" x14ac:dyDescent="0.25">
      <c r="A475">
        <v>536408</v>
      </c>
      <c r="B475">
        <v>16237</v>
      </c>
      <c r="C475" t="s">
        <v>374</v>
      </c>
      <c r="D475">
        <v>30</v>
      </c>
      <c r="E475" s="1">
        <v>40513.486805555556</v>
      </c>
      <c r="F475">
        <v>0.21</v>
      </c>
      <c r="G475">
        <v>14307</v>
      </c>
      <c r="H475" t="s">
        <v>10</v>
      </c>
    </row>
    <row r="476" spans="1:8" x14ac:dyDescent="0.25">
      <c r="A476">
        <v>536408</v>
      </c>
      <c r="B476">
        <v>22714</v>
      </c>
      <c r="C476" t="s">
        <v>375</v>
      </c>
      <c r="D476">
        <v>12</v>
      </c>
      <c r="E476" s="1">
        <v>40513.486805555556</v>
      </c>
      <c r="F476">
        <v>0.42</v>
      </c>
      <c r="G476">
        <v>14307</v>
      </c>
      <c r="H476" t="s">
        <v>10</v>
      </c>
    </row>
    <row r="477" spans="1:8" x14ac:dyDescent="0.25">
      <c r="A477">
        <v>536408</v>
      </c>
      <c r="B477">
        <v>22812</v>
      </c>
      <c r="C477" t="s">
        <v>376</v>
      </c>
      <c r="D477">
        <v>12</v>
      </c>
      <c r="E477" s="1">
        <v>40513.486805555556</v>
      </c>
      <c r="F477">
        <v>1.95</v>
      </c>
      <c r="G477">
        <v>14307</v>
      </c>
      <c r="H477" t="s">
        <v>10</v>
      </c>
    </row>
    <row r="478" spans="1:8" x14ac:dyDescent="0.25">
      <c r="A478">
        <v>536408</v>
      </c>
      <c r="B478">
        <v>84347</v>
      </c>
      <c r="C478" t="s">
        <v>377</v>
      </c>
      <c r="D478">
        <v>6</v>
      </c>
      <c r="E478" s="1">
        <v>40513.486805555556</v>
      </c>
      <c r="F478">
        <v>2.5499999999999998</v>
      </c>
      <c r="G478">
        <v>14307</v>
      </c>
      <c r="H478" t="s">
        <v>10</v>
      </c>
    </row>
    <row r="479" spans="1:8" x14ac:dyDescent="0.25">
      <c r="A479">
        <v>536408</v>
      </c>
      <c r="B479">
        <v>21587</v>
      </c>
      <c r="C479" t="s">
        <v>307</v>
      </c>
      <c r="D479">
        <v>12</v>
      </c>
      <c r="E479" s="1">
        <v>40513.486805555556</v>
      </c>
      <c r="F479">
        <v>2.5499999999999998</v>
      </c>
      <c r="G479">
        <v>14307</v>
      </c>
      <c r="H479" t="s">
        <v>10</v>
      </c>
    </row>
    <row r="480" spans="1:8" x14ac:dyDescent="0.25">
      <c r="A480">
        <v>536408</v>
      </c>
      <c r="B480">
        <v>22736</v>
      </c>
      <c r="C480" t="s">
        <v>378</v>
      </c>
      <c r="D480">
        <v>10</v>
      </c>
      <c r="E480" s="1">
        <v>40513.486805555556</v>
      </c>
      <c r="F480">
        <v>1.65</v>
      </c>
      <c r="G480">
        <v>14307</v>
      </c>
      <c r="H480" t="s">
        <v>10</v>
      </c>
    </row>
    <row r="481" spans="1:8" x14ac:dyDescent="0.25">
      <c r="A481">
        <v>536408</v>
      </c>
      <c r="B481">
        <v>22492</v>
      </c>
      <c r="C481" t="s">
        <v>58</v>
      </c>
      <c r="D481">
        <v>36</v>
      </c>
      <c r="E481" s="1">
        <v>40513.486805555556</v>
      </c>
      <c r="F481">
        <v>0.65</v>
      </c>
      <c r="G481">
        <v>14307</v>
      </c>
      <c r="H481" t="s">
        <v>10</v>
      </c>
    </row>
    <row r="482" spans="1:8" x14ac:dyDescent="0.25">
      <c r="A482">
        <v>536408</v>
      </c>
      <c r="B482">
        <v>22620</v>
      </c>
      <c r="C482" t="s">
        <v>379</v>
      </c>
      <c r="D482">
        <v>12</v>
      </c>
      <c r="E482" s="1">
        <v>40513.486805555556</v>
      </c>
      <c r="F482">
        <v>1.25</v>
      </c>
      <c r="G482">
        <v>14307</v>
      </c>
      <c r="H482" t="s">
        <v>10</v>
      </c>
    </row>
    <row r="483" spans="1:8" x14ac:dyDescent="0.25">
      <c r="A483">
        <v>536408</v>
      </c>
      <c r="B483">
        <v>22619</v>
      </c>
      <c r="C483" t="s">
        <v>227</v>
      </c>
      <c r="D483">
        <v>4</v>
      </c>
      <c r="E483" s="1">
        <v>40513.486805555556</v>
      </c>
      <c r="F483">
        <v>3.75</v>
      </c>
      <c r="G483">
        <v>14307</v>
      </c>
      <c r="H483" t="s">
        <v>10</v>
      </c>
    </row>
    <row r="484" spans="1:8" x14ac:dyDescent="0.25">
      <c r="A484">
        <v>536408</v>
      </c>
      <c r="B484">
        <v>21705</v>
      </c>
      <c r="C484" t="s">
        <v>380</v>
      </c>
      <c r="D484">
        <v>12</v>
      </c>
      <c r="E484" s="1">
        <v>40513.486805555556</v>
      </c>
      <c r="F484">
        <v>1.65</v>
      </c>
      <c r="G484">
        <v>14307</v>
      </c>
      <c r="H484" t="s">
        <v>10</v>
      </c>
    </row>
    <row r="485" spans="1:8" x14ac:dyDescent="0.25">
      <c r="A485">
        <v>536409</v>
      </c>
      <c r="B485" t="s">
        <v>381</v>
      </c>
      <c r="C485" t="s">
        <v>382</v>
      </c>
      <c r="D485">
        <v>3</v>
      </c>
      <c r="E485" s="1">
        <v>40513.489583333336</v>
      </c>
      <c r="F485">
        <v>6.35</v>
      </c>
      <c r="G485">
        <v>17908</v>
      </c>
      <c r="H485" t="s">
        <v>10</v>
      </c>
    </row>
    <row r="486" spans="1:8" x14ac:dyDescent="0.25">
      <c r="A486">
        <v>536409</v>
      </c>
      <c r="B486">
        <v>21479</v>
      </c>
      <c r="C486" t="s">
        <v>260</v>
      </c>
      <c r="D486">
        <v>1</v>
      </c>
      <c r="E486" s="1">
        <v>40513.489583333336</v>
      </c>
      <c r="F486">
        <v>3.75</v>
      </c>
      <c r="G486">
        <v>17908</v>
      </c>
      <c r="H486" t="s">
        <v>10</v>
      </c>
    </row>
    <row r="487" spans="1:8" x14ac:dyDescent="0.25">
      <c r="A487">
        <v>536409</v>
      </c>
      <c r="B487">
        <v>22111</v>
      </c>
      <c r="C487" t="s">
        <v>261</v>
      </c>
      <c r="D487">
        <v>1</v>
      </c>
      <c r="E487" s="1">
        <v>40513.489583333336</v>
      </c>
      <c r="F487">
        <v>4.95</v>
      </c>
      <c r="G487">
        <v>17908</v>
      </c>
      <c r="H487" t="s">
        <v>10</v>
      </c>
    </row>
    <row r="488" spans="1:8" x14ac:dyDescent="0.25">
      <c r="A488">
        <v>536409</v>
      </c>
      <c r="B488">
        <v>22785</v>
      </c>
      <c r="C488" t="s">
        <v>383</v>
      </c>
      <c r="D488">
        <v>1</v>
      </c>
      <c r="E488" s="1">
        <v>40513.489583333336</v>
      </c>
      <c r="F488">
        <v>6.75</v>
      </c>
      <c r="G488">
        <v>17908</v>
      </c>
      <c r="H488" t="s">
        <v>10</v>
      </c>
    </row>
    <row r="489" spans="1:8" x14ac:dyDescent="0.25">
      <c r="A489">
        <v>536409</v>
      </c>
      <c r="B489">
        <v>22975</v>
      </c>
      <c r="C489" t="s">
        <v>384</v>
      </c>
      <c r="D489">
        <v>1</v>
      </c>
      <c r="E489" s="1">
        <v>40513.489583333336</v>
      </c>
      <c r="F489">
        <v>1.25</v>
      </c>
      <c r="G489">
        <v>17908</v>
      </c>
      <c r="H489" t="s">
        <v>10</v>
      </c>
    </row>
    <row r="490" spans="1:8" x14ac:dyDescent="0.25">
      <c r="A490">
        <v>536409</v>
      </c>
      <c r="B490">
        <v>22972</v>
      </c>
      <c r="C490" t="s">
        <v>385</v>
      </c>
      <c r="D490">
        <v>1</v>
      </c>
      <c r="E490" s="1">
        <v>40513.489583333336</v>
      </c>
      <c r="F490">
        <v>1.65</v>
      </c>
      <c r="G490">
        <v>17908</v>
      </c>
      <c r="H490" t="s">
        <v>10</v>
      </c>
    </row>
    <row r="491" spans="1:8" x14ac:dyDescent="0.25">
      <c r="A491">
        <v>536409</v>
      </c>
      <c r="B491">
        <v>22866</v>
      </c>
      <c r="C491" t="s">
        <v>237</v>
      </c>
      <c r="D491">
        <v>1</v>
      </c>
      <c r="E491" s="1">
        <v>40513.489583333336</v>
      </c>
      <c r="F491">
        <v>2.1</v>
      </c>
      <c r="G491">
        <v>17908</v>
      </c>
      <c r="H491" t="s">
        <v>10</v>
      </c>
    </row>
    <row r="492" spans="1:8" x14ac:dyDescent="0.25">
      <c r="A492">
        <v>536409</v>
      </c>
      <c r="B492">
        <v>22568</v>
      </c>
      <c r="C492" t="s">
        <v>386</v>
      </c>
      <c r="D492">
        <v>1</v>
      </c>
      <c r="E492" s="1">
        <v>40513.489583333336</v>
      </c>
      <c r="F492">
        <v>3.75</v>
      </c>
      <c r="G492">
        <v>17908</v>
      </c>
      <c r="H492" t="s">
        <v>10</v>
      </c>
    </row>
    <row r="493" spans="1:8" x14ac:dyDescent="0.25">
      <c r="A493">
        <v>536409</v>
      </c>
      <c r="B493">
        <v>85116</v>
      </c>
      <c r="C493" t="s">
        <v>387</v>
      </c>
      <c r="D493">
        <v>1</v>
      </c>
      <c r="E493" s="1">
        <v>40513.489583333336</v>
      </c>
      <c r="F493">
        <v>2.1</v>
      </c>
      <c r="G493">
        <v>17908</v>
      </c>
      <c r="H493" t="s">
        <v>10</v>
      </c>
    </row>
    <row r="494" spans="1:8" x14ac:dyDescent="0.25">
      <c r="A494">
        <v>536409</v>
      </c>
      <c r="B494">
        <v>22664</v>
      </c>
      <c r="C494" t="s">
        <v>388</v>
      </c>
      <c r="D494">
        <v>1</v>
      </c>
      <c r="E494" s="1">
        <v>40513.489583333336</v>
      </c>
      <c r="F494">
        <v>2.1</v>
      </c>
      <c r="G494">
        <v>17908</v>
      </c>
      <c r="H494" t="s">
        <v>10</v>
      </c>
    </row>
    <row r="495" spans="1:8" x14ac:dyDescent="0.25">
      <c r="A495">
        <v>536409</v>
      </c>
      <c r="B495">
        <v>21609</v>
      </c>
      <c r="C495" t="s">
        <v>389</v>
      </c>
      <c r="D495">
        <v>1</v>
      </c>
      <c r="E495" s="1">
        <v>40513.489583333336</v>
      </c>
      <c r="F495">
        <v>2.95</v>
      </c>
      <c r="G495">
        <v>17908</v>
      </c>
      <c r="H495" t="s">
        <v>10</v>
      </c>
    </row>
    <row r="496" spans="1:8" x14ac:dyDescent="0.25">
      <c r="A496">
        <v>536409</v>
      </c>
      <c r="B496">
        <v>21866</v>
      </c>
      <c r="C496" t="s">
        <v>390</v>
      </c>
      <c r="D496">
        <v>1</v>
      </c>
      <c r="E496" s="1">
        <v>40513.489583333336</v>
      </c>
      <c r="F496">
        <v>1.25</v>
      </c>
      <c r="G496">
        <v>17908</v>
      </c>
      <c r="H496" t="s">
        <v>10</v>
      </c>
    </row>
    <row r="497" spans="1:8" x14ac:dyDescent="0.25">
      <c r="A497">
        <v>536409</v>
      </c>
      <c r="B497">
        <v>20669</v>
      </c>
      <c r="C497" t="s">
        <v>391</v>
      </c>
      <c r="D497">
        <v>1</v>
      </c>
      <c r="E497" s="1">
        <v>40513.489583333336</v>
      </c>
      <c r="F497">
        <v>1.25</v>
      </c>
      <c r="G497">
        <v>17908</v>
      </c>
      <c r="H497" t="s">
        <v>10</v>
      </c>
    </row>
    <row r="498" spans="1:8" x14ac:dyDescent="0.25">
      <c r="A498">
        <v>536409</v>
      </c>
      <c r="B498" t="s">
        <v>392</v>
      </c>
      <c r="C498" t="s">
        <v>393</v>
      </c>
      <c r="D498">
        <v>1</v>
      </c>
      <c r="E498" s="1">
        <v>40513.489583333336</v>
      </c>
      <c r="F498">
        <v>2.95</v>
      </c>
      <c r="G498">
        <v>17908</v>
      </c>
      <c r="H498" t="s">
        <v>10</v>
      </c>
    </row>
    <row r="499" spans="1:8" x14ac:dyDescent="0.25">
      <c r="A499">
        <v>536409</v>
      </c>
      <c r="B499" t="s">
        <v>394</v>
      </c>
      <c r="C499" t="s">
        <v>395</v>
      </c>
      <c r="D499">
        <v>1</v>
      </c>
      <c r="E499" s="1">
        <v>40513.489583333336</v>
      </c>
      <c r="F499">
        <v>2.95</v>
      </c>
      <c r="G499">
        <v>17908</v>
      </c>
      <c r="H499" t="s">
        <v>10</v>
      </c>
    </row>
    <row r="500" spans="1:8" x14ac:dyDescent="0.25">
      <c r="A500">
        <v>536409</v>
      </c>
      <c r="B500" t="s">
        <v>381</v>
      </c>
      <c r="C500" t="s">
        <v>382</v>
      </c>
      <c r="D500">
        <v>1</v>
      </c>
      <c r="E500" s="1">
        <v>40513.489583333336</v>
      </c>
      <c r="F500">
        <v>6.35</v>
      </c>
      <c r="G500">
        <v>17908</v>
      </c>
      <c r="H500" t="s">
        <v>10</v>
      </c>
    </row>
    <row r="501" spans="1:8" x14ac:dyDescent="0.25">
      <c r="A501">
        <v>536409</v>
      </c>
      <c r="B501">
        <v>21955</v>
      </c>
      <c r="C501" t="s">
        <v>396</v>
      </c>
      <c r="D501">
        <v>1</v>
      </c>
      <c r="E501" s="1">
        <v>40513.489583333336</v>
      </c>
      <c r="F501">
        <v>7.95</v>
      </c>
      <c r="G501">
        <v>17908</v>
      </c>
      <c r="H501" t="s">
        <v>10</v>
      </c>
    </row>
    <row r="502" spans="1:8" x14ac:dyDescent="0.25">
      <c r="A502">
        <v>536409</v>
      </c>
      <c r="B502" t="s">
        <v>397</v>
      </c>
      <c r="C502" t="s">
        <v>398</v>
      </c>
      <c r="D502">
        <v>1</v>
      </c>
      <c r="E502" s="1">
        <v>40513.489583333336</v>
      </c>
      <c r="F502">
        <v>4.25</v>
      </c>
      <c r="G502">
        <v>17908</v>
      </c>
      <c r="H502" t="s">
        <v>10</v>
      </c>
    </row>
    <row r="503" spans="1:8" x14ac:dyDescent="0.25">
      <c r="A503">
        <v>536409</v>
      </c>
      <c r="B503">
        <v>22109</v>
      </c>
      <c r="C503" t="s">
        <v>399</v>
      </c>
      <c r="D503">
        <v>1</v>
      </c>
      <c r="E503" s="1">
        <v>40513.489583333336</v>
      </c>
      <c r="F503">
        <v>3.75</v>
      </c>
      <c r="G503">
        <v>17908</v>
      </c>
      <c r="H503" t="s">
        <v>10</v>
      </c>
    </row>
    <row r="504" spans="1:8" x14ac:dyDescent="0.25">
      <c r="A504">
        <v>536409</v>
      </c>
      <c r="B504">
        <v>85116</v>
      </c>
      <c r="C504" t="s">
        <v>387</v>
      </c>
      <c r="D504">
        <v>5</v>
      </c>
      <c r="E504" s="1">
        <v>40513.489583333336</v>
      </c>
      <c r="F504">
        <v>2.1</v>
      </c>
      <c r="G504">
        <v>17908</v>
      </c>
      <c r="H504" t="s">
        <v>10</v>
      </c>
    </row>
    <row r="505" spans="1:8" x14ac:dyDescent="0.25">
      <c r="A505">
        <v>536409</v>
      </c>
      <c r="B505">
        <v>22531</v>
      </c>
      <c r="C505" t="s">
        <v>400</v>
      </c>
      <c r="D505">
        <v>1</v>
      </c>
      <c r="E505" s="1">
        <v>40513.489583333336</v>
      </c>
      <c r="F505">
        <v>0.42</v>
      </c>
      <c r="G505">
        <v>17908</v>
      </c>
      <c r="H505" t="s">
        <v>10</v>
      </c>
    </row>
    <row r="506" spans="1:8" x14ac:dyDescent="0.25">
      <c r="A506">
        <v>536409</v>
      </c>
      <c r="B506">
        <v>21811</v>
      </c>
      <c r="C506" t="s">
        <v>401</v>
      </c>
      <c r="D506">
        <v>1</v>
      </c>
      <c r="E506" s="1">
        <v>40513.489583333336</v>
      </c>
      <c r="F506">
        <v>1.25</v>
      </c>
      <c r="G506">
        <v>17908</v>
      </c>
      <c r="H506" t="s">
        <v>10</v>
      </c>
    </row>
    <row r="507" spans="1:8" x14ac:dyDescent="0.25">
      <c r="A507">
        <v>536409</v>
      </c>
      <c r="B507">
        <v>22183</v>
      </c>
      <c r="C507" t="s">
        <v>402</v>
      </c>
      <c r="D507">
        <v>1</v>
      </c>
      <c r="E507" s="1">
        <v>40513.489583333336</v>
      </c>
      <c r="F507">
        <v>6.75</v>
      </c>
      <c r="G507">
        <v>17908</v>
      </c>
      <c r="H507" t="s">
        <v>10</v>
      </c>
    </row>
    <row r="508" spans="1:8" x14ac:dyDescent="0.25">
      <c r="A508">
        <v>536409</v>
      </c>
      <c r="B508">
        <v>21678</v>
      </c>
      <c r="C508" t="s">
        <v>403</v>
      </c>
      <c r="D508">
        <v>6</v>
      </c>
      <c r="E508" s="1">
        <v>40513.489583333336</v>
      </c>
      <c r="F508">
        <v>0.85</v>
      </c>
      <c r="G508">
        <v>17908</v>
      </c>
      <c r="H508" t="s">
        <v>10</v>
      </c>
    </row>
    <row r="509" spans="1:8" x14ac:dyDescent="0.25">
      <c r="A509">
        <v>536409</v>
      </c>
      <c r="B509">
        <v>21676</v>
      </c>
      <c r="C509" t="s">
        <v>404</v>
      </c>
      <c r="D509">
        <v>6</v>
      </c>
      <c r="E509" s="1">
        <v>40513.489583333336</v>
      </c>
      <c r="F509">
        <v>0.85</v>
      </c>
      <c r="G509">
        <v>17908</v>
      </c>
      <c r="H509" t="s">
        <v>10</v>
      </c>
    </row>
    <row r="510" spans="1:8" x14ac:dyDescent="0.25">
      <c r="A510">
        <v>536409</v>
      </c>
      <c r="B510" t="s">
        <v>317</v>
      </c>
      <c r="C510" t="s">
        <v>318</v>
      </c>
      <c r="D510">
        <v>1</v>
      </c>
      <c r="E510" s="1">
        <v>40513.489583333336</v>
      </c>
      <c r="F510">
        <v>2.95</v>
      </c>
      <c r="G510">
        <v>17908</v>
      </c>
      <c r="H510" t="s">
        <v>10</v>
      </c>
    </row>
    <row r="511" spans="1:8" x14ac:dyDescent="0.25">
      <c r="A511">
        <v>536409</v>
      </c>
      <c r="B511" t="s">
        <v>315</v>
      </c>
      <c r="C511" t="s">
        <v>316</v>
      </c>
      <c r="D511">
        <v>3</v>
      </c>
      <c r="E511" s="1">
        <v>40513.489583333336</v>
      </c>
      <c r="F511">
        <v>2.95</v>
      </c>
      <c r="G511">
        <v>17908</v>
      </c>
      <c r="H511" t="s">
        <v>10</v>
      </c>
    </row>
    <row r="512" spans="1:8" x14ac:dyDescent="0.25">
      <c r="A512">
        <v>536409</v>
      </c>
      <c r="B512">
        <v>21931</v>
      </c>
      <c r="C512" t="s">
        <v>98</v>
      </c>
      <c r="D512">
        <v>2</v>
      </c>
      <c r="E512" s="1">
        <v>40513.489583333336</v>
      </c>
      <c r="F512">
        <v>1.95</v>
      </c>
      <c r="G512">
        <v>17908</v>
      </c>
      <c r="H512" t="s">
        <v>10</v>
      </c>
    </row>
    <row r="513" spans="1:8" x14ac:dyDescent="0.25">
      <c r="A513">
        <v>536409</v>
      </c>
      <c r="B513" t="s">
        <v>405</v>
      </c>
      <c r="C513" t="s">
        <v>406</v>
      </c>
      <c r="D513">
        <v>12</v>
      </c>
      <c r="E513" s="1">
        <v>40513.489583333336</v>
      </c>
      <c r="F513">
        <v>1.25</v>
      </c>
      <c r="G513">
        <v>17908</v>
      </c>
      <c r="H513" t="s">
        <v>10</v>
      </c>
    </row>
    <row r="514" spans="1:8" x14ac:dyDescent="0.25">
      <c r="A514">
        <v>536409</v>
      </c>
      <c r="B514">
        <v>16238</v>
      </c>
      <c r="C514" t="s">
        <v>407</v>
      </c>
      <c r="D514">
        <v>28</v>
      </c>
      <c r="E514" s="1">
        <v>40513.489583333336</v>
      </c>
      <c r="F514">
        <v>0.21</v>
      </c>
      <c r="G514">
        <v>17908</v>
      </c>
      <c r="H514" t="s">
        <v>10</v>
      </c>
    </row>
    <row r="515" spans="1:8" x14ac:dyDescent="0.25">
      <c r="A515">
        <v>536409</v>
      </c>
      <c r="B515">
        <v>20668</v>
      </c>
      <c r="C515" t="s">
        <v>207</v>
      </c>
      <c r="D515">
        <v>24</v>
      </c>
      <c r="E515" s="1">
        <v>40513.489583333336</v>
      </c>
      <c r="F515">
        <v>0.12</v>
      </c>
      <c r="G515">
        <v>17908</v>
      </c>
      <c r="H515" t="s">
        <v>10</v>
      </c>
    </row>
    <row r="516" spans="1:8" x14ac:dyDescent="0.25">
      <c r="A516">
        <v>536409</v>
      </c>
      <c r="B516">
        <v>84906</v>
      </c>
      <c r="C516" t="s">
        <v>408</v>
      </c>
      <c r="D516">
        <v>1</v>
      </c>
      <c r="E516" s="1">
        <v>40513.489583333336</v>
      </c>
      <c r="F516">
        <v>5.95</v>
      </c>
      <c r="G516">
        <v>17908</v>
      </c>
      <c r="H516" t="s">
        <v>10</v>
      </c>
    </row>
    <row r="517" spans="1:8" x14ac:dyDescent="0.25">
      <c r="A517">
        <v>536409</v>
      </c>
      <c r="B517">
        <v>21867</v>
      </c>
      <c r="C517" t="s">
        <v>409</v>
      </c>
      <c r="D517">
        <v>1</v>
      </c>
      <c r="E517" s="1">
        <v>40513.489583333336</v>
      </c>
      <c r="F517">
        <v>1.25</v>
      </c>
      <c r="G517">
        <v>17908</v>
      </c>
      <c r="H517" t="s">
        <v>10</v>
      </c>
    </row>
    <row r="518" spans="1:8" x14ac:dyDescent="0.25">
      <c r="A518">
        <v>536409</v>
      </c>
      <c r="B518">
        <v>22075</v>
      </c>
      <c r="C518" t="s">
        <v>410</v>
      </c>
      <c r="D518">
        <v>1</v>
      </c>
      <c r="E518" s="1">
        <v>40513.489583333336</v>
      </c>
      <c r="F518">
        <v>1.65</v>
      </c>
      <c r="G518">
        <v>17908</v>
      </c>
      <c r="H518" t="s">
        <v>10</v>
      </c>
    </row>
    <row r="519" spans="1:8" x14ac:dyDescent="0.25">
      <c r="A519">
        <v>536409</v>
      </c>
      <c r="B519">
        <v>21866</v>
      </c>
      <c r="C519" t="s">
        <v>390</v>
      </c>
      <c r="D519">
        <v>1</v>
      </c>
      <c r="E519" s="1">
        <v>40513.489583333336</v>
      </c>
      <c r="F519">
        <v>1.25</v>
      </c>
      <c r="G519">
        <v>17908</v>
      </c>
      <c r="H519" t="s">
        <v>10</v>
      </c>
    </row>
    <row r="520" spans="1:8" x14ac:dyDescent="0.25">
      <c r="A520">
        <v>536409</v>
      </c>
      <c r="B520">
        <v>21326</v>
      </c>
      <c r="C520" t="s">
        <v>411</v>
      </c>
      <c r="D520">
        <v>12</v>
      </c>
      <c r="E520" s="1">
        <v>40513.489583333336</v>
      </c>
      <c r="F520">
        <v>0.65</v>
      </c>
      <c r="G520">
        <v>17908</v>
      </c>
      <c r="H520" t="s">
        <v>10</v>
      </c>
    </row>
    <row r="521" spans="1:8" x14ac:dyDescent="0.25">
      <c r="A521">
        <v>536409</v>
      </c>
      <c r="B521">
        <v>21065</v>
      </c>
      <c r="C521" t="s">
        <v>412</v>
      </c>
      <c r="D521">
        <v>1</v>
      </c>
      <c r="E521" s="1">
        <v>40513.489583333336</v>
      </c>
      <c r="F521">
        <v>5.95</v>
      </c>
      <c r="G521">
        <v>17908</v>
      </c>
      <c r="H521" t="s">
        <v>10</v>
      </c>
    </row>
    <row r="522" spans="1:8" x14ac:dyDescent="0.25">
      <c r="A522">
        <v>536409</v>
      </c>
      <c r="B522">
        <v>22074</v>
      </c>
      <c r="C522" t="s">
        <v>413</v>
      </c>
      <c r="D522">
        <v>1</v>
      </c>
      <c r="E522" s="1">
        <v>40513.489583333336</v>
      </c>
      <c r="F522">
        <v>1.65</v>
      </c>
      <c r="G522">
        <v>17908</v>
      </c>
      <c r="H522" t="s">
        <v>10</v>
      </c>
    </row>
    <row r="523" spans="1:8" x14ac:dyDescent="0.25">
      <c r="A523">
        <v>536409</v>
      </c>
      <c r="B523">
        <v>22900</v>
      </c>
      <c r="C523" t="s">
        <v>54</v>
      </c>
      <c r="D523">
        <v>1</v>
      </c>
      <c r="E523" s="1">
        <v>40513.489583333336</v>
      </c>
      <c r="F523">
        <v>2.95</v>
      </c>
      <c r="G523">
        <v>17908</v>
      </c>
      <c r="H523" t="s">
        <v>10</v>
      </c>
    </row>
    <row r="524" spans="1:8" x14ac:dyDescent="0.25">
      <c r="A524">
        <v>536409</v>
      </c>
      <c r="B524">
        <v>20713</v>
      </c>
      <c r="C524" t="s">
        <v>414</v>
      </c>
      <c r="D524">
        <v>1</v>
      </c>
      <c r="E524" s="1">
        <v>40513.489583333336</v>
      </c>
      <c r="F524">
        <v>1.95</v>
      </c>
      <c r="G524">
        <v>17908</v>
      </c>
      <c r="H524" t="s">
        <v>10</v>
      </c>
    </row>
    <row r="525" spans="1:8" x14ac:dyDescent="0.25">
      <c r="A525">
        <v>536409</v>
      </c>
      <c r="B525">
        <v>20966</v>
      </c>
      <c r="C525" t="s">
        <v>298</v>
      </c>
      <c r="D525">
        <v>2</v>
      </c>
      <c r="E525" s="1">
        <v>40513.489583333336</v>
      </c>
      <c r="F525">
        <v>1.25</v>
      </c>
      <c r="G525">
        <v>17908</v>
      </c>
      <c r="H525" t="s">
        <v>10</v>
      </c>
    </row>
    <row r="526" spans="1:8" x14ac:dyDescent="0.25">
      <c r="A526">
        <v>536409</v>
      </c>
      <c r="B526">
        <v>21116</v>
      </c>
      <c r="C526" t="s">
        <v>415</v>
      </c>
      <c r="D526">
        <v>1</v>
      </c>
      <c r="E526" s="1">
        <v>40513.489583333336</v>
      </c>
      <c r="F526">
        <v>4.95</v>
      </c>
      <c r="G526">
        <v>17908</v>
      </c>
      <c r="H526" t="s">
        <v>10</v>
      </c>
    </row>
    <row r="527" spans="1:8" x14ac:dyDescent="0.25">
      <c r="A527">
        <v>536409</v>
      </c>
      <c r="B527" t="s">
        <v>381</v>
      </c>
      <c r="C527" t="s">
        <v>382</v>
      </c>
      <c r="D527">
        <v>2</v>
      </c>
      <c r="E527" s="1">
        <v>40513.489583333336</v>
      </c>
      <c r="F527">
        <v>6.35</v>
      </c>
      <c r="G527">
        <v>17908</v>
      </c>
      <c r="H527" t="s">
        <v>10</v>
      </c>
    </row>
    <row r="528" spans="1:8" x14ac:dyDescent="0.25">
      <c r="A528">
        <v>536409</v>
      </c>
      <c r="B528">
        <v>22633</v>
      </c>
      <c r="C528" t="s">
        <v>20</v>
      </c>
      <c r="D528">
        <v>1</v>
      </c>
      <c r="E528" s="1">
        <v>40513.489583333336</v>
      </c>
      <c r="F528">
        <v>2.1</v>
      </c>
      <c r="G528">
        <v>17908</v>
      </c>
      <c r="H528" t="s">
        <v>10</v>
      </c>
    </row>
    <row r="529" spans="1:8" x14ac:dyDescent="0.25">
      <c r="A529">
        <v>536409</v>
      </c>
      <c r="B529">
        <v>22866</v>
      </c>
      <c r="C529" t="s">
        <v>237</v>
      </c>
      <c r="D529">
        <v>1</v>
      </c>
      <c r="E529" s="1">
        <v>40513.489583333336</v>
      </c>
      <c r="F529">
        <v>2.1</v>
      </c>
      <c r="G529">
        <v>17908</v>
      </c>
      <c r="H529" t="s">
        <v>10</v>
      </c>
    </row>
    <row r="530" spans="1:8" x14ac:dyDescent="0.25">
      <c r="A530">
        <v>536409</v>
      </c>
      <c r="B530">
        <v>22198</v>
      </c>
      <c r="C530" t="s">
        <v>209</v>
      </c>
      <c r="D530">
        <v>1</v>
      </c>
      <c r="E530" s="1">
        <v>40513.489583333336</v>
      </c>
      <c r="F530">
        <v>1.65</v>
      </c>
      <c r="G530">
        <v>17908</v>
      </c>
      <c r="H530" t="s">
        <v>10</v>
      </c>
    </row>
    <row r="531" spans="1:8" x14ac:dyDescent="0.25">
      <c r="A531">
        <v>536409</v>
      </c>
      <c r="B531">
        <v>21824</v>
      </c>
      <c r="C531" t="s">
        <v>416</v>
      </c>
      <c r="D531">
        <v>3</v>
      </c>
      <c r="E531" s="1">
        <v>40513.489583333336</v>
      </c>
      <c r="F531">
        <v>1.45</v>
      </c>
      <c r="G531">
        <v>17908</v>
      </c>
      <c r="H531" t="s">
        <v>10</v>
      </c>
    </row>
    <row r="532" spans="1:8" x14ac:dyDescent="0.25">
      <c r="A532">
        <v>536409</v>
      </c>
      <c r="B532">
        <v>21823</v>
      </c>
      <c r="C532" t="s">
        <v>417</v>
      </c>
      <c r="D532">
        <v>3</v>
      </c>
      <c r="E532" s="1">
        <v>40513.489583333336</v>
      </c>
      <c r="F532">
        <v>1.45</v>
      </c>
      <c r="G532">
        <v>17908</v>
      </c>
      <c r="H532" t="s">
        <v>10</v>
      </c>
    </row>
    <row r="533" spans="1:8" x14ac:dyDescent="0.25">
      <c r="A533">
        <v>536409</v>
      </c>
      <c r="B533">
        <v>22153</v>
      </c>
      <c r="C533" t="s">
        <v>418</v>
      </c>
      <c r="D533">
        <v>6</v>
      </c>
      <c r="E533" s="1">
        <v>40513.489583333336</v>
      </c>
      <c r="F533">
        <v>0.42</v>
      </c>
      <c r="G533">
        <v>17908</v>
      </c>
      <c r="H533" t="s">
        <v>10</v>
      </c>
    </row>
    <row r="534" spans="1:8" x14ac:dyDescent="0.25">
      <c r="A534">
        <v>536409</v>
      </c>
      <c r="B534">
        <v>22197</v>
      </c>
      <c r="C534" t="s">
        <v>208</v>
      </c>
      <c r="D534">
        <v>2</v>
      </c>
      <c r="E534" s="1">
        <v>40513.489583333336</v>
      </c>
      <c r="F534">
        <v>0.85</v>
      </c>
      <c r="G534">
        <v>17908</v>
      </c>
      <c r="H534" t="s">
        <v>10</v>
      </c>
    </row>
    <row r="535" spans="1:8" x14ac:dyDescent="0.25">
      <c r="A535">
        <v>536409</v>
      </c>
      <c r="B535" t="s">
        <v>172</v>
      </c>
      <c r="C535" t="s">
        <v>173</v>
      </c>
      <c r="D535">
        <v>2</v>
      </c>
      <c r="E535" s="1">
        <v>40513.489583333336</v>
      </c>
      <c r="F535">
        <v>1.95</v>
      </c>
      <c r="G535">
        <v>17908</v>
      </c>
      <c r="H535" t="s">
        <v>10</v>
      </c>
    </row>
    <row r="536" spans="1:8" x14ac:dyDescent="0.25">
      <c r="A536">
        <v>536409</v>
      </c>
      <c r="B536" t="s">
        <v>419</v>
      </c>
      <c r="C536" t="s">
        <v>420</v>
      </c>
      <c r="D536">
        <v>1</v>
      </c>
      <c r="E536" s="1">
        <v>40513.489583333336</v>
      </c>
      <c r="F536">
        <v>1.95</v>
      </c>
      <c r="G536">
        <v>17908</v>
      </c>
      <c r="H536" t="s">
        <v>10</v>
      </c>
    </row>
    <row r="537" spans="1:8" x14ac:dyDescent="0.25">
      <c r="A537">
        <v>536409</v>
      </c>
      <c r="B537">
        <v>20717</v>
      </c>
      <c r="C537" t="s">
        <v>421</v>
      </c>
      <c r="D537">
        <v>1</v>
      </c>
      <c r="E537" s="1">
        <v>40513.489583333336</v>
      </c>
      <c r="F537">
        <v>1.25</v>
      </c>
      <c r="G537">
        <v>17908</v>
      </c>
      <c r="H537" t="s">
        <v>10</v>
      </c>
    </row>
    <row r="538" spans="1:8" x14ac:dyDescent="0.25">
      <c r="A538">
        <v>536409</v>
      </c>
      <c r="B538">
        <v>20723</v>
      </c>
      <c r="C538" t="s">
        <v>79</v>
      </c>
      <c r="D538">
        <v>1</v>
      </c>
      <c r="E538" s="1">
        <v>40513.489583333336</v>
      </c>
      <c r="F538">
        <v>0.85</v>
      </c>
      <c r="G538">
        <v>17908</v>
      </c>
      <c r="H538" t="s">
        <v>10</v>
      </c>
    </row>
    <row r="539" spans="1:8" x14ac:dyDescent="0.25">
      <c r="A539">
        <v>536409</v>
      </c>
      <c r="B539">
        <v>22900</v>
      </c>
      <c r="C539" t="s">
        <v>54</v>
      </c>
      <c r="D539">
        <v>1</v>
      </c>
      <c r="E539" s="1">
        <v>40513.489583333336</v>
      </c>
      <c r="F539">
        <v>2.95</v>
      </c>
      <c r="G539">
        <v>17908</v>
      </c>
      <c r="H539" t="s">
        <v>10</v>
      </c>
    </row>
    <row r="540" spans="1:8" x14ac:dyDescent="0.25">
      <c r="A540">
        <v>536409</v>
      </c>
      <c r="B540">
        <v>21980</v>
      </c>
      <c r="C540" t="s">
        <v>222</v>
      </c>
      <c r="D540">
        <v>12</v>
      </c>
      <c r="E540" s="1">
        <v>40513.489583333336</v>
      </c>
      <c r="F540">
        <v>0.28999999999999998</v>
      </c>
      <c r="G540">
        <v>17908</v>
      </c>
      <c r="H540" t="s">
        <v>10</v>
      </c>
    </row>
    <row r="541" spans="1:8" x14ac:dyDescent="0.25">
      <c r="A541">
        <v>536409</v>
      </c>
      <c r="B541">
        <v>22111</v>
      </c>
      <c r="C541" t="s">
        <v>261</v>
      </c>
      <c r="D541">
        <v>1</v>
      </c>
      <c r="E541" s="1">
        <v>40513.489583333336</v>
      </c>
      <c r="F541">
        <v>4.95</v>
      </c>
      <c r="G541">
        <v>17908</v>
      </c>
      <c r="H541" t="s">
        <v>10</v>
      </c>
    </row>
    <row r="542" spans="1:8" x14ac:dyDescent="0.25">
      <c r="A542">
        <v>536409</v>
      </c>
      <c r="B542">
        <v>22112</v>
      </c>
      <c r="C542" t="s">
        <v>259</v>
      </c>
      <c r="D542">
        <v>1</v>
      </c>
      <c r="E542" s="1">
        <v>40513.489583333336</v>
      </c>
      <c r="F542">
        <v>4.95</v>
      </c>
      <c r="G542">
        <v>17908</v>
      </c>
      <c r="H542" t="s">
        <v>10</v>
      </c>
    </row>
    <row r="543" spans="1:8" x14ac:dyDescent="0.25">
      <c r="A543">
        <v>536412</v>
      </c>
      <c r="B543">
        <v>20728</v>
      </c>
      <c r="C543" t="s">
        <v>347</v>
      </c>
      <c r="D543">
        <v>3</v>
      </c>
      <c r="E543" s="1">
        <v>40513.492361111108</v>
      </c>
      <c r="F543">
        <v>1.65</v>
      </c>
      <c r="G543">
        <v>17920</v>
      </c>
      <c r="H543" t="s">
        <v>10</v>
      </c>
    </row>
    <row r="544" spans="1:8" x14ac:dyDescent="0.25">
      <c r="A544">
        <v>536412</v>
      </c>
      <c r="B544">
        <v>22382</v>
      </c>
      <c r="C544" t="s">
        <v>311</v>
      </c>
      <c r="D544">
        <v>3</v>
      </c>
      <c r="E544" s="1">
        <v>40513.492361111108</v>
      </c>
      <c r="F544">
        <v>1.65</v>
      </c>
      <c r="G544">
        <v>17920</v>
      </c>
      <c r="H544" t="s">
        <v>10</v>
      </c>
    </row>
    <row r="545" spans="1:8" x14ac:dyDescent="0.25">
      <c r="A545">
        <v>536412</v>
      </c>
      <c r="B545">
        <v>22326</v>
      </c>
      <c r="C545" t="s">
        <v>48</v>
      </c>
      <c r="D545">
        <v>1</v>
      </c>
      <c r="E545" s="1">
        <v>40513.492361111108</v>
      </c>
      <c r="F545">
        <v>2.95</v>
      </c>
      <c r="G545">
        <v>17920</v>
      </c>
      <c r="H545" t="s">
        <v>10</v>
      </c>
    </row>
    <row r="546" spans="1:8" x14ac:dyDescent="0.25">
      <c r="A546">
        <v>536412</v>
      </c>
      <c r="B546">
        <v>22662</v>
      </c>
      <c r="C546" t="s">
        <v>170</v>
      </c>
      <c r="D546">
        <v>4</v>
      </c>
      <c r="E546" s="1">
        <v>40513.492361111108</v>
      </c>
      <c r="F546">
        <v>1.65</v>
      </c>
      <c r="G546">
        <v>17920</v>
      </c>
      <c r="H546" t="s">
        <v>10</v>
      </c>
    </row>
    <row r="547" spans="1:8" x14ac:dyDescent="0.25">
      <c r="A547">
        <v>536412</v>
      </c>
      <c r="B547">
        <v>22383</v>
      </c>
      <c r="C547" t="s">
        <v>346</v>
      </c>
      <c r="D547">
        <v>3</v>
      </c>
      <c r="E547" s="1">
        <v>40513.492361111108</v>
      </c>
      <c r="F547">
        <v>1.65</v>
      </c>
      <c r="G547">
        <v>17920</v>
      </c>
      <c r="H547" t="s">
        <v>10</v>
      </c>
    </row>
    <row r="548" spans="1:8" x14ac:dyDescent="0.25">
      <c r="A548">
        <v>536412</v>
      </c>
      <c r="B548">
        <v>20727</v>
      </c>
      <c r="C548" t="s">
        <v>348</v>
      </c>
      <c r="D548">
        <v>3</v>
      </c>
      <c r="E548" s="1">
        <v>40513.492361111108</v>
      </c>
      <c r="F548">
        <v>1.65</v>
      </c>
      <c r="G548">
        <v>17920</v>
      </c>
      <c r="H548" t="s">
        <v>10</v>
      </c>
    </row>
    <row r="549" spans="1:8" x14ac:dyDescent="0.25">
      <c r="A549">
        <v>536412</v>
      </c>
      <c r="B549">
        <v>22328</v>
      </c>
      <c r="C549" t="s">
        <v>422</v>
      </c>
      <c r="D549">
        <v>1</v>
      </c>
      <c r="E549" s="1">
        <v>40513.492361111108</v>
      </c>
      <c r="F549">
        <v>2.95</v>
      </c>
      <c r="G549">
        <v>17920</v>
      </c>
      <c r="H549" t="s">
        <v>10</v>
      </c>
    </row>
    <row r="550" spans="1:8" x14ac:dyDescent="0.25">
      <c r="A550">
        <v>536412</v>
      </c>
      <c r="B550">
        <v>22327</v>
      </c>
      <c r="C550" t="s">
        <v>423</v>
      </c>
      <c r="D550">
        <v>1</v>
      </c>
      <c r="E550" s="1">
        <v>40513.492361111108</v>
      </c>
      <c r="F550">
        <v>2.95</v>
      </c>
      <c r="G550">
        <v>17920</v>
      </c>
      <c r="H550" t="s">
        <v>10</v>
      </c>
    </row>
    <row r="551" spans="1:8" x14ac:dyDescent="0.25">
      <c r="A551">
        <v>536412</v>
      </c>
      <c r="B551">
        <v>22630</v>
      </c>
      <c r="C551" t="s">
        <v>424</v>
      </c>
      <c r="D551">
        <v>1</v>
      </c>
      <c r="E551" s="1">
        <v>40513.492361111108</v>
      </c>
      <c r="F551">
        <v>1.95</v>
      </c>
      <c r="G551">
        <v>17920</v>
      </c>
      <c r="H551" t="s">
        <v>10</v>
      </c>
    </row>
    <row r="552" spans="1:8" x14ac:dyDescent="0.25">
      <c r="A552">
        <v>536412</v>
      </c>
      <c r="B552">
        <v>22629</v>
      </c>
      <c r="C552" t="s">
        <v>49</v>
      </c>
      <c r="D552">
        <v>1</v>
      </c>
      <c r="E552" s="1">
        <v>40513.492361111108</v>
      </c>
      <c r="F552">
        <v>1.95</v>
      </c>
      <c r="G552">
        <v>17920</v>
      </c>
      <c r="H552" t="s">
        <v>10</v>
      </c>
    </row>
    <row r="553" spans="1:8" x14ac:dyDescent="0.25">
      <c r="A553">
        <v>536412</v>
      </c>
      <c r="B553">
        <v>21245</v>
      </c>
      <c r="C553" t="s">
        <v>425</v>
      </c>
      <c r="D553">
        <v>1</v>
      </c>
      <c r="E553" s="1">
        <v>40513.492361111108</v>
      </c>
      <c r="F553">
        <v>1.69</v>
      </c>
      <c r="G553">
        <v>17920</v>
      </c>
      <c r="H553" t="s">
        <v>10</v>
      </c>
    </row>
    <row r="554" spans="1:8" x14ac:dyDescent="0.25">
      <c r="A554">
        <v>536412</v>
      </c>
      <c r="B554">
        <v>21244</v>
      </c>
      <c r="C554" t="s">
        <v>426</v>
      </c>
      <c r="D554">
        <v>1</v>
      </c>
      <c r="E554" s="1">
        <v>40513.492361111108</v>
      </c>
      <c r="F554">
        <v>1.69</v>
      </c>
      <c r="G554">
        <v>17920</v>
      </c>
      <c r="H554" t="s">
        <v>10</v>
      </c>
    </row>
    <row r="555" spans="1:8" x14ac:dyDescent="0.25">
      <c r="A555">
        <v>536412</v>
      </c>
      <c r="B555">
        <v>21242</v>
      </c>
      <c r="C555" t="s">
        <v>427</v>
      </c>
      <c r="D555">
        <v>1</v>
      </c>
      <c r="E555" s="1">
        <v>40513.492361111108</v>
      </c>
      <c r="F555">
        <v>1.69</v>
      </c>
      <c r="G555">
        <v>17920</v>
      </c>
      <c r="H555" t="s">
        <v>10</v>
      </c>
    </row>
    <row r="556" spans="1:8" x14ac:dyDescent="0.25">
      <c r="A556">
        <v>536412</v>
      </c>
      <c r="B556">
        <v>21243</v>
      </c>
      <c r="C556" t="s">
        <v>428</v>
      </c>
      <c r="D556">
        <v>1</v>
      </c>
      <c r="E556" s="1">
        <v>40513.492361111108</v>
      </c>
      <c r="F556">
        <v>1.69</v>
      </c>
      <c r="G556">
        <v>17920</v>
      </c>
      <c r="H556" t="s">
        <v>10</v>
      </c>
    </row>
    <row r="557" spans="1:8" x14ac:dyDescent="0.25">
      <c r="A557">
        <v>536412</v>
      </c>
      <c r="B557">
        <v>22327</v>
      </c>
      <c r="C557" t="s">
        <v>423</v>
      </c>
      <c r="D557">
        <v>1</v>
      </c>
      <c r="E557" s="1">
        <v>40513.492361111108</v>
      </c>
      <c r="F557">
        <v>2.95</v>
      </c>
      <c r="G557">
        <v>17920</v>
      </c>
      <c r="H557" t="s">
        <v>10</v>
      </c>
    </row>
    <row r="558" spans="1:8" x14ac:dyDescent="0.25">
      <c r="A558">
        <v>536412</v>
      </c>
      <c r="B558">
        <v>22273</v>
      </c>
      <c r="C558" t="s">
        <v>429</v>
      </c>
      <c r="D558">
        <v>1</v>
      </c>
      <c r="E558" s="1">
        <v>40513.492361111108</v>
      </c>
      <c r="F558">
        <v>2.95</v>
      </c>
      <c r="G558">
        <v>17920</v>
      </c>
      <c r="H558" t="s">
        <v>10</v>
      </c>
    </row>
    <row r="559" spans="1:8" x14ac:dyDescent="0.25">
      <c r="A559">
        <v>536412</v>
      </c>
      <c r="B559">
        <v>22940</v>
      </c>
      <c r="C559" t="s">
        <v>430</v>
      </c>
      <c r="D559">
        <v>3</v>
      </c>
      <c r="E559" s="1">
        <v>40513.492361111108</v>
      </c>
      <c r="F559">
        <v>4.25</v>
      </c>
      <c r="G559">
        <v>17920</v>
      </c>
      <c r="H559" t="s">
        <v>10</v>
      </c>
    </row>
    <row r="560" spans="1:8" x14ac:dyDescent="0.25">
      <c r="A560">
        <v>536412</v>
      </c>
      <c r="B560">
        <v>22652</v>
      </c>
      <c r="C560" t="s">
        <v>243</v>
      </c>
      <c r="D560">
        <v>5</v>
      </c>
      <c r="E560" s="1">
        <v>40513.492361111108</v>
      </c>
      <c r="F560">
        <v>1.65</v>
      </c>
      <c r="G560">
        <v>17920</v>
      </c>
      <c r="H560" t="s">
        <v>10</v>
      </c>
    </row>
    <row r="561" spans="1:8" x14ac:dyDescent="0.25">
      <c r="A561">
        <v>536412</v>
      </c>
      <c r="B561">
        <v>22759</v>
      </c>
      <c r="C561" t="s">
        <v>431</v>
      </c>
      <c r="D561">
        <v>1</v>
      </c>
      <c r="E561" s="1">
        <v>40513.492361111108</v>
      </c>
      <c r="F561">
        <v>1.65</v>
      </c>
      <c r="G561">
        <v>17920</v>
      </c>
      <c r="H561" t="s">
        <v>10</v>
      </c>
    </row>
    <row r="562" spans="1:8" x14ac:dyDescent="0.25">
      <c r="A562">
        <v>536412</v>
      </c>
      <c r="B562">
        <v>21880</v>
      </c>
      <c r="C562" t="s">
        <v>432</v>
      </c>
      <c r="D562">
        <v>10</v>
      </c>
      <c r="E562" s="1">
        <v>40513.492361111108</v>
      </c>
      <c r="F562">
        <v>0.65</v>
      </c>
      <c r="G562">
        <v>17920</v>
      </c>
      <c r="H562" t="s">
        <v>10</v>
      </c>
    </row>
    <row r="563" spans="1:8" x14ac:dyDescent="0.25">
      <c r="A563">
        <v>536412</v>
      </c>
      <c r="B563">
        <v>21738</v>
      </c>
      <c r="C563" t="s">
        <v>433</v>
      </c>
      <c r="D563">
        <v>1</v>
      </c>
      <c r="E563" s="1">
        <v>40513.492361111108</v>
      </c>
      <c r="F563">
        <v>2.95</v>
      </c>
      <c r="G563">
        <v>17920</v>
      </c>
      <c r="H563" t="s">
        <v>10</v>
      </c>
    </row>
    <row r="564" spans="1:8" x14ac:dyDescent="0.25">
      <c r="A564">
        <v>536412</v>
      </c>
      <c r="B564">
        <v>22077</v>
      </c>
      <c r="C564" t="s">
        <v>434</v>
      </c>
      <c r="D564">
        <v>1</v>
      </c>
      <c r="E564" s="1">
        <v>40513.492361111108</v>
      </c>
      <c r="F564">
        <v>1.65</v>
      </c>
      <c r="G564">
        <v>17920</v>
      </c>
      <c r="H564" t="s">
        <v>10</v>
      </c>
    </row>
    <row r="565" spans="1:8" x14ac:dyDescent="0.25">
      <c r="A565">
        <v>536412</v>
      </c>
      <c r="B565" t="s">
        <v>269</v>
      </c>
      <c r="C565" t="s">
        <v>270</v>
      </c>
      <c r="D565">
        <v>3</v>
      </c>
      <c r="E565" s="1">
        <v>40513.492361111108</v>
      </c>
      <c r="F565">
        <v>1.25</v>
      </c>
      <c r="G565">
        <v>17920</v>
      </c>
      <c r="H565" t="s">
        <v>10</v>
      </c>
    </row>
    <row r="566" spans="1:8" x14ac:dyDescent="0.25">
      <c r="A566">
        <v>536412</v>
      </c>
      <c r="B566">
        <v>22961</v>
      </c>
      <c r="C566" t="s">
        <v>100</v>
      </c>
      <c r="D566">
        <v>24</v>
      </c>
      <c r="E566" s="1">
        <v>40513.492361111108</v>
      </c>
      <c r="F566">
        <v>1.45</v>
      </c>
      <c r="G566">
        <v>17920</v>
      </c>
      <c r="H566" t="s">
        <v>10</v>
      </c>
    </row>
    <row r="567" spans="1:8" x14ac:dyDescent="0.25">
      <c r="A567">
        <v>536412</v>
      </c>
      <c r="B567">
        <v>21448</v>
      </c>
      <c r="C567" t="s">
        <v>435</v>
      </c>
      <c r="D567">
        <v>2</v>
      </c>
      <c r="E567" s="1">
        <v>40513.492361111108</v>
      </c>
      <c r="F567">
        <v>1.65</v>
      </c>
      <c r="G567">
        <v>17920</v>
      </c>
      <c r="H567" t="s">
        <v>10</v>
      </c>
    </row>
    <row r="568" spans="1:8" x14ac:dyDescent="0.25">
      <c r="A568">
        <v>536412</v>
      </c>
      <c r="B568">
        <v>22837</v>
      </c>
      <c r="C568" t="s">
        <v>323</v>
      </c>
      <c r="D568">
        <v>3</v>
      </c>
      <c r="E568" s="1">
        <v>40513.492361111108</v>
      </c>
      <c r="F568">
        <v>4.6500000000000004</v>
      </c>
      <c r="G568">
        <v>17920</v>
      </c>
      <c r="H568" t="s">
        <v>10</v>
      </c>
    </row>
    <row r="569" spans="1:8" x14ac:dyDescent="0.25">
      <c r="A569">
        <v>536412</v>
      </c>
      <c r="B569">
        <v>22749</v>
      </c>
      <c r="C569" t="s">
        <v>25</v>
      </c>
      <c r="D569">
        <v>2</v>
      </c>
      <c r="E569" s="1">
        <v>40513.492361111108</v>
      </c>
      <c r="F569">
        <v>3.75</v>
      </c>
      <c r="G569">
        <v>17920</v>
      </c>
      <c r="H569" t="s">
        <v>10</v>
      </c>
    </row>
    <row r="570" spans="1:8" x14ac:dyDescent="0.25">
      <c r="A570">
        <v>536412</v>
      </c>
      <c r="B570">
        <v>22940</v>
      </c>
      <c r="C570" t="s">
        <v>430</v>
      </c>
      <c r="D570">
        <v>1</v>
      </c>
      <c r="E570" s="1">
        <v>40513.492361111108</v>
      </c>
      <c r="F570">
        <v>4.25</v>
      </c>
      <c r="G570">
        <v>17920</v>
      </c>
      <c r="H570" t="s">
        <v>10</v>
      </c>
    </row>
    <row r="571" spans="1:8" x14ac:dyDescent="0.25">
      <c r="A571">
        <v>536412</v>
      </c>
      <c r="B571">
        <v>22749</v>
      </c>
      <c r="C571" t="s">
        <v>25</v>
      </c>
      <c r="D571">
        <v>1</v>
      </c>
      <c r="E571" s="1">
        <v>40513.492361111108</v>
      </c>
      <c r="F571">
        <v>3.75</v>
      </c>
      <c r="G571">
        <v>17920</v>
      </c>
      <c r="H571" t="s">
        <v>10</v>
      </c>
    </row>
    <row r="572" spans="1:8" x14ac:dyDescent="0.25">
      <c r="A572">
        <v>536412</v>
      </c>
      <c r="B572">
        <v>22077</v>
      </c>
      <c r="C572" t="s">
        <v>434</v>
      </c>
      <c r="D572">
        <v>2</v>
      </c>
      <c r="E572" s="1">
        <v>40513.492361111108</v>
      </c>
      <c r="F572">
        <v>1.65</v>
      </c>
      <c r="G572">
        <v>17920</v>
      </c>
      <c r="H572" t="s">
        <v>10</v>
      </c>
    </row>
    <row r="573" spans="1:8" x14ac:dyDescent="0.25">
      <c r="A573">
        <v>536412</v>
      </c>
      <c r="B573">
        <v>21738</v>
      </c>
      <c r="C573" t="s">
        <v>433</v>
      </c>
      <c r="D573">
        <v>2</v>
      </c>
      <c r="E573" s="1">
        <v>40513.492361111108</v>
      </c>
      <c r="F573">
        <v>2.95</v>
      </c>
      <c r="G573">
        <v>17920</v>
      </c>
      <c r="H573" t="s">
        <v>10</v>
      </c>
    </row>
    <row r="574" spans="1:8" x14ac:dyDescent="0.25">
      <c r="A574">
        <v>536412</v>
      </c>
      <c r="B574" t="s">
        <v>269</v>
      </c>
      <c r="C574" t="s">
        <v>270</v>
      </c>
      <c r="D574">
        <v>1</v>
      </c>
      <c r="E574" s="1">
        <v>40513.492361111108</v>
      </c>
      <c r="F574">
        <v>1.25</v>
      </c>
      <c r="G574">
        <v>17920</v>
      </c>
      <c r="H574" t="s">
        <v>10</v>
      </c>
    </row>
    <row r="575" spans="1:8" x14ac:dyDescent="0.25">
      <c r="A575">
        <v>536412</v>
      </c>
      <c r="B575">
        <v>22243</v>
      </c>
      <c r="C575" t="s">
        <v>436</v>
      </c>
      <c r="D575">
        <v>6</v>
      </c>
      <c r="E575" s="1">
        <v>40513.492361111108</v>
      </c>
      <c r="F575">
        <v>1.65</v>
      </c>
      <c r="G575">
        <v>17920</v>
      </c>
      <c r="H575" t="s">
        <v>10</v>
      </c>
    </row>
    <row r="576" spans="1:8" x14ac:dyDescent="0.25">
      <c r="A576">
        <v>536412</v>
      </c>
      <c r="B576">
        <v>22141</v>
      </c>
      <c r="C576" t="s">
        <v>437</v>
      </c>
      <c r="D576">
        <v>1</v>
      </c>
      <c r="E576" s="1">
        <v>40513.492361111108</v>
      </c>
      <c r="F576">
        <v>2.1</v>
      </c>
      <c r="G576">
        <v>17920</v>
      </c>
      <c r="H576" t="s">
        <v>10</v>
      </c>
    </row>
    <row r="577" spans="1:8" x14ac:dyDescent="0.25">
      <c r="A577">
        <v>536412</v>
      </c>
      <c r="B577">
        <v>22144</v>
      </c>
      <c r="C577" t="s">
        <v>438</v>
      </c>
      <c r="D577">
        <v>2</v>
      </c>
      <c r="E577" s="1">
        <v>40513.492361111108</v>
      </c>
      <c r="F577">
        <v>2.1</v>
      </c>
      <c r="G577">
        <v>17920</v>
      </c>
      <c r="H577" t="s">
        <v>10</v>
      </c>
    </row>
    <row r="578" spans="1:8" x14ac:dyDescent="0.25">
      <c r="A578">
        <v>536412</v>
      </c>
      <c r="B578">
        <v>22243</v>
      </c>
      <c r="C578" t="s">
        <v>436</v>
      </c>
      <c r="D578">
        <v>3</v>
      </c>
      <c r="E578" s="1">
        <v>40513.492361111108</v>
      </c>
      <c r="F578">
        <v>1.65</v>
      </c>
      <c r="G578">
        <v>17920</v>
      </c>
      <c r="H578" t="s">
        <v>10</v>
      </c>
    </row>
    <row r="579" spans="1:8" x14ac:dyDescent="0.25">
      <c r="A579">
        <v>536412</v>
      </c>
      <c r="B579">
        <v>22077</v>
      </c>
      <c r="C579" t="s">
        <v>434</v>
      </c>
      <c r="D579">
        <v>7</v>
      </c>
      <c r="E579" s="1">
        <v>40513.492361111108</v>
      </c>
      <c r="F579">
        <v>1.65</v>
      </c>
      <c r="G579">
        <v>17920</v>
      </c>
      <c r="H579" t="s">
        <v>10</v>
      </c>
    </row>
    <row r="580" spans="1:8" x14ac:dyDescent="0.25">
      <c r="A580">
        <v>536412</v>
      </c>
      <c r="B580">
        <v>21448</v>
      </c>
      <c r="C580" t="s">
        <v>435</v>
      </c>
      <c r="D580">
        <v>1</v>
      </c>
      <c r="E580" s="1">
        <v>40513.492361111108</v>
      </c>
      <c r="F580">
        <v>1.65</v>
      </c>
      <c r="G580">
        <v>17920</v>
      </c>
      <c r="H580" t="s">
        <v>10</v>
      </c>
    </row>
    <row r="581" spans="1:8" x14ac:dyDescent="0.25">
      <c r="A581">
        <v>536412</v>
      </c>
      <c r="B581">
        <v>22759</v>
      </c>
      <c r="C581" t="s">
        <v>431</v>
      </c>
      <c r="D581">
        <v>5</v>
      </c>
      <c r="E581" s="1">
        <v>40513.492361111108</v>
      </c>
      <c r="F581">
        <v>1.65</v>
      </c>
      <c r="G581">
        <v>17920</v>
      </c>
      <c r="H581" t="s">
        <v>10</v>
      </c>
    </row>
    <row r="582" spans="1:8" x14ac:dyDescent="0.25">
      <c r="A582">
        <v>536412</v>
      </c>
      <c r="B582">
        <v>22242</v>
      </c>
      <c r="C582" t="s">
        <v>186</v>
      </c>
      <c r="D582">
        <v>5</v>
      </c>
      <c r="E582" s="1">
        <v>40513.492361111108</v>
      </c>
      <c r="F582">
        <v>1.65</v>
      </c>
      <c r="G582">
        <v>17920</v>
      </c>
      <c r="H582" t="s">
        <v>10</v>
      </c>
    </row>
    <row r="583" spans="1:8" x14ac:dyDescent="0.25">
      <c r="A583">
        <v>536412</v>
      </c>
      <c r="B583" t="s">
        <v>269</v>
      </c>
      <c r="C583" t="s">
        <v>270</v>
      </c>
      <c r="D583">
        <v>12</v>
      </c>
      <c r="E583" s="1">
        <v>40513.492361111108</v>
      </c>
      <c r="F583">
        <v>1.25</v>
      </c>
      <c r="G583">
        <v>17920</v>
      </c>
      <c r="H583" t="s">
        <v>10</v>
      </c>
    </row>
    <row r="584" spans="1:8" x14ac:dyDescent="0.25">
      <c r="A584">
        <v>536412</v>
      </c>
      <c r="B584">
        <v>21731</v>
      </c>
      <c r="C584" t="s">
        <v>53</v>
      </c>
      <c r="D584">
        <v>5</v>
      </c>
      <c r="E584" s="1">
        <v>40513.492361111108</v>
      </c>
      <c r="F584">
        <v>1.65</v>
      </c>
      <c r="G584">
        <v>17920</v>
      </c>
      <c r="H584" t="s">
        <v>10</v>
      </c>
    </row>
    <row r="585" spans="1:8" x14ac:dyDescent="0.25">
      <c r="A585">
        <v>536412</v>
      </c>
      <c r="B585">
        <v>22243</v>
      </c>
      <c r="C585" t="s">
        <v>436</v>
      </c>
      <c r="D585">
        <v>1</v>
      </c>
      <c r="E585" s="1">
        <v>40513.492361111108</v>
      </c>
      <c r="F585">
        <v>1.65</v>
      </c>
      <c r="G585">
        <v>17920</v>
      </c>
      <c r="H585" t="s">
        <v>10</v>
      </c>
    </row>
    <row r="586" spans="1:8" x14ac:dyDescent="0.25">
      <c r="A586">
        <v>536412</v>
      </c>
      <c r="B586">
        <v>21739</v>
      </c>
      <c r="C586" t="s">
        <v>439</v>
      </c>
      <c r="D586">
        <v>2</v>
      </c>
      <c r="E586" s="1">
        <v>40513.492361111108</v>
      </c>
      <c r="F586">
        <v>2.95</v>
      </c>
      <c r="G586">
        <v>17920</v>
      </c>
      <c r="H586" t="s">
        <v>10</v>
      </c>
    </row>
    <row r="587" spans="1:8" x14ac:dyDescent="0.25">
      <c r="A587">
        <v>536412</v>
      </c>
      <c r="B587">
        <v>21738</v>
      </c>
      <c r="C587" t="s">
        <v>433</v>
      </c>
      <c r="D587">
        <v>5</v>
      </c>
      <c r="E587" s="1">
        <v>40513.492361111108</v>
      </c>
      <c r="F587">
        <v>2.95</v>
      </c>
      <c r="G587">
        <v>17920</v>
      </c>
      <c r="H587" t="s">
        <v>10</v>
      </c>
    </row>
    <row r="588" spans="1:8" x14ac:dyDescent="0.25">
      <c r="A588">
        <v>536412</v>
      </c>
      <c r="B588">
        <v>22271</v>
      </c>
      <c r="C588" t="s">
        <v>440</v>
      </c>
      <c r="D588">
        <v>2</v>
      </c>
      <c r="E588" s="1">
        <v>40513.492361111108</v>
      </c>
      <c r="F588">
        <v>2.95</v>
      </c>
      <c r="G588">
        <v>17920</v>
      </c>
      <c r="H588" t="s">
        <v>10</v>
      </c>
    </row>
    <row r="589" spans="1:8" x14ac:dyDescent="0.25">
      <c r="A589">
        <v>536412</v>
      </c>
      <c r="B589">
        <v>22273</v>
      </c>
      <c r="C589" t="s">
        <v>429</v>
      </c>
      <c r="D589">
        <v>1</v>
      </c>
      <c r="E589" s="1">
        <v>40513.492361111108</v>
      </c>
      <c r="F589">
        <v>2.95</v>
      </c>
      <c r="G589">
        <v>17920</v>
      </c>
      <c r="H589" t="s">
        <v>10</v>
      </c>
    </row>
    <row r="590" spans="1:8" x14ac:dyDescent="0.25">
      <c r="A590">
        <v>536412</v>
      </c>
      <c r="B590">
        <v>22274</v>
      </c>
      <c r="C590" t="s">
        <v>441</v>
      </c>
      <c r="D590">
        <v>2</v>
      </c>
      <c r="E590" s="1">
        <v>40513.492361111108</v>
      </c>
      <c r="F590">
        <v>2.95</v>
      </c>
      <c r="G590">
        <v>17920</v>
      </c>
      <c r="H590" t="s">
        <v>10</v>
      </c>
    </row>
    <row r="591" spans="1:8" x14ac:dyDescent="0.25">
      <c r="A591">
        <v>536412</v>
      </c>
      <c r="B591">
        <v>22749</v>
      </c>
      <c r="C591" t="s">
        <v>25</v>
      </c>
      <c r="D591">
        <v>1</v>
      </c>
      <c r="E591" s="1">
        <v>40513.492361111108</v>
      </c>
      <c r="F591">
        <v>3.75</v>
      </c>
      <c r="G591">
        <v>17920</v>
      </c>
      <c r="H591" t="s">
        <v>10</v>
      </c>
    </row>
    <row r="592" spans="1:8" x14ac:dyDescent="0.25">
      <c r="A592">
        <v>536412</v>
      </c>
      <c r="B592">
        <v>22751</v>
      </c>
      <c r="C592" t="s">
        <v>442</v>
      </c>
      <c r="D592">
        <v>2</v>
      </c>
      <c r="E592" s="1">
        <v>40513.492361111108</v>
      </c>
      <c r="F592">
        <v>3.75</v>
      </c>
      <c r="G592">
        <v>17920</v>
      </c>
      <c r="H592" t="s">
        <v>10</v>
      </c>
    </row>
    <row r="593" spans="1:8" x14ac:dyDescent="0.25">
      <c r="A593">
        <v>536412</v>
      </c>
      <c r="B593">
        <v>21034</v>
      </c>
      <c r="C593" t="s">
        <v>443</v>
      </c>
      <c r="D593">
        <v>1</v>
      </c>
      <c r="E593" s="1">
        <v>40513.492361111108</v>
      </c>
      <c r="F593">
        <v>0.95</v>
      </c>
      <c r="G593">
        <v>17920</v>
      </c>
      <c r="H593" t="s">
        <v>10</v>
      </c>
    </row>
    <row r="594" spans="1:8" x14ac:dyDescent="0.25">
      <c r="A594">
        <v>536412</v>
      </c>
      <c r="B594">
        <v>22273</v>
      </c>
      <c r="C594" t="s">
        <v>429</v>
      </c>
      <c r="D594">
        <v>2</v>
      </c>
      <c r="E594" s="1">
        <v>40513.492361111108</v>
      </c>
      <c r="F594">
        <v>2.95</v>
      </c>
      <c r="G594">
        <v>17920</v>
      </c>
      <c r="H594" t="s">
        <v>10</v>
      </c>
    </row>
    <row r="595" spans="1:8" x14ac:dyDescent="0.25">
      <c r="A595">
        <v>536412</v>
      </c>
      <c r="B595">
        <v>22568</v>
      </c>
      <c r="C595" t="s">
        <v>386</v>
      </c>
      <c r="D595">
        <v>3</v>
      </c>
      <c r="E595" s="1">
        <v>40513.492361111108</v>
      </c>
      <c r="F595">
        <v>3.75</v>
      </c>
      <c r="G595">
        <v>17920</v>
      </c>
      <c r="H595" t="s">
        <v>10</v>
      </c>
    </row>
    <row r="596" spans="1:8" x14ac:dyDescent="0.25">
      <c r="A596">
        <v>536412</v>
      </c>
      <c r="B596">
        <v>22141</v>
      </c>
      <c r="C596" t="s">
        <v>437</v>
      </c>
      <c r="D596">
        <v>1</v>
      </c>
      <c r="E596" s="1">
        <v>40513.492361111108</v>
      </c>
      <c r="F596">
        <v>2.1</v>
      </c>
      <c r="G596">
        <v>17920</v>
      </c>
      <c r="H596" t="s">
        <v>10</v>
      </c>
    </row>
    <row r="597" spans="1:8" x14ac:dyDescent="0.25">
      <c r="A597">
        <v>536412</v>
      </c>
      <c r="B597">
        <v>22144</v>
      </c>
      <c r="C597" t="s">
        <v>438</v>
      </c>
      <c r="D597">
        <v>1</v>
      </c>
      <c r="E597" s="1">
        <v>40513.492361111108</v>
      </c>
      <c r="F597">
        <v>2.1</v>
      </c>
      <c r="G597">
        <v>17920</v>
      </c>
      <c r="H597" t="s">
        <v>10</v>
      </c>
    </row>
    <row r="598" spans="1:8" x14ac:dyDescent="0.25">
      <c r="A598">
        <v>536412</v>
      </c>
      <c r="B598">
        <v>22570</v>
      </c>
      <c r="C598" t="s">
        <v>444</v>
      </c>
      <c r="D598">
        <v>3</v>
      </c>
      <c r="E598" s="1">
        <v>40513.492361111108</v>
      </c>
      <c r="F598">
        <v>3.75</v>
      </c>
      <c r="G598">
        <v>17920</v>
      </c>
      <c r="H598" t="s">
        <v>10</v>
      </c>
    </row>
    <row r="599" spans="1:8" x14ac:dyDescent="0.25">
      <c r="A599">
        <v>536412</v>
      </c>
      <c r="B599">
        <v>22569</v>
      </c>
      <c r="C599" t="s">
        <v>445</v>
      </c>
      <c r="D599">
        <v>2</v>
      </c>
      <c r="E599" s="1">
        <v>40513.492361111108</v>
      </c>
      <c r="F599">
        <v>3.75</v>
      </c>
      <c r="G599">
        <v>17920</v>
      </c>
      <c r="H599" t="s">
        <v>10</v>
      </c>
    </row>
    <row r="600" spans="1:8" x14ac:dyDescent="0.25">
      <c r="A600">
        <v>536412</v>
      </c>
      <c r="B600">
        <v>21448</v>
      </c>
      <c r="C600" t="s">
        <v>435</v>
      </c>
      <c r="D600">
        <v>1</v>
      </c>
      <c r="E600" s="1">
        <v>40513.492361111108</v>
      </c>
      <c r="F600">
        <v>1.65</v>
      </c>
      <c r="G600">
        <v>17920</v>
      </c>
      <c r="H600" t="s">
        <v>10</v>
      </c>
    </row>
    <row r="601" spans="1:8" x14ac:dyDescent="0.25">
      <c r="A601">
        <v>536412</v>
      </c>
      <c r="B601">
        <v>22086</v>
      </c>
      <c r="C601" t="s">
        <v>61</v>
      </c>
      <c r="D601">
        <v>1</v>
      </c>
      <c r="E601" s="1">
        <v>40513.492361111108</v>
      </c>
      <c r="F601">
        <v>2.95</v>
      </c>
      <c r="G601">
        <v>17920</v>
      </c>
      <c r="H601" t="s">
        <v>10</v>
      </c>
    </row>
    <row r="602" spans="1:8" x14ac:dyDescent="0.25">
      <c r="A602">
        <v>536412</v>
      </c>
      <c r="B602">
        <v>22569</v>
      </c>
      <c r="C602" t="s">
        <v>445</v>
      </c>
      <c r="D602">
        <v>2</v>
      </c>
      <c r="E602" s="1">
        <v>40513.492361111108</v>
      </c>
      <c r="F602">
        <v>3.75</v>
      </c>
      <c r="G602">
        <v>17920</v>
      </c>
      <c r="H602" t="s">
        <v>10</v>
      </c>
    </row>
    <row r="603" spans="1:8" x14ac:dyDescent="0.25">
      <c r="A603">
        <v>536412</v>
      </c>
      <c r="B603">
        <v>21448</v>
      </c>
      <c r="C603" t="s">
        <v>435</v>
      </c>
      <c r="D603">
        <v>2</v>
      </c>
      <c r="E603" s="1">
        <v>40513.492361111108</v>
      </c>
      <c r="F603">
        <v>1.65</v>
      </c>
      <c r="G603">
        <v>17920</v>
      </c>
      <c r="H603" t="s">
        <v>10</v>
      </c>
    </row>
    <row r="604" spans="1:8" x14ac:dyDescent="0.25">
      <c r="A604">
        <v>536412</v>
      </c>
      <c r="B604">
        <v>22968</v>
      </c>
      <c r="C604" t="s">
        <v>203</v>
      </c>
      <c r="D604">
        <v>4</v>
      </c>
      <c r="E604" s="1">
        <v>40513.492361111108</v>
      </c>
      <c r="F604">
        <v>9.9499999999999993</v>
      </c>
      <c r="G604">
        <v>17920</v>
      </c>
      <c r="H604" t="s">
        <v>10</v>
      </c>
    </row>
    <row r="605" spans="1:8" x14ac:dyDescent="0.25">
      <c r="A605">
        <v>536412</v>
      </c>
      <c r="B605">
        <v>22902</v>
      </c>
      <c r="C605" t="s">
        <v>446</v>
      </c>
      <c r="D605">
        <v>7</v>
      </c>
      <c r="E605" s="1">
        <v>40513.492361111108</v>
      </c>
      <c r="F605">
        <v>2.1</v>
      </c>
      <c r="G605">
        <v>17920</v>
      </c>
      <c r="H605" t="s">
        <v>10</v>
      </c>
    </row>
    <row r="606" spans="1:8" x14ac:dyDescent="0.25">
      <c r="A606">
        <v>536412</v>
      </c>
      <c r="B606">
        <v>21448</v>
      </c>
      <c r="C606" t="s">
        <v>435</v>
      </c>
      <c r="D606">
        <v>2</v>
      </c>
      <c r="E606" s="1">
        <v>40513.492361111108</v>
      </c>
      <c r="F606">
        <v>1.65</v>
      </c>
      <c r="G606">
        <v>17920</v>
      </c>
      <c r="H606" t="s">
        <v>10</v>
      </c>
    </row>
    <row r="607" spans="1:8" x14ac:dyDescent="0.25">
      <c r="A607">
        <v>536412</v>
      </c>
      <c r="B607">
        <v>22902</v>
      </c>
      <c r="C607" t="s">
        <v>446</v>
      </c>
      <c r="D607">
        <v>7</v>
      </c>
      <c r="E607" s="1">
        <v>40513.492361111108</v>
      </c>
      <c r="F607">
        <v>2.1</v>
      </c>
      <c r="G607">
        <v>17920</v>
      </c>
      <c r="H607" t="s">
        <v>10</v>
      </c>
    </row>
    <row r="608" spans="1:8" x14ac:dyDescent="0.25">
      <c r="A608">
        <v>536412</v>
      </c>
      <c r="B608">
        <v>21710</v>
      </c>
      <c r="C608" t="s">
        <v>447</v>
      </c>
      <c r="D608">
        <v>1</v>
      </c>
      <c r="E608" s="1">
        <v>40513.492361111108</v>
      </c>
      <c r="F608">
        <v>4.95</v>
      </c>
      <c r="G608">
        <v>17920</v>
      </c>
      <c r="H608" t="s">
        <v>10</v>
      </c>
    </row>
    <row r="609" spans="1:8" x14ac:dyDescent="0.25">
      <c r="A609">
        <v>536412</v>
      </c>
      <c r="B609">
        <v>21708</v>
      </c>
      <c r="C609" t="s">
        <v>448</v>
      </c>
      <c r="D609">
        <v>1</v>
      </c>
      <c r="E609" s="1">
        <v>40513.492361111108</v>
      </c>
      <c r="F609">
        <v>4.95</v>
      </c>
      <c r="G609">
        <v>17920</v>
      </c>
      <c r="H609" t="s">
        <v>10</v>
      </c>
    </row>
    <row r="610" spans="1:8" x14ac:dyDescent="0.25">
      <c r="A610">
        <v>536412</v>
      </c>
      <c r="B610">
        <v>21711</v>
      </c>
      <c r="C610" t="s">
        <v>449</v>
      </c>
      <c r="D610">
        <v>1</v>
      </c>
      <c r="E610" s="1">
        <v>40513.492361111108</v>
      </c>
      <c r="F610">
        <v>4.95</v>
      </c>
      <c r="G610">
        <v>17920</v>
      </c>
      <c r="H610" t="s">
        <v>10</v>
      </c>
    </row>
    <row r="611" spans="1:8" x14ac:dyDescent="0.25">
      <c r="A611">
        <v>536412</v>
      </c>
      <c r="B611">
        <v>22179</v>
      </c>
      <c r="C611" t="s">
        <v>450</v>
      </c>
      <c r="D611">
        <v>2</v>
      </c>
      <c r="E611" s="1">
        <v>40513.492361111108</v>
      </c>
      <c r="F611">
        <v>6.75</v>
      </c>
      <c r="G611">
        <v>17920</v>
      </c>
      <c r="H611" t="s">
        <v>10</v>
      </c>
    </row>
    <row r="612" spans="1:8" x14ac:dyDescent="0.25">
      <c r="A612">
        <v>536412</v>
      </c>
      <c r="B612">
        <v>22197</v>
      </c>
      <c r="C612" t="s">
        <v>208</v>
      </c>
      <c r="D612">
        <v>5</v>
      </c>
      <c r="E612" s="1">
        <v>40513.492361111108</v>
      </c>
      <c r="F612">
        <v>0.85</v>
      </c>
      <c r="G612">
        <v>17920</v>
      </c>
      <c r="H612" t="s">
        <v>10</v>
      </c>
    </row>
    <row r="613" spans="1:8" x14ac:dyDescent="0.25">
      <c r="A613">
        <v>536412</v>
      </c>
      <c r="B613">
        <v>22900</v>
      </c>
      <c r="C613" t="s">
        <v>54</v>
      </c>
      <c r="D613">
        <v>2</v>
      </c>
      <c r="E613" s="1">
        <v>40513.492361111108</v>
      </c>
      <c r="F613">
        <v>2.95</v>
      </c>
      <c r="G613">
        <v>17920</v>
      </c>
      <c r="H613" t="s">
        <v>10</v>
      </c>
    </row>
    <row r="614" spans="1:8" x14ac:dyDescent="0.25">
      <c r="A614">
        <v>536412</v>
      </c>
      <c r="B614">
        <v>21706</v>
      </c>
      <c r="C614" t="s">
        <v>451</v>
      </c>
      <c r="D614">
        <v>1</v>
      </c>
      <c r="E614" s="1">
        <v>40513.492361111108</v>
      </c>
      <c r="F614">
        <v>4.95</v>
      </c>
      <c r="G614">
        <v>17920</v>
      </c>
      <c r="H614" t="s">
        <v>10</v>
      </c>
    </row>
    <row r="615" spans="1:8" x14ac:dyDescent="0.25">
      <c r="A615">
        <v>536412</v>
      </c>
      <c r="B615">
        <v>22468</v>
      </c>
      <c r="C615" t="s">
        <v>253</v>
      </c>
      <c r="D615">
        <v>2</v>
      </c>
      <c r="E615" s="1">
        <v>40513.492361111108</v>
      </c>
      <c r="F615">
        <v>6.75</v>
      </c>
      <c r="G615">
        <v>17920</v>
      </c>
      <c r="H615" t="s">
        <v>10</v>
      </c>
    </row>
    <row r="616" spans="1:8" x14ac:dyDescent="0.25">
      <c r="A616">
        <v>536412</v>
      </c>
      <c r="B616">
        <v>20725</v>
      </c>
      <c r="C616" t="s">
        <v>85</v>
      </c>
      <c r="D616">
        <v>1</v>
      </c>
      <c r="E616" s="1">
        <v>40513.492361111108</v>
      </c>
      <c r="F616">
        <v>1.65</v>
      </c>
      <c r="G616">
        <v>17920</v>
      </c>
      <c r="H616" t="s">
        <v>10</v>
      </c>
    </row>
    <row r="617" spans="1:8" x14ac:dyDescent="0.25">
      <c r="A617">
        <v>536412</v>
      </c>
      <c r="B617" t="s">
        <v>452</v>
      </c>
      <c r="C617" t="s">
        <v>453</v>
      </c>
      <c r="D617">
        <v>1</v>
      </c>
      <c r="E617" s="1">
        <v>40513.492361111108</v>
      </c>
      <c r="F617">
        <v>2.95</v>
      </c>
      <c r="G617">
        <v>17920</v>
      </c>
      <c r="H617" t="s">
        <v>10</v>
      </c>
    </row>
    <row r="618" spans="1:8" x14ac:dyDescent="0.25">
      <c r="A618">
        <v>536412</v>
      </c>
      <c r="B618">
        <v>21708</v>
      </c>
      <c r="C618" t="s">
        <v>448</v>
      </c>
      <c r="D618">
        <v>1</v>
      </c>
      <c r="E618" s="1">
        <v>40513.492361111108</v>
      </c>
      <c r="F618">
        <v>4.95</v>
      </c>
      <c r="G618">
        <v>17920</v>
      </c>
      <c r="H618" t="s">
        <v>10</v>
      </c>
    </row>
    <row r="619" spans="1:8" x14ac:dyDescent="0.25">
      <c r="A619">
        <v>536412</v>
      </c>
      <c r="B619">
        <v>22900</v>
      </c>
      <c r="C619" t="s">
        <v>54</v>
      </c>
      <c r="D619">
        <v>2</v>
      </c>
      <c r="E619" s="1">
        <v>40513.492361111108</v>
      </c>
      <c r="F619">
        <v>2.95</v>
      </c>
      <c r="G619">
        <v>17920</v>
      </c>
      <c r="H619" t="s">
        <v>10</v>
      </c>
    </row>
    <row r="620" spans="1:8" x14ac:dyDescent="0.25">
      <c r="A620">
        <v>536412</v>
      </c>
      <c r="B620">
        <v>21706</v>
      </c>
      <c r="C620" t="s">
        <v>451</v>
      </c>
      <c r="D620">
        <v>1</v>
      </c>
      <c r="E620" s="1">
        <v>40513.492361111108</v>
      </c>
      <c r="F620">
        <v>4.95</v>
      </c>
      <c r="G620">
        <v>17920</v>
      </c>
      <c r="H620" t="s">
        <v>10</v>
      </c>
    </row>
    <row r="621" spans="1:8" x14ac:dyDescent="0.25">
      <c r="A621">
        <v>536412</v>
      </c>
      <c r="B621">
        <v>22988</v>
      </c>
      <c r="C621" t="s">
        <v>454</v>
      </c>
      <c r="D621">
        <v>6</v>
      </c>
      <c r="E621" s="1">
        <v>40513.492361111108</v>
      </c>
      <c r="F621">
        <v>1.25</v>
      </c>
      <c r="G621">
        <v>17920</v>
      </c>
      <c r="H621" t="s">
        <v>10</v>
      </c>
    </row>
    <row r="622" spans="1:8" x14ac:dyDescent="0.25">
      <c r="A622">
        <v>536412</v>
      </c>
      <c r="B622" t="s">
        <v>452</v>
      </c>
      <c r="C622" t="s">
        <v>453</v>
      </c>
      <c r="D622">
        <v>1</v>
      </c>
      <c r="E622" s="1">
        <v>40513.492361111108</v>
      </c>
      <c r="F622">
        <v>2.95</v>
      </c>
      <c r="G622">
        <v>17920</v>
      </c>
      <c r="H622" t="s">
        <v>10</v>
      </c>
    </row>
    <row r="623" spans="1:8" x14ac:dyDescent="0.25">
      <c r="A623">
        <v>536412</v>
      </c>
      <c r="B623">
        <v>20750</v>
      </c>
      <c r="C623" t="s">
        <v>455</v>
      </c>
      <c r="D623">
        <v>1</v>
      </c>
      <c r="E623" s="1">
        <v>40513.492361111108</v>
      </c>
      <c r="F623">
        <v>7.95</v>
      </c>
      <c r="G623">
        <v>17920</v>
      </c>
      <c r="H623" t="s">
        <v>10</v>
      </c>
    </row>
    <row r="624" spans="1:8" x14ac:dyDescent="0.25">
      <c r="A624">
        <v>536414</v>
      </c>
      <c r="B624">
        <v>22139</v>
      </c>
      <c r="D624">
        <v>56</v>
      </c>
      <c r="E624" s="1">
        <v>40513.494444444441</v>
      </c>
      <c r="F624">
        <v>0</v>
      </c>
      <c r="H624" t="s">
        <v>10</v>
      </c>
    </row>
    <row r="625" spans="1:8" x14ac:dyDescent="0.25">
      <c r="A625">
        <v>536415</v>
      </c>
      <c r="B625">
        <v>22952</v>
      </c>
      <c r="C625" t="s">
        <v>456</v>
      </c>
      <c r="D625">
        <v>10</v>
      </c>
      <c r="E625" s="1">
        <v>40513.497916666667</v>
      </c>
      <c r="F625">
        <v>0.55000000000000004</v>
      </c>
      <c r="G625">
        <v>12838</v>
      </c>
      <c r="H625" t="s">
        <v>10</v>
      </c>
    </row>
    <row r="626" spans="1:8" x14ac:dyDescent="0.25">
      <c r="A626">
        <v>536415</v>
      </c>
      <c r="B626">
        <v>22910</v>
      </c>
      <c r="C626" t="s">
        <v>206</v>
      </c>
      <c r="D626">
        <v>5</v>
      </c>
      <c r="E626" s="1">
        <v>40513.497916666667</v>
      </c>
      <c r="F626">
        <v>2.95</v>
      </c>
      <c r="G626">
        <v>12838</v>
      </c>
      <c r="H626" t="s">
        <v>10</v>
      </c>
    </row>
    <row r="627" spans="1:8" x14ac:dyDescent="0.25">
      <c r="A627">
        <v>536415</v>
      </c>
      <c r="B627">
        <v>22739</v>
      </c>
      <c r="C627" t="s">
        <v>457</v>
      </c>
      <c r="D627">
        <v>3</v>
      </c>
      <c r="E627" s="1">
        <v>40513.497916666667</v>
      </c>
      <c r="F627">
        <v>1.65</v>
      </c>
      <c r="G627">
        <v>12838</v>
      </c>
      <c r="H627" t="s">
        <v>10</v>
      </c>
    </row>
    <row r="628" spans="1:8" x14ac:dyDescent="0.25">
      <c r="A628">
        <v>536415</v>
      </c>
      <c r="B628">
        <v>22738</v>
      </c>
      <c r="C628" t="s">
        <v>458</v>
      </c>
      <c r="D628">
        <v>3</v>
      </c>
      <c r="E628" s="1">
        <v>40513.497916666667</v>
      </c>
      <c r="F628">
        <v>1.65</v>
      </c>
      <c r="G628">
        <v>12838</v>
      </c>
      <c r="H628" t="s">
        <v>10</v>
      </c>
    </row>
    <row r="629" spans="1:8" x14ac:dyDescent="0.25">
      <c r="A629">
        <v>536415</v>
      </c>
      <c r="B629">
        <v>22736</v>
      </c>
      <c r="C629" t="s">
        <v>378</v>
      </c>
      <c r="D629">
        <v>3</v>
      </c>
      <c r="E629" s="1">
        <v>40513.497916666667</v>
      </c>
      <c r="F629">
        <v>1.65</v>
      </c>
      <c r="G629">
        <v>12838</v>
      </c>
      <c r="H629" t="s">
        <v>10</v>
      </c>
    </row>
    <row r="630" spans="1:8" x14ac:dyDescent="0.25">
      <c r="A630">
        <v>536415</v>
      </c>
      <c r="B630">
        <v>22909</v>
      </c>
      <c r="C630" t="s">
        <v>459</v>
      </c>
      <c r="D630">
        <v>5</v>
      </c>
      <c r="E630" s="1">
        <v>40513.497916666667</v>
      </c>
      <c r="F630">
        <v>0.85</v>
      </c>
      <c r="G630">
        <v>12838</v>
      </c>
      <c r="H630" t="s">
        <v>10</v>
      </c>
    </row>
    <row r="631" spans="1:8" x14ac:dyDescent="0.25">
      <c r="A631">
        <v>536415</v>
      </c>
      <c r="B631" t="s">
        <v>460</v>
      </c>
      <c r="C631" t="s">
        <v>461</v>
      </c>
      <c r="D631">
        <v>2</v>
      </c>
      <c r="E631" s="1">
        <v>40513.497916666667</v>
      </c>
      <c r="F631">
        <v>1.25</v>
      </c>
      <c r="G631">
        <v>12838</v>
      </c>
      <c r="H631" t="s">
        <v>10</v>
      </c>
    </row>
    <row r="632" spans="1:8" x14ac:dyDescent="0.25">
      <c r="A632">
        <v>536415</v>
      </c>
      <c r="B632">
        <v>22186</v>
      </c>
      <c r="C632" t="s">
        <v>462</v>
      </c>
      <c r="D632">
        <v>5</v>
      </c>
      <c r="E632" s="1">
        <v>40513.497916666667</v>
      </c>
      <c r="F632">
        <v>2.95</v>
      </c>
      <c r="G632">
        <v>12838</v>
      </c>
      <c r="H632" t="s">
        <v>10</v>
      </c>
    </row>
    <row r="633" spans="1:8" x14ac:dyDescent="0.25">
      <c r="A633">
        <v>536415</v>
      </c>
      <c r="B633">
        <v>22695</v>
      </c>
      <c r="C633" t="s">
        <v>463</v>
      </c>
      <c r="D633">
        <v>3</v>
      </c>
      <c r="E633" s="1">
        <v>40513.497916666667</v>
      </c>
      <c r="F633">
        <v>1.45</v>
      </c>
      <c r="G633">
        <v>12838</v>
      </c>
      <c r="H633" t="s">
        <v>10</v>
      </c>
    </row>
    <row r="634" spans="1:8" x14ac:dyDescent="0.25">
      <c r="A634">
        <v>536415</v>
      </c>
      <c r="B634">
        <v>22470</v>
      </c>
      <c r="C634" t="s">
        <v>159</v>
      </c>
      <c r="D634">
        <v>1</v>
      </c>
      <c r="E634" s="1">
        <v>40513.497916666667</v>
      </c>
      <c r="F634">
        <v>2.95</v>
      </c>
      <c r="G634">
        <v>12838</v>
      </c>
      <c r="H634" t="s">
        <v>10</v>
      </c>
    </row>
    <row r="635" spans="1:8" x14ac:dyDescent="0.25">
      <c r="A635">
        <v>536415</v>
      </c>
      <c r="B635">
        <v>22580</v>
      </c>
      <c r="C635" t="s">
        <v>464</v>
      </c>
      <c r="D635">
        <v>1</v>
      </c>
      <c r="E635" s="1">
        <v>40513.497916666667</v>
      </c>
      <c r="F635">
        <v>5.95</v>
      </c>
      <c r="G635">
        <v>12838</v>
      </c>
      <c r="H635" t="s">
        <v>10</v>
      </c>
    </row>
    <row r="636" spans="1:8" x14ac:dyDescent="0.25">
      <c r="A636">
        <v>536415</v>
      </c>
      <c r="B636">
        <v>22469</v>
      </c>
      <c r="C636" t="s">
        <v>158</v>
      </c>
      <c r="D636">
        <v>5</v>
      </c>
      <c r="E636" s="1">
        <v>40513.497916666667</v>
      </c>
      <c r="F636">
        <v>1.65</v>
      </c>
      <c r="G636">
        <v>12838</v>
      </c>
      <c r="H636" t="s">
        <v>10</v>
      </c>
    </row>
    <row r="637" spans="1:8" x14ac:dyDescent="0.25">
      <c r="A637">
        <v>536415</v>
      </c>
      <c r="B637">
        <v>22147</v>
      </c>
      <c r="C637" t="s">
        <v>465</v>
      </c>
      <c r="D637">
        <v>4</v>
      </c>
      <c r="E637" s="1">
        <v>40513.497916666667</v>
      </c>
      <c r="F637">
        <v>1.45</v>
      </c>
      <c r="G637">
        <v>12838</v>
      </c>
      <c r="H637" t="s">
        <v>10</v>
      </c>
    </row>
    <row r="638" spans="1:8" x14ac:dyDescent="0.25">
      <c r="A638">
        <v>536415</v>
      </c>
      <c r="B638">
        <v>22130</v>
      </c>
      <c r="C638" t="s">
        <v>466</v>
      </c>
      <c r="D638">
        <v>6</v>
      </c>
      <c r="E638" s="1">
        <v>40513.497916666667</v>
      </c>
      <c r="F638">
        <v>0.85</v>
      </c>
      <c r="G638">
        <v>12838</v>
      </c>
      <c r="H638" t="s">
        <v>10</v>
      </c>
    </row>
    <row r="639" spans="1:8" x14ac:dyDescent="0.25">
      <c r="A639">
        <v>536415</v>
      </c>
      <c r="B639">
        <v>21791</v>
      </c>
      <c r="C639" t="s">
        <v>46</v>
      </c>
      <c r="D639">
        <v>3</v>
      </c>
      <c r="E639" s="1">
        <v>40513.497916666667</v>
      </c>
      <c r="F639">
        <v>1.25</v>
      </c>
      <c r="G639">
        <v>12838</v>
      </c>
      <c r="H639" t="s">
        <v>10</v>
      </c>
    </row>
    <row r="640" spans="1:8" x14ac:dyDescent="0.25">
      <c r="A640">
        <v>536415</v>
      </c>
      <c r="B640">
        <v>22694</v>
      </c>
      <c r="C640" t="s">
        <v>467</v>
      </c>
      <c r="D640">
        <v>5</v>
      </c>
      <c r="E640" s="1">
        <v>40513.497916666667</v>
      </c>
      <c r="F640">
        <v>2.1</v>
      </c>
      <c r="G640">
        <v>12838</v>
      </c>
      <c r="H640" t="s">
        <v>10</v>
      </c>
    </row>
    <row r="641" spans="1:8" x14ac:dyDescent="0.25">
      <c r="A641">
        <v>536415</v>
      </c>
      <c r="B641">
        <v>21790</v>
      </c>
      <c r="C641" t="s">
        <v>468</v>
      </c>
      <c r="D641">
        <v>3</v>
      </c>
      <c r="E641" s="1">
        <v>40513.497916666667</v>
      </c>
      <c r="F641">
        <v>0.85</v>
      </c>
      <c r="G641">
        <v>12838</v>
      </c>
      <c r="H641" t="s">
        <v>10</v>
      </c>
    </row>
    <row r="642" spans="1:8" x14ac:dyDescent="0.25">
      <c r="A642">
        <v>536415</v>
      </c>
      <c r="B642">
        <v>22149</v>
      </c>
      <c r="C642" t="s">
        <v>469</v>
      </c>
      <c r="D642">
        <v>4</v>
      </c>
      <c r="E642" s="1">
        <v>40513.497916666667</v>
      </c>
      <c r="F642">
        <v>2.1</v>
      </c>
      <c r="G642">
        <v>12838</v>
      </c>
      <c r="H642" t="s">
        <v>10</v>
      </c>
    </row>
    <row r="643" spans="1:8" x14ac:dyDescent="0.25">
      <c r="A643">
        <v>536415</v>
      </c>
      <c r="B643">
        <v>22900</v>
      </c>
      <c r="C643" t="s">
        <v>54</v>
      </c>
      <c r="D643">
        <v>3</v>
      </c>
      <c r="E643" s="1">
        <v>40513.497916666667</v>
      </c>
      <c r="F643">
        <v>2.95</v>
      </c>
      <c r="G643">
        <v>12838</v>
      </c>
      <c r="H643" t="s">
        <v>10</v>
      </c>
    </row>
    <row r="644" spans="1:8" x14ac:dyDescent="0.25">
      <c r="A644">
        <v>536415</v>
      </c>
      <c r="B644">
        <v>22961</v>
      </c>
      <c r="C644" t="s">
        <v>100</v>
      </c>
      <c r="D644">
        <v>3</v>
      </c>
      <c r="E644" s="1">
        <v>40513.497916666667</v>
      </c>
      <c r="F644">
        <v>1.45</v>
      </c>
      <c r="G644">
        <v>12838</v>
      </c>
      <c r="H644" t="s">
        <v>10</v>
      </c>
    </row>
    <row r="645" spans="1:8" x14ac:dyDescent="0.25">
      <c r="A645">
        <v>536415</v>
      </c>
      <c r="B645">
        <v>22321</v>
      </c>
      <c r="C645" t="s">
        <v>470</v>
      </c>
      <c r="D645">
        <v>12</v>
      </c>
      <c r="E645" s="1">
        <v>40513.497916666667</v>
      </c>
      <c r="F645">
        <v>0.85</v>
      </c>
      <c r="G645">
        <v>12838</v>
      </c>
      <c r="H645" t="s">
        <v>10</v>
      </c>
    </row>
    <row r="646" spans="1:8" x14ac:dyDescent="0.25">
      <c r="A646">
        <v>536415</v>
      </c>
      <c r="B646">
        <v>22594</v>
      </c>
      <c r="C646" t="s">
        <v>471</v>
      </c>
      <c r="D646">
        <v>5</v>
      </c>
      <c r="E646" s="1">
        <v>40513.497916666667</v>
      </c>
      <c r="F646">
        <v>0.85</v>
      </c>
      <c r="G646">
        <v>12838</v>
      </c>
      <c r="H646" t="s">
        <v>10</v>
      </c>
    </row>
    <row r="647" spans="1:8" x14ac:dyDescent="0.25">
      <c r="A647">
        <v>536415</v>
      </c>
      <c r="B647">
        <v>22593</v>
      </c>
      <c r="C647" t="s">
        <v>472</v>
      </c>
      <c r="D647">
        <v>4</v>
      </c>
      <c r="E647" s="1">
        <v>40513.497916666667</v>
      </c>
      <c r="F647">
        <v>0.85</v>
      </c>
      <c r="G647">
        <v>12838</v>
      </c>
      <c r="H647" t="s">
        <v>10</v>
      </c>
    </row>
    <row r="648" spans="1:8" x14ac:dyDescent="0.25">
      <c r="A648">
        <v>536415</v>
      </c>
      <c r="B648">
        <v>22595</v>
      </c>
      <c r="C648" t="s">
        <v>473</v>
      </c>
      <c r="D648">
        <v>6</v>
      </c>
      <c r="E648" s="1">
        <v>40513.497916666667</v>
      </c>
      <c r="F648">
        <v>0.85</v>
      </c>
      <c r="G648">
        <v>12838</v>
      </c>
      <c r="H648" t="s">
        <v>10</v>
      </c>
    </row>
    <row r="649" spans="1:8" x14ac:dyDescent="0.25">
      <c r="A649">
        <v>536415</v>
      </c>
      <c r="B649">
        <v>21986</v>
      </c>
      <c r="C649" t="s">
        <v>474</v>
      </c>
      <c r="D649">
        <v>12</v>
      </c>
      <c r="E649" s="1">
        <v>40513.497916666667</v>
      </c>
      <c r="F649">
        <v>0.28999999999999998</v>
      </c>
      <c r="G649">
        <v>12838</v>
      </c>
      <c r="H649" t="s">
        <v>10</v>
      </c>
    </row>
    <row r="650" spans="1:8" x14ac:dyDescent="0.25">
      <c r="A650">
        <v>536415</v>
      </c>
      <c r="B650">
        <v>22750</v>
      </c>
      <c r="C650" t="s">
        <v>475</v>
      </c>
      <c r="D650">
        <v>2</v>
      </c>
      <c r="E650" s="1">
        <v>40513.497916666667</v>
      </c>
      <c r="F650">
        <v>3.75</v>
      </c>
      <c r="G650">
        <v>12838</v>
      </c>
      <c r="H650" t="s">
        <v>10</v>
      </c>
    </row>
    <row r="651" spans="1:8" x14ac:dyDescent="0.25">
      <c r="A651">
        <v>536415</v>
      </c>
      <c r="B651">
        <v>22616</v>
      </c>
      <c r="C651" t="s">
        <v>476</v>
      </c>
      <c r="D651">
        <v>12</v>
      </c>
      <c r="E651" s="1">
        <v>40513.497916666667</v>
      </c>
      <c r="F651">
        <v>0.28999999999999998</v>
      </c>
      <c r="G651">
        <v>12838</v>
      </c>
      <c r="H651" t="s">
        <v>10</v>
      </c>
    </row>
    <row r="652" spans="1:8" x14ac:dyDescent="0.25">
      <c r="A652">
        <v>536415</v>
      </c>
      <c r="B652">
        <v>22775</v>
      </c>
      <c r="C652" t="s">
        <v>477</v>
      </c>
      <c r="D652">
        <v>1</v>
      </c>
      <c r="E652" s="1">
        <v>40513.497916666667</v>
      </c>
      <c r="F652">
        <v>1.25</v>
      </c>
      <c r="G652">
        <v>12838</v>
      </c>
      <c r="H652" t="s">
        <v>10</v>
      </c>
    </row>
    <row r="653" spans="1:8" x14ac:dyDescent="0.25">
      <c r="A653">
        <v>536415</v>
      </c>
      <c r="B653">
        <v>22899</v>
      </c>
      <c r="C653" t="s">
        <v>478</v>
      </c>
      <c r="D653">
        <v>2</v>
      </c>
      <c r="E653" s="1">
        <v>40513.497916666667</v>
      </c>
      <c r="F653">
        <v>2.1</v>
      </c>
      <c r="G653">
        <v>12838</v>
      </c>
      <c r="H653" t="s">
        <v>10</v>
      </c>
    </row>
    <row r="654" spans="1:8" x14ac:dyDescent="0.25">
      <c r="A654">
        <v>536415</v>
      </c>
      <c r="B654">
        <v>22367</v>
      </c>
      <c r="C654" t="s">
        <v>479</v>
      </c>
      <c r="D654">
        <v>3</v>
      </c>
      <c r="E654" s="1">
        <v>40513.497916666667</v>
      </c>
      <c r="F654">
        <v>1.95</v>
      </c>
      <c r="G654">
        <v>12838</v>
      </c>
      <c r="H654" t="s">
        <v>10</v>
      </c>
    </row>
    <row r="655" spans="1:8" x14ac:dyDescent="0.25">
      <c r="A655">
        <v>536415</v>
      </c>
      <c r="B655">
        <v>22942</v>
      </c>
      <c r="C655" t="s">
        <v>480</v>
      </c>
      <c r="D655">
        <v>3</v>
      </c>
      <c r="E655" s="1">
        <v>40513.497916666667</v>
      </c>
      <c r="F655">
        <v>8.5</v>
      </c>
      <c r="G655">
        <v>12838</v>
      </c>
      <c r="H655" t="s">
        <v>10</v>
      </c>
    </row>
    <row r="656" spans="1:8" x14ac:dyDescent="0.25">
      <c r="A656">
        <v>536415</v>
      </c>
      <c r="B656">
        <v>22941</v>
      </c>
      <c r="C656" t="s">
        <v>187</v>
      </c>
      <c r="D656">
        <v>3</v>
      </c>
      <c r="E656" s="1">
        <v>40513.497916666667</v>
      </c>
      <c r="F656">
        <v>8.5</v>
      </c>
      <c r="G656">
        <v>12838</v>
      </c>
      <c r="H656" t="s">
        <v>10</v>
      </c>
    </row>
    <row r="657" spans="1:8" x14ac:dyDescent="0.25">
      <c r="A657">
        <v>536415</v>
      </c>
      <c r="B657">
        <v>22086</v>
      </c>
      <c r="C657" t="s">
        <v>61</v>
      </c>
      <c r="D657">
        <v>6</v>
      </c>
      <c r="E657" s="1">
        <v>40513.497916666667</v>
      </c>
      <c r="F657">
        <v>2.95</v>
      </c>
      <c r="G657">
        <v>12838</v>
      </c>
      <c r="H657" t="s">
        <v>10</v>
      </c>
    </row>
    <row r="658" spans="1:8" x14ac:dyDescent="0.25">
      <c r="A658">
        <v>536415</v>
      </c>
      <c r="B658">
        <v>22940</v>
      </c>
      <c r="C658" t="s">
        <v>430</v>
      </c>
      <c r="D658">
        <v>2</v>
      </c>
      <c r="E658" s="1">
        <v>40513.497916666667</v>
      </c>
      <c r="F658">
        <v>4.25</v>
      </c>
      <c r="G658">
        <v>12838</v>
      </c>
      <c r="H658" t="s">
        <v>10</v>
      </c>
    </row>
    <row r="659" spans="1:8" x14ac:dyDescent="0.25">
      <c r="A659">
        <v>536415</v>
      </c>
      <c r="B659">
        <v>21212</v>
      </c>
      <c r="C659" t="s">
        <v>88</v>
      </c>
      <c r="D659">
        <v>2</v>
      </c>
      <c r="E659" s="1">
        <v>40513.497916666667</v>
      </c>
      <c r="F659">
        <v>0.55000000000000004</v>
      </c>
      <c r="G659">
        <v>12838</v>
      </c>
      <c r="H659" t="s">
        <v>10</v>
      </c>
    </row>
    <row r="660" spans="1:8" x14ac:dyDescent="0.25">
      <c r="A660">
        <v>536415</v>
      </c>
      <c r="B660">
        <v>21976</v>
      </c>
      <c r="C660" t="s">
        <v>481</v>
      </c>
      <c r="D660">
        <v>2</v>
      </c>
      <c r="E660" s="1">
        <v>40513.497916666667</v>
      </c>
      <c r="F660">
        <v>0.55000000000000004</v>
      </c>
      <c r="G660">
        <v>12838</v>
      </c>
      <c r="H660" t="s">
        <v>10</v>
      </c>
    </row>
    <row r="661" spans="1:8" x14ac:dyDescent="0.25">
      <c r="A661">
        <v>536415</v>
      </c>
      <c r="B661">
        <v>22951</v>
      </c>
      <c r="C661" t="s">
        <v>482</v>
      </c>
      <c r="D661">
        <v>2</v>
      </c>
      <c r="E661" s="1">
        <v>40513.497916666667</v>
      </c>
      <c r="F661">
        <v>0.55000000000000004</v>
      </c>
      <c r="G661">
        <v>12838</v>
      </c>
      <c r="H661" t="s">
        <v>10</v>
      </c>
    </row>
    <row r="662" spans="1:8" x14ac:dyDescent="0.25">
      <c r="A662">
        <v>536415</v>
      </c>
      <c r="B662">
        <v>21977</v>
      </c>
      <c r="C662" t="s">
        <v>90</v>
      </c>
      <c r="D662">
        <v>3</v>
      </c>
      <c r="E662" s="1">
        <v>40513.497916666667</v>
      </c>
      <c r="F662">
        <v>0.55000000000000004</v>
      </c>
      <c r="G662">
        <v>12838</v>
      </c>
      <c r="H662" t="s">
        <v>10</v>
      </c>
    </row>
    <row r="663" spans="1:8" x14ac:dyDescent="0.25">
      <c r="A663">
        <v>536415</v>
      </c>
      <c r="B663">
        <v>22834</v>
      </c>
      <c r="C663" t="s">
        <v>483</v>
      </c>
      <c r="D663">
        <v>3</v>
      </c>
      <c r="E663" s="1">
        <v>40513.497916666667</v>
      </c>
      <c r="F663">
        <v>2.1</v>
      </c>
      <c r="G663">
        <v>12838</v>
      </c>
      <c r="H663" t="s">
        <v>10</v>
      </c>
    </row>
    <row r="664" spans="1:8" x14ac:dyDescent="0.25">
      <c r="A664">
        <v>536415</v>
      </c>
      <c r="B664">
        <v>22867</v>
      </c>
      <c r="C664" t="s">
        <v>248</v>
      </c>
      <c r="D664">
        <v>3</v>
      </c>
      <c r="E664" s="1">
        <v>40513.497916666667</v>
      </c>
      <c r="F664">
        <v>2.1</v>
      </c>
      <c r="G664">
        <v>12838</v>
      </c>
      <c r="H664" t="s">
        <v>10</v>
      </c>
    </row>
    <row r="665" spans="1:8" x14ac:dyDescent="0.25">
      <c r="A665">
        <v>536415</v>
      </c>
      <c r="B665">
        <v>22865</v>
      </c>
      <c r="C665" t="s">
        <v>238</v>
      </c>
      <c r="D665">
        <v>3</v>
      </c>
      <c r="E665" s="1">
        <v>40513.497916666667</v>
      </c>
      <c r="F665">
        <v>2.1</v>
      </c>
      <c r="G665">
        <v>12838</v>
      </c>
      <c r="H665" t="s">
        <v>10</v>
      </c>
    </row>
    <row r="666" spans="1:8" x14ac:dyDescent="0.25">
      <c r="A666">
        <v>536415</v>
      </c>
      <c r="B666">
        <v>22632</v>
      </c>
      <c r="C666" t="s">
        <v>239</v>
      </c>
      <c r="D666">
        <v>3</v>
      </c>
      <c r="E666" s="1">
        <v>40513.497916666667</v>
      </c>
      <c r="F666">
        <v>2.1</v>
      </c>
      <c r="G666">
        <v>12838</v>
      </c>
      <c r="H666" t="s">
        <v>10</v>
      </c>
    </row>
    <row r="667" spans="1:8" x14ac:dyDescent="0.25">
      <c r="A667">
        <v>536415</v>
      </c>
      <c r="B667">
        <v>21916</v>
      </c>
      <c r="C667" t="s">
        <v>484</v>
      </c>
      <c r="D667">
        <v>2</v>
      </c>
      <c r="E667" s="1">
        <v>40513.497916666667</v>
      </c>
      <c r="F667">
        <v>0.42</v>
      </c>
      <c r="G667">
        <v>12838</v>
      </c>
      <c r="H667" t="s">
        <v>10</v>
      </c>
    </row>
    <row r="668" spans="1:8" x14ac:dyDescent="0.25">
      <c r="A668">
        <v>536415</v>
      </c>
      <c r="B668">
        <v>22587</v>
      </c>
      <c r="C668" t="s">
        <v>485</v>
      </c>
      <c r="D668">
        <v>4</v>
      </c>
      <c r="E668" s="1">
        <v>40513.497916666667</v>
      </c>
      <c r="F668">
        <v>0.85</v>
      </c>
      <c r="G668">
        <v>12838</v>
      </c>
      <c r="H668" t="s">
        <v>10</v>
      </c>
    </row>
    <row r="669" spans="1:8" x14ac:dyDescent="0.25">
      <c r="A669">
        <v>536415</v>
      </c>
      <c r="B669">
        <v>22566</v>
      </c>
      <c r="C669" t="s">
        <v>486</v>
      </c>
      <c r="D669">
        <v>3</v>
      </c>
      <c r="E669" s="1">
        <v>40513.497916666667</v>
      </c>
      <c r="F669">
        <v>0.85</v>
      </c>
      <c r="G669">
        <v>12838</v>
      </c>
      <c r="H669" t="s">
        <v>10</v>
      </c>
    </row>
    <row r="670" spans="1:8" x14ac:dyDescent="0.25">
      <c r="A670">
        <v>536415</v>
      </c>
      <c r="B670">
        <v>22565</v>
      </c>
      <c r="C670" t="s">
        <v>487</v>
      </c>
      <c r="D670">
        <v>3</v>
      </c>
      <c r="E670" s="1">
        <v>40513.497916666667</v>
      </c>
      <c r="F670">
        <v>0.85</v>
      </c>
      <c r="G670">
        <v>12838</v>
      </c>
      <c r="H670" t="s">
        <v>10</v>
      </c>
    </row>
    <row r="671" spans="1:8" x14ac:dyDescent="0.25">
      <c r="A671">
        <v>536415</v>
      </c>
      <c r="B671">
        <v>22472</v>
      </c>
      <c r="C671" t="s">
        <v>488</v>
      </c>
      <c r="D671">
        <v>2</v>
      </c>
      <c r="E671" s="1">
        <v>40513.497916666667</v>
      </c>
      <c r="F671">
        <v>4.95</v>
      </c>
      <c r="G671">
        <v>12838</v>
      </c>
      <c r="H671" t="s">
        <v>10</v>
      </c>
    </row>
    <row r="672" spans="1:8" x14ac:dyDescent="0.25">
      <c r="A672">
        <v>536415</v>
      </c>
      <c r="B672">
        <v>22557</v>
      </c>
      <c r="C672" t="s">
        <v>224</v>
      </c>
      <c r="D672">
        <v>3</v>
      </c>
      <c r="E672" s="1">
        <v>40513.497916666667</v>
      </c>
      <c r="F672">
        <v>1.65</v>
      </c>
      <c r="G672">
        <v>12838</v>
      </c>
      <c r="H672" t="s">
        <v>10</v>
      </c>
    </row>
    <row r="673" spans="1:8" x14ac:dyDescent="0.25">
      <c r="A673">
        <v>536415</v>
      </c>
      <c r="B673">
        <v>22551</v>
      </c>
      <c r="C673" t="s">
        <v>489</v>
      </c>
      <c r="D673">
        <v>3</v>
      </c>
      <c r="E673" s="1">
        <v>40513.497916666667</v>
      </c>
      <c r="F673">
        <v>1.65</v>
      </c>
      <c r="G673">
        <v>12838</v>
      </c>
      <c r="H673" t="s">
        <v>10</v>
      </c>
    </row>
    <row r="674" spans="1:8" x14ac:dyDescent="0.25">
      <c r="A674">
        <v>536415</v>
      </c>
      <c r="B674">
        <v>22554</v>
      </c>
      <c r="C674" t="s">
        <v>490</v>
      </c>
      <c r="D674">
        <v>3</v>
      </c>
      <c r="E674" s="1">
        <v>40513.497916666667</v>
      </c>
      <c r="F674">
        <v>1.65</v>
      </c>
      <c r="G674">
        <v>12838</v>
      </c>
      <c r="H674" t="s">
        <v>10</v>
      </c>
    </row>
    <row r="675" spans="1:8" x14ac:dyDescent="0.25">
      <c r="A675">
        <v>536415</v>
      </c>
      <c r="B675">
        <v>22534</v>
      </c>
      <c r="C675" t="s">
        <v>491</v>
      </c>
      <c r="D675">
        <v>3</v>
      </c>
      <c r="E675" s="1">
        <v>40513.497916666667</v>
      </c>
      <c r="F675">
        <v>0.42</v>
      </c>
      <c r="G675">
        <v>12838</v>
      </c>
      <c r="H675" t="s">
        <v>10</v>
      </c>
    </row>
    <row r="676" spans="1:8" x14ac:dyDescent="0.25">
      <c r="A676">
        <v>536415</v>
      </c>
      <c r="B676">
        <v>22531</v>
      </c>
      <c r="C676" t="s">
        <v>400</v>
      </c>
      <c r="D676">
        <v>3</v>
      </c>
      <c r="E676" s="1">
        <v>40513.497916666667</v>
      </c>
      <c r="F676">
        <v>0.42</v>
      </c>
      <c r="G676">
        <v>12838</v>
      </c>
      <c r="H676" t="s">
        <v>10</v>
      </c>
    </row>
    <row r="677" spans="1:8" x14ac:dyDescent="0.25">
      <c r="A677">
        <v>536415</v>
      </c>
      <c r="B677">
        <v>22529</v>
      </c>
      <c r="C677" t="s">
        <v>492</v>
      </c>
      <c r="D677">
        <v>3</v>
      </c>
      <c r="E677" s="1">
        <v>40513.497916666667</v>
      </c>
      <c r="F677">
        <v>0.42</v>
      </c>
      <c r="G677">
        <v>12838</v>
      </c>
      <c r="H677" t="s">
        <v>10</v>
      </c>
    </row>
    <row r="678" spans="1:8" x14ac:dyDescent="0.25">
      <c r="A678">
        <v>536415</v>
      </c>
      <c r="B678">
        <v>22530</v>
      </c>
      <c r="C678" t="s">
        <v>493</v>
      </c>
      <c r="D678">
        <v>3</v>
      </c>
      <c r="E678" s="1">
        <v>40513.497916666667</v>
      </c>
      <c r="F678">
        <v>0.42</v>
      </c>
      <c r="G678">
        <v>12838</v>
      </c>
      <c r="H678" t="s">
        <v>10</v>
      </c>
    </row>
    <row r="679" spans="1:8" x14ac:dyDescent="0.25">
      <c r="A679">
        <v>536415</v>
      </c>
      <c r="B679" t="s">
        <v>494</v>
      </c>
      <c r="C679" t="s">
        <v>495</v>
      </c>
      <c r="D679">
        <v>3</v>
      </c>
      <c r="E679" s="1">
        <v>40513.497916666667</v>
      </c>
      <c r="F679">
        <v>2.95</v>
      </c>
      <c r="G679">
        <v>12838</v>
      </c>
      <c r="H679" t="s">
        <v>10</v>
      </c>
    </row>
    <row r="680" spans="1:8" x14ac:dyDescent="0.25">
      <c r="A680">
        <v>536415</v>
      </c>
      <c r="B680">
        <v>22837</v>
      </c>
      <c r="C680" t="s">
        <v>323</v>
      </c>
      <c r="D680">
        <v>3</v>
      </c>
      <c r="E680" s="1">
        <v>40513.497916666667</v>
      </c>
      <c r="F680">
        <v>4.6500000000000004</v>
      </c>
      <c r="G680">
        <v>12838</v>
      </c>
      <c r="H680" t="s">
        <v>10</v>
      </c>
    </row>
    <row r="681" spans="1:8" x14ac:dyDescent="0.25">
      <c r="A681">
        <v>536415</v>
      </c>
      <c r="B681" t="s">
        <v>496</v>
      </c>
      <c r="C681" t="s">
        <v>497</v>
      </c>
      <c r="D681">
        <v>2</v>
      </c>
      <c r="E681" s="1">
        <v>40513.497916666667</v>
      </c>
      <c r="F681">
        <v>1.25</v>
      </c>
      <c r="G681">
        <v>12838</v>
      </c>
      <c r="H681" t="s">
        <v>10</v>
      </c>
    </row>
    <row r="682" spans="1:8" x14ac:dyDescent="0.25">
      <c r="A682">
        <v>536415</v>
      </c>
      <c r="B682">
        <v>22749</v>
      </c>
      <c r="C682" t="s">
        <v>25</v>
      </c>
      <c r="D682">
        <v>2</v>
      </c>
      <c r="E682" s="1">
        <v>40513.497916666667</v>
      </c>
      <c r="F682">
        <v>3.75</v>
      </c>
      <c r="G682">
        <v>12838</v>
      </c>
      <c r="H682" t="s">
        <v>10</v>
      </c>
    </row>
    <row r="683" spans="1:8" x14ac:dyDescent="0.25">
      <c r="A683">
        <v>536415</v>
      </c>
      <c r="B683">
        <v>22807</v>
      </c>
      <c r="C683" t="s">
        <v>498</v>
      </c>
      <c r="D683">
        <v>12</v>
      </c>
      <c r="E683" s="1">
        <v>40513.497916666667</v>
      </c>
      <c r="F683">
        <v>2.95</v>
      </c>
      <c r="G683">
        <v>12838</v>
      </c>
      <c r="H683" t="s">
        <v>10</v>
      </c>
    </row>
    <row r="684" spans="1:8" x14ac:dyDescent="0.25">
      <c r="A684">
        <v>536416</v>
      </c>
      <c r="B684">
        <v>21494</v>
      </c>
      <c r="C684" t="s">
        <v>499</v>
      </c>
      <c r="D684">
        <v>12</v>
      </c>
      <c r="E684" s="1">
        <v>40513.498611111114</v>
      </c>
      <c r="F684">
        <v>1.25</v>
      </c>
      <c r="G684">
        <v>13255</v>
      </c>
      <c r="H684" t="s">
        <v>10</v>
      </c>
    </row>
    <row r="685" spans="1:8" x14ac:dyDescent="0.25">
      <c r="A685">
        <v>536416</v>
      </c>
      <c r="B685">
        <v>21915</v>
      </c>
      <c r="C685" t="s">
        <v>354</v>
      </c>
      <c r="D685">
        <v>72</v>
      </c>
      <c r="E685" s="1">
        <v>40513.498611111114</v>
      </c>
      <c r="F685">
        <v>1.25</v>
      </c>
      <c r="G685">
        <v>13255</v>
      </c>
      <c r="H685" t="s">
        <v>10</v>
      </c>
    </row>
    <row r="686" spans="1:8" x14ac:dyDescent="0.25">
      <c r="A686">
        <v>536416</v>
      </c>
      <c r="B686">
        <v>22938</v>
      </c>
      <c r="C686" t="s">
        <v>500</v>
      </c>
      <c r="D686">
        <v>12</v>
      </c>
      <c r="E686" s="1">
        <v>40513.498611111114</v>
      </c>
      <c r="F686">
        <v>1.95</v>
      </c>
      <c r="G686">
        <v>13255</v>
      </c>
      <c r="H686" t="s">
        <v>10</v>
      </c>
    </row>
    <row r="687" spans="1:8" x14ac:dyDescent="0.25">
      <c r="A687">
        <v>536416</v>
      </c>
      <c r="B687">
        <v>22768</v>
      </c>
      <c r="C687" t="s">
        <v>280</v>
      </c>
      <c r="D687">
        <v>4</v>
      </c>
      <c r="E687" s="1">
        <v>40513.498611111114</v>
      </c>
      <c r="F687">
        <v>9.9499999999999993</v>
      </c>
      <c r="G687">
        <v>13255</v>
      </c>
      <c r="H687" t="s">
        <v>10</v>
      </c>
    </row>
    <row r="688" spans="1:8" x14ac:dyDescent="0.25">
      <c r="A688">
        <v>536416</v>
      </c>
      <c r="B688">
        <v>22767</v>
      </c>
      <c r="C688" t="s">
        <v>279</v>
      </c>
      <c r="D688">
        <v>4</v>
      </c>
      <c r="E688" s="1">
        <v>40513.498611111114</v>
      </c>
      <c r="F688">
        <v>9.9499999999999993</v>
      </c>
      <c r="G688">
        <v>13255</v>
      </c>
      <c r="H688" t="s">
        <v>10</v>
      </c>
    </row>
    <row r="689" spans="1:8" x14ac:dyDescent="0.25">
      <c r="A689">
        <v>536416</v>
      </c>
      <c r="B689" t="s">
        <v>70</v>
      </c>
      <c r="C689" t="s">
        <v>71</v>
      </c>
      <c r="D689">
        <v>6</v>
      </c>
      <c r="E689" s="1">
        <v>40513.498611111114</v>
      </c>
      <c r="F689">
        <v>2.95</v>
      </c>
      <c r="G689">
        <v>13255</v>
      </c>
      <c r="H689" t="s">
        <v>10</v>
      </c>
    </row>
    <row r="690" spans="1:8" x14ac:dyDescent="0.25">
      <c r="A690">
        <v>536420</v>
      </c>
      <c r="B690">
        <v>21889</v>
      </c>
      <c r="C690" t="s">
        <v>229</v>
      </c>
      <c r="D690">
        <v>12</v>
      </c>
      <c r="E690" s="1">
        <v>40513.502083333333</v>
      </c>
      <c r="F690">
        <v>1.25</v>
      </c>
      <c r="G690">
        <v>16583</v>
      </c>
      <c r="H690" t="s">
        <v>10</v>
      </c>
    </row>
    <row r="691" spans="1:8" x14ac:dyDescent="0.25">
      <c r="A691">
        <v>536420</v>
      </c>
      <c r="B691">
        <v>21892</v>
      </c>
      <c r="C691" t="s">
        <v>501</v>
      </c>
      <c r="D691">
        <v>12</v>
      </c>
      <c r="E691" s="1">
        <v>40513.502083333333</v>
      </c>
      <c r="F691">
        <v>1.25</v>
      </c>
      <c r="G691">
        <v>16583</v>
      </c>
      <c r="H691" t="s">
        <v>10</v>
      </c>
    </row>
    <row r="692" spans="1:8" x14ac:dyDescent="0.25">
      <c r="A692">
        <v>536420</v>
      </c>
      <c r="B692">
        <v>21891</v>
      </c>
      <c r="C692" t="s">
        <v>228</v>
      </c>
      <c r="D692">
        <v>12</v>
      </c>
      <c r="E692" s="1">
        <v>40513.502083333333</v>
      </c>
      <c r="F692">
        <v>1.25</v>
      </c>
      <c r="G692">
        <v>16583</v>
      </c>
      <c r="H692" t="s">
        <v>10</v>
      </c>
    </row>
    <row r="693" spans="1:8" x14ac:dyDescent="0.25">
      <c r="A693">
        <v>536420</v>
      </c>
      <c r="B693">
        <v>21890</v>
      </c>
      <c r="C693" t="s">
        <v>502</v>
      </c>
      <c r="D693">
        <v>6</v>
      </c>
      <c r="E693" s="1">
        <v>40513.502083333333</v>
      </c>
      <c r="F693">
        <v>2.95</v>
      </c>
      <c r="G693">
        <v>16583</v>
      </c>
      <c r="H693" t="s">
        <v>10</v>
      </c>
    </row>
    <row r="694" spans="1:8" x14ac:dyDescent="0.25">
      <c r="A694">
        <v>536420</v>
      </c>
      <c r="B694">
        <v>21718</v>
      </c>
      <c r="C694" t="s">
        <v>503</v>
      </c>
      <c r="D694">
        <v>12</v>
      </c>
      <c r="E694" s="1">
        <v>40513.502083333333</v>
      </c>
      <c r="F694">
        <v>1.25</v>
      </c>
      <c r="G694">
        <v>16583</v>
      </c>
      <c r="H694" t="s">
        <v>10</v>
      </c>
    </row>
    <row r="695" spans="1:8" x14ac:dyDescent="0.25">
      <c r="A695">
        <v>536420</v>
      </c>
      <c r="B695">
        <v>21716</v>
      </c>
      <c r="C695" t="s">
        <v>504</v>
      </c>
      <c r="D695">
        <v>8</v>
      </c>
      <c r="E695" s="1">
        <v>40513.502083333333</v>
      </c>
      <c r="F695">
        <v>2.5499999999999998</v>
      </c>
      <c r="G695">
        <v>16583</v>
      </c>
      <c r="H695" t="s">
        <v>10</v>
      </c>
    </row>
    <row r="696" spans="1:8" x14ac:dyDescent="0.25">
      <c r="A696">
        <v>536420</v>
      </c>
      <c r="B696">
        <v>21715</v>
      </c>
      <c r="C696" t="s">
        <v>505</v>
      </c>
      <c r="D696">
        <v>8</v>
      </c>
      <c r="E696" s="1">
        <v>40513.502083333333</v>
      </c>
      <c r="F696">
        <v>2.5499999999999998</v>
      </c>
      <c r="G696">
        <v>16583</v>
      </c>
      <c r="H696" t="s">
        <v>10</v>
      </c>
    </row>
    <row r="697" spans="1:8" x14ac:dyDescent="0.25">
      <c r="A697">
        <v>536420</v>
      </c>
      <c r="B697">
        <v>22113</v>
      </c>
      <c r="C697" t="s">
        <v>506</v>
      </c>
      <c r="D697">
        <v>4</v>
      </c>
      <c r="E697" s="1">
        <v>40513.502083333333</v>
      </c>
      <c r="F697">
        <v>3.75</v>
      </c>
      <c r="G697">
        <v>16583</v>
      </c>
      <c r="H697" t="s">
        <v>10</v>
      </c>
    </row>
    <row r="698" spans="1:8" x14ac:dyDescent="0.25">
      <c r="A698">
        <v>536420</v>
      </c>
      <c r="B698">
        <v>22111</v>
      </c>
      <c r="C698" t="s">
        <v>261</v>
      </c>
      <c r="D698">
        <v>3</v>
      </c>
      <c r="E698" s="1">
        <v>40513.502083333333</v>
      </c>
      <c r="F698">
        <v>4.95</v>
      </c>
      <c r="G698">
        <v>16583</v>
      </c>
      <c r="H698" t="s">
        <v>10</v>
      </c>
    </row>
    <row r="699" spans="1:8" x14ac:dyDescent="0.25">
      <c r="A699">
        <v>536420</v>
      </c>
      <c r="B699">
        <v>22110</v>
      </c>
      <c r="C699" t="s">
        <v>262</v>
      </c>
      <c r="D699">
        <v>6</v>
      </c>
      <c r="E699" s="1">
        <v>40513.502083333333</v>
      </c>
      <c r="F699">
        <v>2.5499999999999998</v>
      </c>
      <c r="G699">
        <v>16583</v>
      </c>
      <c r="H699" t="s">
        <v>10</v>
      </c>
    </row>
    <row r="700" spans="1:8" x14ac:dyDescent="0.25">
      <c r="A700">
        <v>536420</v>
      </c>
      <c r="B700">
        <v>22358</v>
      </c>
      <c r="C700" t="s">
        <v>507</v>
      </c>
      <c r="D700">
        <v>6</v>
      </c>
      <c r="E700" s="1">
        <v>40513.502083333333</v>
      </c>
      <c r="F700">
        <v>2.95</v>
      </c>
      <c r="G700">
        <v>16583</v>
      </c>
      <c r="H700" t="s">
        <v>10</v>
      </c>
    </row>
    <row r="701" spans="1:8" x14ac:dyDescent="0.25">
      <c r="A701">
        <v>536420</v>
      </c>
      <c r="B701">
        <v>22357</v>
      </c>
      <c r="C701" t="s">
        <v>508</v>
      </c>
      <c r="D701">
        <v>4</v>
      </c>
      <c r="E701" s="1">
        <v>40513.502083333333</v>
      </c>
      <c r="F701">
        <v>4.25</v>
      </c>
      <c r="G701">
        <v>16583</v>
      </c>
      <c r="H701" t="s">
        <v>10</v>
      </c>
    </row>
    <row r="702" spans="1:8" x14ac:dyDescent="0.25">
      <c r="A702">
        <v>536420</v>
      </c>
      <c r="B702">
        <v>22115</v>
      </c>
      <c r="C702" t="s">
        <v>509</v>
      </c>
      <c r="D702">
        <v>6</v>
      </c>
      <c r="E702" s="1">
        <v>40513.502083333333</v>
      </c>
      <c r="F702">
        <v>2.95</v>
      </c>
      <c r="G702">
        <v>16583</v>
      </c>
      <c r="H702" t="s">
        <v>10</v>
      </c>
    </row>
    <row r="703" spans="1:8" x14ac:dyDescent="0.25">
      <c r="A703">
        <v>536420</v>
      </c>
      <c r="B703">
        <v>22969</v>
      </c>
      <c r="C703" t="s">
        <v>183</v>
      </c>
      <c r="D703">
        <v>12</v>
      </c>
      <c r="E703" s="1">
        <v>40513.502083333333</v>
      </c>
      <c r="F703">
        <v>1.45</v>
      </c>
      <c r="G703">
        <v>16583</v>
      </c>
      <c r="H703" t="s">
        <v>10</v>
      </c>
    </row>
    <row r="704" spans="1:8" x14ac:dyDescent="0.25">
      <c r="A704">
        <v>536423</v>
      </c>
      <c r="B704">
        <v>22619</v>
      </c>
      <c r="C704" t="s">
        <v>227</v>
      </c>
      <c r="D704">
        <v>4</v>
      </c>
      <c r="E704" s="1">
        <v>40513.505555555559</v>
      </c>
      <c r="F704">
        <v>3.75</v>
      </c>
      <c r="G704">
        <v>18085</v>
      </c>
      <c r="H704" t="s">
        <v>10</v>
      </c>
    </row>
    <row r="705" spans="1:8" x14ac:dyDescent="0.25">
      <c r="A705">
        <v>536423</v>
      </c>
      <c r="B705">
        <v>21481</v>
      </c>
      <c r="C705" t="s">
        <v>510</v>
      </c>
      <c r="D705">
        <v>6</v>
      </c>
      <c r="E705" s="1">
        <v>40513.505555555559</v>
      </c>
      <c r="F705">
        <v>2.95</v>
      </c>
      <c r="G705">
        <v>18085</v>
      </c>
      <c r="H705" t="s">
        <v>10</v>
      </c>
    </row>
    <row r="706" spans="1:8" x14ac:dyDescent="0.25">
      <c r="A706">
        <v>536423</v>
      </c>
      <c r="B706">
        <v>22632</v>
      </c>
      <c r="C706" t="s">
        <v>239</v>
      </c>
      <c r="D706">
        <v>12</v>
      </c>
      <c r="E706" s="1">
        <v>40513.505555555559</v>
      </c>
      <c r="F706">
        <v>2.1</v>
      </c>
      <c r="G706">
        <v>18085</v>
      </c>
      <c r="H706" t="s">
        <v>10</v>
      </c>
    </row>
    <row r="707" spans="1:8" x14ac:dyDescent="0.25">
      <c r="A707">
        <v>536423</v>
      </c>
      <c r="B707">
        <v>22837</v>
      </c>
      <c r="C707" t="s">
        <v>323</v>
      </c>
      <c r="D707">
        <v>8</v>
      </c>
      <c r="E707" s="1">
        <v>40513.505555555559</v>
      </c>
      <c r="F707">
        <v>4.6500000000000004</v>
      </c>
      <c r="G707">
        <v>18085</v>
      </c>
      <c r="H707" t="s">
        <v>10</v>
      </c>
    </row>
    <row r="708" spans="1:8" x14ac:dyDescent="0.25">
      <c r="A708">
        <v>536423</v>
      </c>
      <c r="B708">
        <v>21479</v>
      </c>
      <c r="C708" t="s">
        <v>260</v>
      </c>
      <c r="D708">
        <v>8</v>
      </c>
      <c r="E708" s="1">
        <v>40513.505555555559</v>
      </c>
      <c r="F708">
        <v>3.75</v>
      </c>
      <c r="G708">
        <v>18085</v>
      </c>
      <c r="H708" t="s">
        <v>10</v>
      </c>
    </row>
    <row r="709" spans="1:8" x14ac:dyDescent="0.25">
      <c r="A709">
        <v>536423</v>
      </c>
      <c r="B709">
        <v>21485</v>
      </c>
      <c r="C709" t="s">
        <v>214</v>
      </c>
      <c r="D709">
        <v>8</v>
      </c>
      <c r="E709" s="1">
        <v>40513.505555555559</v>
      </c>
      <c r="F709">
        <v>4.95</v>
      </c>
      <c r="G709">
        <v>18085</v>
      </c>
      <c r="H709" t="s">
        <v>10</v>
      </c>
    </row>
    <row r="710" spans="1:8" x14ac:dyDescent="0.25">
      <c r="A710">
        <v>536423</v>
      </c>
      <c r="B710" t="s">
        <v>16</v>
      </c>
      <c r="C710" t="s">
        <v>17</v>
      </c>
      <c r="D710">
        <v>8</v>
      </c>
      <c r="E710" s="1">
        <v>40513.505555555559</v>
      </c>
      <c r="F710">
        <v>3.75</v>
      </c>
      <c r="G710">
        <v>18085</v>
      </c>
      <c r="H710" t="s">
        <v>10</v>
      </c>
    </row>
    <row r="711" spans="1:8" x14ac:dyDescent="0.25">
      <c r="A711">
        <v>536423</v>
      </c>
      <c r="B711">
        <v>22111</v>
      </c>
      <c r="C711" t="s">
        <v>261</v>
      </c>
      <c r="D711">
        <v>16</v>
      </c>
      <c r="E711" s="1">
        <v>40513.505555555559</v>
      </c>
      <c r="F711">
        <v>4.95</v>
      </c>
      <c r="G711">
        <v>18085</v>
      </c>
      <c r="H711" t="s">
        <v>10</v>
      </c>
    </row>
    <row r="712" spans="1:8" x14ac:dyDescent="0.25">
      <c r="A712">
        <v>536423</v>
      </c>
      <c r="B712">
        <v>22113</v>
      </c>
      <c r="C712" t="s">
        <v>506</v>
      </c>
      <c r="D712">
        <v>8</v>
      </c>
      <c r="E712" s="1">
        <v>40513.505555555559</v>
      </c>
      <c r="F712">
        <v>3.75</v>
      </c>
      <c r="G712">
        <v>18085</v>
      </c>
      <c r="H712" t="s">
        <v>10</v>
      </c>
    </row>
    <row r="713" spans="1:8" x14ac:dyDescent="0.25">
      <c r="A713">
        <v>536425</v>
      </c>
      <c r="B713">
        <v>22837</v>
      </c>
      <c r="C713" t="s">
        <v>323</v>
      </c>
      <c r="D713">
        <v>8</v>
      </c>
      <c r="E713" s="1">
        <v>40513.505555555559</v>
      </c>
      <c r="F713">
        <v>4.6500000000000004</v>
      </c>
      <c r="G713">
        <v>13758</v>
      </c>
      <c r="H713" t="s">
        <v>10</v>
      </c>
    </row>
    <row r="714" spans="1:8" x14ac:dyDescent="0.25">
      <c r="A714">
        <v>536425</v>
      </c>
      <c r="B714">
        <v>22585</v>
      </c>
      <c r="C714" t="s">
        <v>511</v>
      </c>
      <c r="D714">
        <v>12</v>
      </c>
      <c r="E714" s="1">
        <v>40513.505555555559</v>
      </c>
      <c r="F714">
        <v>1.25</v>
      </c>
      <c r="G714">
        <v>13758</v>
      </c>
      <c r="H714" t="s">
        <v>10</v>
      </c>
    </row>
    <row r="715" spans="1:8" x14ac:dyDescent="0.25">
      <c r="A715">
        <v>536425</v>
      </c>
      <c r="B715">
        <v>79321</v>
      </c>
      <c r="C715" t="s">
        <v>174</v>
      </c>
      <c r="D715">
        <v>8</v>
      </c>
      <c r="E715" s="1">
        <v>40513.505555555559</v>
      </c>
      <c r="F715">
        <v>4.95</v>
      </c>
      <c r="G715">
        <v>13758</v>
      </c>
      <c r="H715" t="s">
        <v>10</v>
      </c>
    </row>
    <row r="716" spans="1:8" x14ac:dyDescent="0.25">
      <c r="A716">
        <v>536425</v>
      </c>
      <c r="B716">
        <v>22637</v>
      </c>
      <c r="C716" t="s">
        <v>110</v>
      </c>
      <c r="D716">
        <v>12</v>
      </c>
      <c r="E716" s="1">
        <v>40513.505555555559</v>
      </c>
      <c r="F716">
        <v>2.5499999999999998</v>
      </c>
      <c r="G716">
        <v>13758</v>
      </c>
      <c r="H716" t="s">
        <v>10</v>
      </c>
    </row>
    <row r="717" spans="1:8" x14ac:dyDescent="0.25">
      <c r="A717">
        <v>536425</v>
      </c>
      <c r="B717">
        <v>21556</v>
      </c>
      <c r="C717" t="s">
        <v>512</v>
      </c>
      <c r="D717">
        <v>6</v>
      </c>
      <c r="E717" s="1">
        <v>40513.505555555559</v>
      </c>
      <c r="F717">
        <v>2.5499999999999998</v>
      </c>
      <c r="G717">
        <v>13758</v>
      </c>
      <c r="H717" t="s">
        <v>10</v>
      </c>
    </row>
    <row r="718" spans="1:8" x14ac:dyDescent="0.25">
      <c r="A718">
        <v>536425</v>
      </c>
      <c r="B718">
        <v>22646</v>
      </c>
      <c r="C718" t="s">
        <v>132</v>
      </c>
      <c r="D718">
        <v>12</v>
      </c>
      <c r="E718" s="1">
        <v>40513.505555555559</v>
      </c>
      <c r="F718">
        <v>1.45</v>
      </c>
      <c r="G718">
        <v>13758</v>
      </c>
      <c r="H718" t="s">
        <v>10</v>
      </c>
    </row>
    <row r="719" spans="1:8" x14ac:dyDescent="0.25">
      <c r="A719">
        <v>536425</v>
      </c>
      <c r="B719">
        <v>22644</v>
      </c>
      <c r="C719" t="s">
        <v>125</v>
      </c>
      <c r="D719">
        <v>12</v>
      </c>
      <c r="E719" s="1">
        <v>40513.505555555559</v>
      </c>
      <c r="F719">
        <v>1.45</v>
      </c>
      <c r="G719">
        <v>13758</v>
      </c>
      <c r="H719" t="s">
        <v>10</v>
      </c>
    </row>
    <row r="720" spans="1:8" x14ac:dyDescent="0.25">
      <c r="A720">
        <v>536425</v>
      </c>
      <c r="B720">
        <v>22645</v>
      </c>
      <c r="C720" t="s">
        <v>513</v>
      </c>
      <c r="D720">
        <v>12</v>
      </c>
      <c r="E720" s="1">
        <v>40513.505555555559</v>
      </c>
      <c r="F720">
        <v>1.45</v>
      </c>
      <c r="G720">
        <v>13758</v>
      </c>
      <c r="H720" t="s">
        <v>10</v>
      </c>
    </row>
    <row r="721" spans="1:8" x14ac:dyDescent="0.25">
      <c r="A721">
        <v>536425</v>
      </c>
      <c r="B721">
        <v>22650</v>
      </c>
      <c r="C721" t="s">
        <v>514</v>
      </c>
      <c r="D721">
        <v>12</v>
      </c>
      <c r="E721" s="1">
        <v>40513.505555555559</v>
      </c>
      <c r="F721">
        <v>1.45</v>
      </c>
      <c r="G721">
        <v>13758</v>
      </c>
      <c r="H721" t="s">
        <v>10</v>
      </c>
    </row>
    <row r="722" spans="1:8" x14ac:dyDescent="0.25">
      <c r="A722">
        <v>536425</v>
      </c>
      <c r="B722">
        <v>22508</v>
      </c>
      <c r="C722" t="s">
        <v>515</v>
      </c>
      <c r="D722">
        <v>8</v>
      </c>
      <c r="E722" s="1">
        <v>40513.505555555559</v>
      </c>
      <c r="F722">
        <v>3.75</v>
      </c>
      <c r="G722">
        <v>13758</v>
      </c>
      <c r="H722" t="s">
        <v>10</v>
      </c>
    </row>
    <row r="723" spans="1:8" x14ac:dyDescent="0.25">
      <c r="A723">
        <v>536425</v>
      </c>
      <c r="B723">
        <v>21411</v>
      </c>
      <c r="C723" t="s">
        <v>179</v>
      </c>
      <c r="D723">
        <v>3</v>
      </c>
      <c r="E723" s="1">
        <v>40513.505555555559</v>
      </c>
      <c r="F723">
        <v>4.25</v>
      </c>
      <c r="G723">
        <v>13758</v>
      </c>
      <c r="H723" t="s">
        <v>10</v>
      </c>
    </row>
    <row r="724" spans="1:8" x14ac:dyDescent="0.25">
      <c r="A724">
        <v>536425</v>
      </c>
      <c r="B724">
        <v>22511</v>
      </c>
      <c r="C724" t="s">
        <v>516</v>
      </c>
      <c r="D724">
        <v>4</v>
      </c>
      <c r="E724" s="1">
        <v>40513.505555555559</v>
      </c>
      <c r="F724">
        <v>3.75</v>
      </c>
      <c r="G724">
        <v>13758</v>
      </c>
      <c r="H724" t="s">
        <v>10</v>
      </c>
    </row>
    <row r="725" spans="1:8" x14ac:dyDescent="0.25">
      <c r="A725">
        <v>536425</v>
      </c>
      <c r="B725">
        <v>22451</v>
      </c>
      <c r="C725" t="s">
        <v>266</v>
      </c>
      <c r="D725">
        <v>6</v>
      </c>
      <c r="E725" s="1">
        <v>40513.505555555559</v>
      </c>
      <c r="F725">
        <v>3.35</v>
      </c>
      <c r="G725">
        <v>13758</v>
      </c>
      <c r="H725" t="s">
        <v>10</v>
      </c>
    </row>
    <row r="726" spans="1:8" x14ac:dyDescent="0.25">
      <c r="A726">
        <v>536425</v>
      </c>
      <c r="B726">
        <v>22449</v>
      </c>
      <c r="C726" t="s">
        <v>257</v>
      </c>
      <c r="D726">
        <v>6</v>
      </c>
      <c r="E726" s="1">
        <v>40513.505555555559</v>
      </c>
      <c r="F726">
        <v>3.35</v>
      </c>
      <c r="G726">
        <v>13758</v>
      </c>
      <c r="H726" t="s">
        <v>10</v>
      </c>
    </row>
    <row r="727" spans="1:8" x14ac:dyDescent="0.25">
      <c r="A727">
        <v>536425</v>
      </c>
      <c r="B727">
        <v>22768</v>
      </c>
      <c r="C727" t="s">
        <v>280</v>
      </c>
      <c r="D727">
        <v>2</v>
      </c>
      <c r="E727" s="1">
        <v>40513.505555555559</v>
      </c>
      <c r="F727">
        <v>9.9499999999999993</v>
      </c>
      <c r="G727">
        <v>13758</v>
      </c>
      <c r="H727" t="s">
        <v>10</v>
      </c>
    </row>
    <row r="728" spans="1:8" x14ac:dyDescent="0.25">
      <c r="A728">
        <v>536425</v>
      </c>
      <c r="B728">
        <v>22829</v>
      </c>
      <c r="C728" t="s">
        <v>517</v>
      </c>
      <c r="D728">
        <v>2</v>
      </c>
      <c r="E728" s="1">
        <v>40513.505555555559</v>
      </c>
      <c r="F728">
        <v>9.9499999999999993</v>
      </c>
      <c r="G728">
        <v>13758</v>
      </c>
      <c r="H728" t="s">
        <v>10</v>
      </c>
    </row>
    <row r="729" spans="1:8" x14ac:dyDescent="0.25">
      <c r="A729">
        <v>536425</v>
      </c>
      <c r="B729">
        <v>22961</v>
      </c>
      <c r="C729" t="s">
        <v>100</v>
      </c>
      <c r="D729">
        <v>12</v>
      </c>
      <c r="E729" s="1">
        <v>40513.505555555559</v>
      </c>
      <c r="F729">
        <v>1.45</v>
      </c>
      <c r="G729">
        <v>13758</v>
      </c>
      <c r="H729" t="s">
        <v>10</v>
      </c>
    </row>
    <row r="730" spans="1:8" x14ac:dyDescent="0.25">
      <c r="A730">
        <v>536437</v>
      </c>
      <c r="B730">
        <v>21154</v>
      </c>
      <c r="C730" t="s">
        <v>518</v>
      </c>
      <c r="D730">
        <v>200</v>
      </c>
      <c r="E730" s="1">
        <v>40513.508333333331</v>
      </c>
      <c r="F730">
        <v>1.06</v>
      </c>
      <c r="G730">
        <v>13694</v>
      </c>
      <c r="H730" t="s">
        <v>10</v>
      </c>
    </row>
    <row r="731" spans="1:8" x14ac:dyDescent="0.25">
      <c r="A731">
        <v>536437</v>
      </c>
      <c r="B731">
        <v>22189</v>
      </c>
      <c r="C731" t="s">
        <v>162</v>
      </c>
      <c r="D731">
        <v>72</v>
      </c>
      <c r="E731" s="1">
        <v>40513.508333333331</v>
      </c>
      <c r="F731">
        <v>3.39</v>
      </c>
      <c r="G731">
        <v>13694</v>
      </c>
      <c r="H731" t="s">
        <v>10</v>
      </c>
    </row>
    <row r="732" spans="1:8" x14ac:dyDescent="0.25">
      <c r="A732">
        <v>536437</v>
      </c>
      <c r="B732">
        <v>17021</v>
      </c>
      <c r="C732" t="s">
        <v>519</v>
      </c>
      <c r="D732">
        <v>600</v>
      </c>
      <c r="E732" s="1">
        <v>40513.508333333331</v>
      </c>
      <c r="F732">
        <v>0.24</v>
      </c>
      <c r="G732">
        <v>13694</v>
      </c>
      <c r="H732" t="s">
        <v>10</v>
      </c>
    </row>
    <row r="733" spans="1:8" x14ac:dyDescent="0.25">
      <c r="A733">
        <v>536437</v>
      </c>
      <c r="B733">
        <v>22059</v>
      </c>
      <c r="C733" t="s">
        <v>520</v>
      </c>
      <c r="D733">
        <v>48</v>
      </c>
      <c r="E733" s="1">
        <v>40513.508333333331</v>
      </c>
      <c r="F733">
        <v>1.25</v>
      </c>
      <c r="G733">
        <v>13694</v>
      </c>
      <c r="H733" t="s">
        <v>10</v>
      </c>
    </row>
    <row r="734" spans="1:8" x14ac:dyDescent="0.25">
      <c r="A734">
        <v>536437</v>
      </c>
      <c r="B734">
        <v>22188</v>
      </c>
      <c r="C734" t="s">
        <v>244</v>
      </c>
      <c r="D734">
        <v>36</v>
      </c>
      <c r="E734" s="1">
        <v>40513.508333333331</v>
      </c>
      <c r="F734">
        <v>3.39</v>
      </c>
      <c r="G734">
        <v>13694</v>
      </c>
      <c r="H734" t="s">
        <v>10</v>
      </c>
    </row>
    <row r="735" spans="1:8" x14ac:dyDescent="0.25">
      <c r="A735">
        <v>536437</v>
      </c>
      <c r="B735">
        <v>84678</v>
      </c>
      <c r="C735" t="s">
        <v>521</v>
      </c>
      <c r="D735">
        <v>48</v>
      </c>
      <c r="E735" s="1">
        <v>40513.508333333331</v>
      </c>
      <c r="F735">
        <v>1.25</v>
      </c>
      <c r="G735">
        <v>13694</v>
      </c>
      <c r="H735" t="s">
        <v>10</v>
      </c>
    </row>
    <row r="736" spans="1:8" x14ac:dyDescent="0.25">
      <c r="A736">
        <v>536446</v>
      </c>
      <c r="B736">
        <v>85172</v>
      </c>
      <c r="C736" t="s">
        <v>522</v>
      </c>
      <c r="D736">
        <v>32</v>
      </c>
      <c r="E736" s="1">
        <v>40513.510416666664</v>
      </c>
      <c r="F736">
        <v>0.42</v>
      </c>
      <c r="G736">
        <v>15983</v>
      </c>
      <c r="H736" t="s">
        <v>10</v>
      </c>
    </row>
    <row r="737" spans="1:8" x14ac:dyDescent="0.25">
      <c r="A737">
        <v>536446</v>
      </c>
      <c r="B737">
        <v>22142</v>
      </c>
      <c r="C737" t="s">
        <v>523</v>
      </c>
      <c r="D737">
        <v>2</v>
      </c>
      <c r="E737" s="1">
        <v>40513.510416666664</v>
      </c>
      <c r="F737">
        <v>1.45</v>
      </c>
      <c r="G737">
        <v>15983</v>
      </c>
      <c r="H737" t="s">
        <v>10</v>
      </c>
    </row>
    <row r="738" spans="1:8" x14ac:dyDescent="0.25">
      <c r="A738">
        <v>536446</v>
      </c>
      <c r="B738">
        <v>22144</v>
      </c>
      <c r="C738" t="s">
        <v>438</v>
      </c>
      <c r="D738">
        <v>2</v>
      </c>
      <c r="E738" s="1">
        <v>40513.510416666664</v>
      </c>
      <c r="F738">
        <v>2.1</v>
      </c>
      <c r="G738">
        <v>15983</v>
      </c>
      <c r="H738" t="s">
        <v>10</v>
      </c>
    </row>
    <row r="739" spans="1:8" x14ac:dyDescent="0.25">
      <c r="A739">
        <v>536446</v>
      </c>
      <c r="B739">
        <v>21591</v>
      </c>
      <c r="C739" t="s">
        <v>524</v>
      </c>
      <c r="D739">
        <v>6</v>
      </c>
      <c r="E739" s="1">
        <v>40513.510416666664</v>
      </c>
      <c r="F739">
        <v>1.25</v>
      </c>
      <c r="G739">
        <v>15983</v>
      </c>
      <c r="H739" t="s">
        <v>10</v>
      </c>
    </row>
    <row r="740" spans="1:8" x14ac:dyDescent="0.25">
      <c r="A740">
        <v>536446</v>
      </c>
      <c r="B740">
        <v>22480</v>
      </c>
      <c r="C740" t="s">
        <v>525</v>
      </c>
      <c r="D740">
        <v>12</v>
      </c>
      <c r="E740" s="1">
        <v>40513.510416666664</v>
      </c>
      <c r="F740">
        <v>1.25</v>
      </c>
      <c r="G740">
        <v>15983</v>
      </c>
      <c r="H740" t="s">
        <v>10</v>
      </c>
    </row>
    <row r="741" spans="1:8" x14ac:dyDescent="0.25">
      <c r="A741">
        <v>536446</v>
      </c>
      <c r="B741">
        <v>22294</v>
      </c>
      <c r="C741" t="s">
        <v>526</v>
      </c>
      <c r="D741">
        <v>48</v>
      </c>
      <c r="E741" s="1">
        <v>40513.510416666664</v>
      </c>
      <c r="F741">
        <v>1.25</v>
      </c>
      <c r="G741">
        <v>15983</v>
      </c>
      <c r="H741" t="s">
        <v>10</v>
      </c>
    </row>
    <row r="742" spans="1:8" x14ac:dyDescent="0.25">
      <c r="A742">
        <v>536446</v>
      </c>
      <c r="B742">
        <v>21156</v>
      </c>
      <c r="C742" t="s">
        <v>527</v>
      </c>
      <c r="D742">
        <v>1</v>
      </c>
      <c r="E742" s="1">
        <v>40513.510416666664</v>
      </c>
      <c r="F742">
        <v>1.95</v>
      </c>
      <c r="G742">
        <v>15983</v>
      </c>
      <c r="H742" t="s">
        <v>10</v>
      </c>
    </row>
    <row r="743" spans="1:8" x14ac:dyDescent="0.25">
      <c r="A743">
        <v>536446</v>
      </c>
      <c r="B743">
        <v>10133</v>
      </c>
      <c r="C743" t="s">
        <v>528</v>
      </c>
      <c r="D743">
        <v>5</v>
      </c>
      <c r="E743" s="1">
        <v>40513.510416666664</v>
      </c>
      <c r="F743">
        <v>0.85</v>
      </c>
      <c r="G743">
        <v>15983</v>
      </c>
      <c r="H743" t="s">
        <v>10</v>
      </c>
    </row>
    <row r="744" spans="1:8" x14ac:dyDescent="0.25">
      <c r="A744">
        <v>536446</v>
      </c>
      <c r="B744" t="s">
        <v>529</v>
      </c>
      <c r="C744" t="s">
        <v>530</v>
      </c>
      <c r="D744">
        <v>6</v>
      </c>
      <c r="E744" s="1">
        <v>40513.510416666664</v>
      </c>
      <c r="F744">
        <v>2.5499999999999998</v>
      </c>
      <c r="G744">
        <v>15983</v>
      </c>
      <c r="H744" t="s">
        <v>10</v>
      </c>
    </row>
    <row r="745" spans="1:8" x14ac:dyDescent="0.25">
      <c r="A745">
        <v>536446</v>
      </c>
      <c r="B745">
        <v>22294</v>
      </c>
      <c r="C745" t="s">
        <v>526</v>
      </c>
      <c r="D745">
        <v>24</v>
      </c>
      <c r="E745" s="1">
        <v>40513.510416666664</v>
      </c>
      <c r="F745">
        <v>1.25</v>
      </c>
      <c r="G745">
        <v>15983</v>
      </c>
      <c r="H745" t="s">
        <v>10</v>
      </c>
    </row>
    <row r="746" spans="1:8" x14ac:dyDescent="0.25">
      <c r="A746">
        <v>536446</v>
      </c>
      <c r="B746">
        <v>84836</v>
      </c>
      <c r="C746" t="s">
        <v>531</v>
      </c>
      <c r="D746">
        <v>12</v>
      </c>
      <c r="E746" s="1">
        <v>40513.510416666664</v>
      </c>
      <c r="F746">
        <v>1.25</v>
      </c>
      <c r="G746">
        <v>15983</v>
      </c>
      <c r="H746" t="s">
        <v>10</v>
      </c>
    </row>
    <row r="747" spans="1:8" x14ac:dyDescent="0.25">
      <c r="A747">
        <v>536446</v>
      </c>
      <c r="B747">
        <v>20774</v>
      </c>
      <c r="C747" t="s">
        <v>532</v>
      </c>
      <c r="D747">
        <v>2</v>
      </c>
      <c r="E747" s="1">
        <v>40513.510416666664</v>
      </c>
      <c r="F747">
        <v>1.65</v>
      </c>
      <c r="G747">
        <v>15983</v>
      </c>
      <c r="H747" t="s">
        <v>10</v>
      </c>
    </row>
    <row r="748" spans="1:8" x14ac:dyDescent="0.25">
      <c r="A748">
        <v>536446</v>
      </c>
      <c r="B748">
        <v>20773</v>
      </c>
      <c r="C748" t="s">
        <v>533</v>
      </c>
      <c r="D748">
        <v>2</v>
      </c>
      <c r="E748" s="1">
        <v>40513.510416666664</v>
      </c>
      <c r="F748">
        <v>1.65</v>
      </c>
      <c r="G748">
        <v>15983</v>
      </c>
      <c r="H748" t="s">
        <v>10</v>
      </c>
    </row>
    <row r="749" spans="1:8" x14ac:dyDescent="0.25">
      <c r="A749">
        <v>536446</v>
      </c>
      <c r="B749">
        <v>20777</v>
      </c>
      <c r="C749" t="s">
        <v>534</v>
      </c>
      <c r="D749">
        <v>2</v>
      </c>
      <c r="E749" s="1">
        <v>40513.510416666664</v>
      </c>
      <c r="F749">
        <v>1.65</v>
      </c>
      <c r="G749">
        <v>15983</v>
      </c>
      <c r="H749" t="s">
        <v>10</v>
      </c>
    </row>
    <row r="750" spans="1:8" x14ac:dyDescent="0.25">
      <c r="A750">
        <v>536446</v>
      </c>
      <c r="B750">
        <v>16016</v>
      </c>
      <c r="C750" t="s">
        <v>535</v>
      </c>
      <c r="D750">
        <v>10</v>
      </c>
      <c r="E750" s="1">
        <v>40513.510416666664</v>
      </c>
      <c r="F750">
        <v>0.85</v>
      </c>
      <c r="G750">
        <v>15983</v>
      </c>
      <c r="H750" t="s">
        <v>10</v>
      </c>
    </row>
    <row r="751" spans="1:8" x14ac:dyDescent="0.25">
      <c r="A751">
        <v>536446</v>
      </c>
      <c r="B751">
        <v>16014</v>
      </c>
      <c r="C751" t="s">
        <v>536</v>
      </c>
      <c r="D751">
        <v>10</v>
      </c>
      <c r="E751" s="1">
        <v>40513.510416666664</v>
      </c>
      <c r="F751">
        <v>0.42</v>
      </c>
      <c r="G751">
        <v>15983</v>
      </c>
      <c r="H751" t="s">
        <v>10</v>
      </c>
    </row>
    <row r="752" spans="1:8" x14ac:dyDescent="0.25">
      <c r="A752">
        <v>536446</v>
      </c>
      <c r="B752">
        <v>21890</v>
      </c>
      <c r="C752" t="s">
        <v>502</v>
      </c>
      <c r="D752">
        <v>2</v>
      </c>
      <c r="E752" s="1">
        <v>40513.510416666664</v>
      </c>
      <c r="F752">
        <v>2.95</v>
      </c>
      <c r="G752">
        <v>15983</v>
      </c>
      <c r="H752" t="s">
        <v>10</v>
      </c>
    </row>
    <row r="753" spans="1:8" x14ac:dyDescent="0.25">
      <c r="A753">
        <v>536446</v>
      </c>
      <c r="B753">
        <v>21891</v>
      </c>
      <c r="C753" t="s">
        <v>228</v>
      </c>
      <c r="D753">
        <v>2</v>
      </c>
      <c r="E753" s="1">
        <v>40513.510416666664</v>
      </c>
      <c r="F753">
        <v>1.25</v>
      </c>
      <c r="G753">
        <v>15983</v>
      </c>
      <c r="H753" t="s">
        <v>10</v>
      </c>
    </row>
    <row r="754" spans="1:8" x14ac:dyDescent="0.25">
      <c r="A754">
        <v>536446</v>
      </c>
      <c r="B754">
        <v>22619</v>
      </c>
      <c r="C754" t="s">
        <v>227</v>
      </c>
      <c r="D754">
        <v>8</v>
      </c>
      <c r="E754" s="1">
        <v>40513.510416666664</v>
      </c>
      <c r="F754">
        <v>3.75</v>
      </c>
      <c r="G754">
        <v>15983</v>
      </c>
      <c r="H754" t="s">
        <v>10</v>
      </c>
    </row>
    <row r="755" spans="1:8" x14ac:dyDescent="0.25">
      <c r="A755">
        <v>536446</v>
      </c>
      <c r="B755">
        <v>22620</v>
      </c>
      <c r="C755" t="s">
        <v>379</v>
      </c>
      <c r="D755">
        <v>6</v>
      </c>
      <c r="E755" s="1">
        <v>40513.510416666664</v>
      </c>
      <c r="F755">
        <v>1.25</v>
      </c>
      <c r="G755">
        <v>15983</v>
      </c>
      <c r="H755" t="s">
        <v>10</v>
      </c>
    </row>
    <row r="756" spans="1:8" x14ac:dyDescent="0.25">
      <c r="A756">
        <v>536446</v>
      </c>
      <c r="B756">
        <v>84347</v>
      </c>
      <c r="C756" t="s">
        <v>377</v>
      </c>
      <c r="D756">
        <v>12</v>
      </c>
      <c r="E756" s="1">
        <v>40513.510416666664</v>
      </c>
      <c r="F756">
        <v>2.5499999999999998</v>
      </c>
      <c r="G756">
        <v>15983</v>
      </c>
      <c r="H756" t="s">
        <v>10</v>
      </c>
    </row>
    <row r="757" spans="1:8" x14ac:dyDescent="0.25">
      <c r="A757">
        <v>536446</v>
      </c>
      <c r="B757" t="s">
        <v>405</v>
      </c>
      <c r="C757" t="s">
        <v>406</v>
      </c>
      <c r="D757">
        <v>24</v>
      </c>
      <c r="E757" s="1">
        <v>40513.510416666664</v>
      </c>
      <c r="F757">
        <v>1.25</v>
      </c>
      <c r="G757">
        <v>15983</v>
      </c>
      <c r="H757" t="s">
        <v>10</v>
      </c>
    </row>
    <row r="758" spans="1:8" x14ac:dyDescent="0.25">
      <c r="A758">
        <v>536446</v>
      </c>
      <c r="B758">
        <v>21156</v>
      </c>
      <c r="C758" t="s">
        <v>527</v>
      </c>
      <c r="D758">
        <v>3</v>
      </c>
      <c r="E758" s="1">
        <v>40513.510416666664</v>
      </c>
      <c r="F758">
        <v>1.95</v>
      </c>
      <c r="G758">
        <v>15983</v>
      </c>
      <c r="H758" t="s">
        <v>10</v>
      </c>
    </row>
    <row r="759" spans="1:8" x14ac:dyDescent="0.25">
      <c r="A759">
        <v>536446</v>
      </c>
      <c r="B759">
        <v>21651</v>
      </c>
      <c r="C759" t="s">
        <v>537</v>
      </c>
      <c r="D759">
        <v>6</v>
      </c>
      <c r="E759" s="1">
        <v>40513.510416666664</v>
      </c>
      <c r="F759">
        <v>1.65</v>
      </c>
      <c r="G759">
        <v>15983</v>
      </c>
      <c r="H759" t="s">
        <v>10</v>
      </c>
    </row>
    <row r="760" spans="1:8" x14ac:dyDescent="0.25">
      <c r="A760">
        <v>536446</v>
      </c>
      <c r="B760">
        <v>21651</v>
      </c>
      <c r="C760" t="s">
        <v>537</v>
      </c>
      <c r="D760">
        <v>6</v>
      </c>
      <c r="E760" s="1">
        <v>40513.510416666664</v>
      </c>
      <c r="F760">
        <v>1.65</v>
      </c>
      <c r="G760">
        <v>15983</v>
      </c>
      <c r="H760" t="s">
        <v>10</v>
      </c>
    </row>
    <row r="761" spans="1:8" x14ac:dyDescent="0.25">
      <c r="A761">
        <v>536446</v>
      </c>
      <c r="B761" t="s">
        <v>315</v>
      </c>
      <c r="C761" t="s">
        <v>316</v>
      </c>
      <c r="D761">
        <v>10</v>
      </c>
      <c r="E761" s="1">
        <v>40513.510416666664</v>
      </c>
      <c r="F761">
        <v>2.95</v>
      </c>
      <c r="G761">
        <v>15983</v>
      </c>
      <c r="H761" t="s">
        <v>10</v>
      </c>
    </row>
    <row r="762" spans="1:8" x14ac:dyDescent="0.25">
      <c r="A762">
        <v>536446</v>
      </c>
      <c r="B762">
        <v>22618</v>
      </c>
      <c r="C762" t="s">
        <v>538</v>
      </c>
      <c r="D762">
        <v>2</v>
      </c>
      <c r="E762" s="1">
        <v>40513.510416666664</v>
      </c>
      <c r="F762">
        <v>9.9499999999999993</v>
      </c>
      <c r="G762">
        <v>15983</v>
      </c>
      <c r="H762" t="s">
        <v>10</v>
      </c>
    </row>
    <row r="763" spans="1:8" x14ac:dyDescent="0.25">
      <c r="A763">
        <v>536446</v>
      </c>
      <c r="B763">
        <v>21586</v>
      </c>
      <c r="C763" t="s">
        <v>539</v>
      </c>
      <c r="D763">
        <v>4</v>
      </c>
      <c r="E763" s="1">
        <v>40513.510416666664</v>
      </c>
      <c r="F763">
        <v>2.5499999999999998</v>
      </c>
      <c r="G763">
        <v>15983</v>
      </c>
      <c r="H763" t="s">
        <v>10</v>
      </c>
    </row>
    <row r="764" spans="1:8" x14ac:dyDescent="0.25">
      <c r="A764">
        <v>536446</v>
      </c>
      <c r="B764">
        <v>21587</v>
      </c>
      <c r="C764" t="s">
        <v>307</v>
      </c>
      <c r="D764">
        <v>4</v>
      </c>
      <c r="E764" s="1">
        <v>40513.510416666664</v>
      </c>
      <c r="F764">
        <v>2.5499999999999998</v>
      </c>
      <c r="G764">
        <v>15983</v>
      </c>
      <c r="H764" t="s">
        <v>10</v>
      </c>
    </row>
    <row r="765" spans="1:8" x14ac:dyDescent="0.25">
      <c r="A765">
        <v>536446</v>
      </c>
      <c r="B765">
        <v>22152</v>
      </c>
      <c r="C765" t="s">
        <v>540</v>
      </c>
      <c r="D765">
        <v>24</v>
      </c>
      <c r="E765" s="1">
        <v>40513.510416666664</v>
      </c>
      <c r="F765">
        <v>0.42</v>
      </c>
      <c r="G765">
        <v>15983</v>
      </c>
      <c r="H765" t="s">
        <v>10</v>
      </c>
    </row>
    <row r="766" spans="1:8" x14ac:dyDescent="0.25">
      <c r="A766">
        <v>536446</v>
      </c>
      <c r="B766">
        <v>85172</v>
      </c>
      <c r="C766" t="s">
        <v>522</v>
      </c>
      <c r="D766">
        <v>16</v>
      </c>
      <c r="E766" s="1">
        <v>40513.510416666664</v>
      </c>
      <c r="F766">
        <v>0.42</v>
      </c>
      <c r="G766">
        <v>15983</v>
      </c>
      <c r="H766" t="s">
        <v>10</v>
      </c>
    </row>
    <row r="767" spans="1:8" x14ac:dyDescent="0.25">
      <c r="A767">
        <v>536446</v>
      </c>
      <c r="B767">
        <v>84754</v>
      </c>
      <c r="C767" t="s">
        <v>541</v>
      </c>
      <c r="D767">
        <v>24</v>
      </c>
      <c r="E767" s="1">
        <v>40513.510416666664</v>
      </c>
      <c r="F767">
        <v>1.25</v>
      </c>
      <c r="G767">
        <v>15983</v>
      </c>
      <c r="H767" t="s">
        <v>10</v>
      </c>
    </row>
    <row r="768" spans="1:8" x14ac:dyDescent="0.25">
      <c r="A768">
        <v>536460</v>
      </c>
      <c r="B768">
        <v>22670</v>
      </c>
      <c r="C768" t="s">
        <v>542</v>
      </c>
      <c r="D768">
        <v>12</v>
      </c>
      <c r="E768" s="1">
        <v>40513.515277777777</v>
      </c>
      <c r="F768">
        <v>1.25</v>
      </c>
      <c r="G768">
        <v>14849</v>
      </c>
      <c r="H768" t="s">
        <v>10</v>
      </c>
    </row>
    <row r="769" spans="1:8" x14ac:dyDescent="0.25">
      <c r="A769">
        <v>536460</v>
      </c>
      <c r="B769">
        <v>21586</v>
      </c>
      <c r="C769" t="s">
        <v>539</v>
      </c>
      <c r="D769">
        <v>12</v>
      </c>
      <c r="E769" s="1">
        <v>40513.515277777777</v>
      </c>
      <c r="F769">
        <v>2.5499999999999998</v>
      </c>
      <c r="G769">
        <v>14849</v>
      </c>
      <c r="H769" t="s">
        <v>10</v>
      </c>
    </row>
    <row r="770" spans="1:8" x14ac:dyDescent="0.25">
      <c r="A770">
        <v>536460</v>
      </c>
      <c r="B770">
        <v>84992</v>
      </c>
      <c r="C770" t="s">
        <v>345</v>
      </c>
      <c r="D770">
        <v>24</v>
      </c>
      <c r="E770" s="1">
        <v>40513.515277777777</v>
      </c>
      <c r="F770">
        <v>0.55000000000000004</v>
      </c>
      <c r="G770">
        <v>14849</v>
      </c>
      <c r="H770" t="s">
        <v>10</v>
      </c>
    </row>
    <row r="771" spans="1:8" x14ac:dyDescent="0.25">
      <c r="A771">
        <v>536460</v>
      </c>
      <c r="B771">
        <v>84879</v>
      </c>
      <c r="C771" t="s">
        <v>22</v>
      </c>
      <c r="D771">
        <v>24</v>
      </c>
      <c r="E771" s="1">
        <v>40513.515277777777</v>
      </c>
      <c r="F771">
        <v>1.69</v>
      </c>
      <c r="G771">
        <v>14849</v>
      </c>
      <c r="H771" t="s">
        <v>10</v>
      </c>
    </row>
    <row r="772" spans="1:8" x14ac:dyDescent="0.25">
      <c r="A772">
        <v>536460</v>
      </c>
      <c r="B772" t="s">
        <v>543</v>
      </c>
      <c r="C772" t="s">
        <v>544</v>
      </c>
      <c r="D772">
        <v>12</v>
      </c>
      <c r="E772" s="1">
        <v>40513.515277777777</v>
      </c>
      <c r="F772">
        <v>1.69</v>
      </c>
      <c r="G772">
        <v>14849</v>
      </c>
      <c r="H772" t="s">
        <v>10</v>
      </c>
    </row>
    <row r="773" spans="1:8" x14ac:dyDescent="0.25">
      <c r="A773">
        <v>536460</v>
      </c>
      <c r="B773">
        <v>22927</v>
      </c>
      <c r="C773" t="s">
        <v>545</v>
      </c>
      <c r="D773">
        <v>2</v>
      </c>
      <c r="E773" s="1">
        <v>40513.515277777777</v>
      </c>
      <c r="F773">
        <v>5.95</v>
      </c>
      <c r="G773">
        <v>14849</v>
      </c>
      <c r="H773" t="s">
        <v>10</v>
      </c>
    </row>
    <row r="774" spans="1:8" x14ac:dyDescent="0.25">
      <c r="A774">
        <v>536460</v>
      </c>
      <c r="B774">
        <v>22926</v>
      </c>
      <c r="C774" t="s">
        <v>146</v>
      </c>
      <c r="D774">
        <v>4</v>
      </c>
      <c r="E774" s="1">
        <v>40513.515277777777</v>
      </c>
      <c r="F774">
        <v>5.95</v>
      </c>
      <c r="G774">
        <v>14849</v>
      </c>
      <c r="H774" t="s">
        <v>10</v>
      </c>
    </row>
    <row r="775" spans="1:8" x14ac:dyDescent="0.25">
      <c r="A775">
        <v>536460</v>
      </c>
      <c r="B775">
        <v>22925</v>
      </c>
      <c r="C775" t="s">
        <v>546</v>
      </c>
      <c r="D775">
        <v>2</v>
      </c>
      <c r="E775" s="1">
        <v>40513.515277777777</v>
      </c>
      <c r="F775">
        <v>5.95</v>
      </c>
      <c r="G775">
        <v>14849</v>
      </c>
      <c r="H775" t="s">
        <v>10</v>
      </c>
    </row>
    <row r="776" spans="1:8" x14ac:dyDescent="0.25">
      <c r="A776">
        <v>536460</v>
      </c>
      <c r="B776">
        <v>21977</v>
      </c>
      <c r="C776" t="s">
        <v>90</v>
      </c>
      <c r="D776">
        <v>24</v>
      </c>
      <c r="E776" s="1">
        <v>40513.515277777777</v>
      </c>
      <c r="F776">
        <v>0.55000000000000004</v>
      </c>
      <c r="G776">
        <v>14849</v>
      </c>
      <c r="H776" t="s">
        <v>10</v>
      </c>
    </row>
    <row r="777" spans="1:8" x14ac:dyDescent="0.25">
      <c r="A777">
        <v>536460</v>
      </c>
      <c r="B777">
        <v>21485</v>
      </c>
      <c r="C777" t="s">
        <v>214</v>
      </c>
      <c r="D777">
        <v>6</v>
      </c>
      <c r="E777" s="1">
        <v>40513.515277777777</v>
      </c>
      <c r="F777">
        <v>4.95</v>
      </c>
      <c r="G777">
        <v>14849</v>
      </c>
      <c r="H777" t="s">
        <v>10</v>
      </c>
    </row>
    <row r="778" spans="1:8" x14ac:dyDescent="0.25">
      <c r="A778">
        <v>536460</v>
      </c>
      <c r="B778">
        <v>21484</v>
      </c>
      <c r="C778" t="s">
        <v>223</v>
      </c>
      <c r="D778">
        <v>8</v>
      </c>
      <c r="E778" s="1">
        <v>40513.515277777777</v>
      </c>
      <c r="F778">
        <v>3.45</v>
      </c>
      <c r="G778">
        <v>14849</v>
      </c>
      <c r="H778" t="s">
        <v>10</v>
      </c>
    </row>
    <row r="779" spans="1:8" x14ac:dyDescent="0.25">
      <c r="A779">
        <v>536460</v>
      </c>
      <c r="B779">
        <v>21259</v>
      </c>
      <c r="C779" t="s">
        <v>547</v>
      </c>
      <c r="D779">
        <v>2</v>
      </c>
      <c r="E779" s="1">
        <v>40513.515277777777</v>
      </c>
      <c r="F779">
        <v>5.95</v>
      </c>
      <c r="G779">
        <v>14849</v>
      </c>
      <c r="H779" t="s">
        <v>10</v>
      </c>
    </row>
    <row r="780" spans="1:8" x14ac:dyDescent="0.25">
      <c r="A780">
        <v>536460</v>
      </c>
      <c r="B780">
        <v>21257</v>
      </c>
      <c r="C780" t="s">
        <v>548</v>
      </c>
      <c r="D780">
        <v>2</v>
      </c>
      <c r="E780" s="1">
        <v>40513.515277777777</v>
      </c>
      <c r="F780">
        <v>7.95</v>
      </c>
      <c r="G780">
        <v>14849</v>
      </c>
      <c r="H780" t="s">
        <v>10</v>
      </c>
    </row>
    <row r="781" spans="1:8" x14ac:dyDescent="0.25">
      <c r="A781">
        <v>536460</v>
      </c>
      <c r="B781">
        <v>21121</v>
      </c>
      <c r="C781" t="s">
        <v>549</v>
      </c>
      <c r="D781">
        <v>24</v>
      </c>
      <c r="E781" s="1">
        <v>40513.515277777777</v>
      </c>
      <c r="F781">
        <v>1.25</v>
      </c>
      <c r="G781">
        <v>14849</v>
      </c>
      <c r="H781" t="s">
        <v>10</v>
      </c>
    </row>
    <row r="782" spans="1:8" x14ac:dyDescent="0.25">
      <c r="A782">
        <v>536463</v>
      </c>
      <c r="B782">
        <v>82552</v>
      </c>
      <c r="C782" t="s">
        <v>550</v>
      </c>
      <c r="D782">
        <v>12</v>
      </c>
      <c r="E782" s="1">
        <v>40513.515277777777</v>
      </c>
      <c r="F782">
        <v>1.45</v>
      </c>
      <c r="G782">
        <v>14849</v>
      </c>
      <c r="H782" t="s">
        <v>10</v>
      </c>
    </row>
    <row r="783" spans="1:8" x14ac:dyDescent="0.25">
      <c r="A783">
        <v>536464</v>
      </c>
      <c r="B783" t="s">
        <v>551</v>
      </c>
      <c r="C783" t="s">
        <v>552</v>
      </c>
      <c r="D783">
        <v>2</v>
      </c>
      <c r="E783" s="1">
        <v>40513.515972222223</v>
      </c>
      <c r="F783">
        <v>4.25</v>
      </c>
      <c r="G783">
        <v>17968</v>
      </c>
      <c r="H783" t="s">
        <v>10</v>
      </c>
    </row>
    <row r="784" spans="1:8" x14ac:dyDescent="0.25">
      <c r="A784">
        <v>536464</v>
      </c>
      <c r="B784" t="s">
        <v>553</v>
      </c>
      <c r="C784" t="s">
        <v>554</v>
      </c>
      <c r="D784">
        <v>2</v>
      </c>
      <c r="E784" s="1">
        <v>40513.515972222223</v>
      </c>
      <c r="F784">
        <v>1.65</v>
      </c>
      <c r="G784">
        <v>17968</v>
      </c>
      <c r="H784" t="s">
        <v>10</v>
      </c>
    </row>
    <row r="785" spans="1:8" x14ac:dyDescent="0.25">
      <c r="A785">
        <v>536464</v>
      </c>
      <c r="B785" t="s">
        <v>555</v>
      </c>
      <c r="C785" t="s">
        <v>556</v>
      </c>
      <c r="D785">
        <v>2</v>
      </c>
      <c r="E785" s="1">
        <v>40513.515972222223</v>
      </c>
      <c r="F785">
        <v>4.25</v>
      </c>
      <c r="G785">
        <v>17968</v>
      </c>
      <c r="H785" t="s">
        <v>10</v>
      </c>
    </row>
    <row r="786" spans="1:8" x14ac:dyDescent="0.25">
      <c r="A786">
        <v>536464</v>
      </c>
      <c r="B786" t="s">
        <v>557</v>
      </c>
      <c r="C786" t="s">
        <v>558</v>
      </c>
      <c r="D786">
        <v>3</v>
      </c>
      <c r="E786" s="1">
        <v>40513.515972222223</v>
      </c>
      <c r="F786">
        <v>1.65</v>
      </c>
      <c r="G786">
        <v>17968</v>
      </c>
      <c r="H786" t="s">
        <v>10</v>
      </c>
    </row>
    <row r="787" spans="1:8" x14ac:dyDescent="0.25">
      <c r="A787">
        <v>536464</v>
      </c>
      <c r="B787" t="s">
        <v>559</v>
      </c>
      <c r="C787" t="s">
        <v>560</v>
      </c>
      <c r="D787">
        <v>1</v>
      </c>
      <c r="E787" s="1">
        <v>40513.515972222223</v>
      </c>
      <c r="F787">
        <v>1.65</v>
      </c>
      <c r="G787">
        <v>17968</v>
      </c>
      <c r="H787" t="s">
        <v>10</v>
      </c>
    </row>
    <row r="788" spans="1:8" x14ac:dyDescent="0.25">
      <c r="A788">
        <v>536464</v>
      </c>
      <c r="B788" t="s">
        <v>561</v>
      </c>
      <c r="C788" t="s">
        <v>562</v>
      </c>
      <c r="D788">
        <v>1</v>
      </c>
      <c r="E788" s="1">
        <v>40513.515972222223</v>
      </c>
      <c r="F788">
        <v>4.25</v>
      </c>
      <c r="G788">
        <v>17968</v>
      </c>
      <c r="H788" t="s">
        <v>10</v>
      </c>
    </row>
    <row r="789" spans="1:8" x14ac:dyDescent="0.25">
      <c r="A789">
        <v>536464</v>
      </c>
      <c r="B789" t="s">
        <v>563</v>
      </c>
      <c r="C789" t="s">
        <v>564</v>
      </c>
      <c r="D789">
        <v>3</v>
      </c>
      <c r="E789" s="1">
        <v>40513.515972222223</v>
      </c>
      <c r="F789">
        <v>4.25</v>
      </c>
      <c r="G789">
        <v>17968</v>
      </c>
      <c r="H789" t="s">
        <v>10</v>
      </c>
    </row>
    <row r="790" spans="1:8" x14ac:dyDescent="0.25">
      <c r="A790">
        <v>536464</v>
      </c>
      <c r="B790" t="s">
        <v>565</v>
      </c>
      <c r="C790" t="s">
        <v>566</v>
      </c>
      <c r="D790">
        <v>1</v>
      </c>
      <c r="E790" s="1">
        <v>40513.515972222223</v>
      </c>
      <c r="F790">
        <v>4.25</v>
      </c>
      <c r="G790">
        <v>17968</v>
      </c>
      <c r="H790" t="s">
        <v>10</v>
      </c>
    </row>
    <row r="791" spans="1:8" x14ac:dyDescent="0.25">
      <c r="A791">
        <v>536464</v>
      </c>
      <c r="B791">
        <v>22386</v>
      </c>
      <c r="C791" t="s">
        <v>75</v>
      </c>
      <c r="D791">
        <v>1</v>
      </c>
      <c r="E791" s="1">
        <v>40513.515972222223</v>
      </c>
      <c r="F791">
        <v>1.95</v>
      </c>
      <c r="G791">
        <v>17968</v>
      </c>
      <c r="H791" t="s">
        <v>10</v>
      </c>
    </row>
    <row r="792" spans="1:8" x14ac:dyDescent="0.25">
      <c r="A792">
        <v>536464</v>
      </c>
      <c r="B792" t="s">
        <v>172</v>
      </c>
      <c r="C792" t="s">
        <v>173</v>
      </c>
      <c r="D792">
        <v>1</v>
      </c>
      <c r="E792" s="1">
        <v>40513.515972222223</v>
      </c>
      <c r="F792">
        <v>1.95</v>
      </c>
      <c r="G792">
        <v>17968</v>
      </c>
      <c r="H792" t="s">
        <v>10</v>
      </c>
    </row>
    <row r="793" spans="1:8" x14ac:dyDescent="0.25">
      <c r="A793">
        <v>536464</v>
      </c>
      <c r="B793">
        <v>84879</v>
      </c>
      <c r="C793" t="s">
        <v>22</v>
      </c>
      <c r="D793">
        <v>8</v>
      </c>
      <c r="E793" s="1">
        <v>40513.515972222223</v>
      </c>
      <c r="F793">
        <v>1.69</v>
      </c>
      <c r="G793">
        <v>17968</v>
      </c>
      <c r="H793" t="s">
        <v>10</v>
      </c>
    </row>
    <row r="794" spans="1:8" x14ac:dyDescent="0.25">
      <c r="A794">
        <v>536464</v>
      </c>
      <c r="B794">
        <v>22086</v>
      </c>
      <c r="C794" t="s">
        <v>61</v>
      </c>
      <c r="D794">
        <v>1</v>
      </c>
      <c r="E794" s="1">
        <v>40513.515972222223</v>
      </c>
      <c r="F794">
        <v>2.95</v>
      </c>
      <c r="G794">
        <v>17968</v>
      </c>
      <c r="H794" t="s">
        <v>10</v>
      </c>
    </row>
    <row r="795" spans="1:8" x14ac:dyDescent="0.25">
      <c r="A795">
        <v>536464</v>
      </c>
      <c r="B795">
        <v>22737</v>
      </c>
      <c r="C795" t="s">
        <v>567</v>
      </c>
      <c r="D795">
        <v>1</v>
      </c>
      <c r="E795" s="1">
        <v>40513.515972222223</v>
      </c>
      <c r="F795">
        <v>1.65</v>
      </c>
      <c r="G795">
        <v>17968</v>
      </c>
      <c r="H795" t="s">
        <v>10</v>
      </c>
    </row>
    <row r="796" spans="1:8" x14ac:dyDescent="0.25">
      <c r="A796">
        <v>536464</v>
      </c>
      <c r="B796">
        <v>21260</v>
      </c>
      <c r="C796" t="s">
        <v>568</v>
      </c>
      <c r="D796">
        <v>1</v>
      </c>
      <c r="E796" s="1">
        <v>40513.515972222223</v>
      </c>
      <c r="F796">
        <v>3.25</v>
      </c>
      <c r="G796">
        <v>17968</v>
      </c>
      <c r="H796" t="s">
        <v>10</v>
      </c>
    </row>
    <row r="797" spans="1:8" x14ac:dyDescent="0.25">
      <c r="A797">
        <v>536464</v>
      </c>
      <c r="B797">
        <v>22744</v>
      </c>
      <c r="C797" t="s">
        <v>569</v>
      </c>
      <c r="D797">
        <v>2</v>
      </c>
      <c r="E797" s="1">
        <v>40513.515972222223</v>
      </c>
      <c r="F797">
        <v>2.95</v>
      </c>
      <c r="G797">
        <v>17968</v>
      </c>
      <c r="H797" t="s">
        <v>10</v>
      </c>
    </row>
    <row r="798" spans="1:8" x14ac:dyDescent="0.25">
      <c r="A798">
        <v>536464</v>
      </c>
      <c r="B798">
        <v>21985</v>
      </c>
      <c r="C798" t="s">
        <v>570</v>
      </c>
      <c r="D798">
        <v>1</v>
      </c>
      <c r="E798" s="1">
        <v>40513.515972222223</v>
      </c>
      <c r="F798">
        <v>0.28999999999999998</v>
      </c>
      <c r="G798">
        <v>17968</v>
      </c>
      <c r="H798" t="s">
        <v>10</v>
      </c>
    </row>
    <row r="799" spans="1:8" x14ac:dyDescent="0.25">
      <c r="A799">
        <v>536464</v>
      </c>
      <c r="B799">
        <v>21980</v>
      </c>
      <c r="C799" t="s">
        <v>222</v>
      </c>
      <c r="D799">
        <v>1</v>
      </c>
      <c r="E799" s="1">
        <v>40513.515972222223</v>
      </c>
      <c r="F799">
        <v>0.28999999999999998</v>
      </c>
      <c r="G799">
        <v>17968</v>
      </c>
      <c r="H799" t="s">
        <v>10</v>
      </c>
    </row>
    <row r="800" spans="1:8" x14ac:dyDescent="0.25">
      <c r="A800">
        <v>536464</v>
      </c>
      <c r="B800">
        <v>22988</v>
      </c>
      <c r="C800" t="s">
        <v>454</v>
      </c>
      <c r="D800">
        <v>1</v>
      </c>
      <c r="E800" s="1">
        <v>40513.515972222223</v>
      </c>
      <c r="F800">
        <v>1.25</v>
      </c>
      <c r="G800">
        <v>17968</v>
      </c>
      <c r="H800" t="s">
        <v>10</v>
      </c>
    </row>
    <row r="801" spans="1:8" x14ac:dyDescent="0.25">
      <c r="A801">
        <v>536464</v>
      </c>
      <c r="B801">
        <v>22297</v>
      </c>
      <c r="C801" t="s">
        <v>325</v>
      </c>
      <c r="D801">
        <v>1</v>
      </c>
      <c r="E801" s="1">
        <v>40513.515972222223</v>
      </c>
      <c r="F801">
        <v>1.25</v>
      </c>
      <c r="G801">
        <v>17968</v>
      </c>
      <c r="H801" t="s">
        <v>10</v>
      </c>
    </row>
    <row r="802" spans="1:8" x14ac:dyDescent="0.25">
      <c r="A802">
        <v>536464</v>
      </c>
      <c r="B802">
        <v>22294</v>
      </c>
      <c r="C802" t="s">
        <v>526</v>
      </c>
      <c r="D802">
        <v>1</v>
      </c>
      <c r="E802" s="1">
        <v>40513.515972222223</v>
      </c>
      <c r="F802">
        <v>1.25</v>
      </c>
      <c r="G802">
        <v>17968</v>
      </c>
      <c r="H802" t="s">
        <v>10</v>
      </c>
    </row>
    <row r="803" spans="1:8" x14ac:dyDescent="0.25">
      <c r="A803">
        <v>536464</v>
      </c>
      <c r="B803">
        <v>22295</v>
      </c>
      <c r="C803" t="s">
        <v>571</v>
      </c>
      <c r="D803">
        <v>1</v>
      </c>
      <c r="E803" s="1">
        <v>40513.515972222223</v>
      </c>
      <c r="F803">
        <v>1.65</v>
      </c>
      <c r="G803">
        <v>17968</v>
      </c>
      <c r="H803" t="s">
        <v>10</v>
      </c>
    </row>
    <row r="804" spans="1:8" x14ac:dyDescent="0.25">
      <c r="A804">
        <v>536464</v>
      </c>
      <c r="B804">
        <v>22813</v>
      </c>
      <c r="C804" t="s">
        <v>357</v>
      </c>
      <c r="D804">
        <v>2</v>
      </c>
      <c r="E804" s="1">
        <v>40513.515972222223</v>
      </c>
      <c r="F804">
        <v>1.95</v>
      </c>
      <c r="G804">
        <v>17968</v>
      </c>
      <c r="H804" t="s">
        <v>10</v>
      </c>
    </row>
    <row r="805" spans="1:8" x14ac:dyDescent="0.25">
      <c r="A805">
        <v>536464</v>
      </c>
      <c r="B805">
        <v>22812</v>
      </c>
      <c r="C805" t="s">
        <v>376</v>
      </c>
      <c r="D805">
        <v>6</v>
      </c>
      <c r="E805" s="1">
        <v>40513.515972222223</v>
      </c>
      <c r="F805">
        <v>1.95</v>
      </c>
      <c r="G805">
        <v>17968</v>
      </c>
      <c r="H805" t="s">
        <v>10</v>
      </c>
    </row>
    <row r="806" spans="1:8" x14ac:dyDescent="0.25">
      <c r="A806">
        <v>536464</v>
      </c>
      <c r="B806">
        <v>22197</v>
      </c>
      <c r="C806" t="s">
        <v>208</v>
      </c>
      <c r="D806">
        <v>5</v>
      </c>
      <c r="E806" s="1">
        <v>40513.515972222223</v>
      </c>
      <c r="F806">
        <v>0.85</v>
      </c>
      <c r="G806">
        <v>17968</v>
      </c>
      <c r="H806" t="s">
        <v>10</v>
      </c>
    </row>
    <row r="807" spans="1:8" x14ac:dyDescent="0.25">
      <c r="A807">
        <v>536464</v>
      </c>
      <c r="B807">
        <v>21977</v>
      </c>
      <c r="C807" t="s">
        <v>90</v>
      </c>
      <c r="D807">
        <v>1</v>
      </c>
      <c r="E807" s="1">
        <v>40513.515972222223</v>
      </c>
      <c r="F807">
        <v>0.55000000000000004</v>
      </c>
      <c r="G807">
        <v>17968</v>
      </c>
      <c r="H807" t="s">
        <v>10</v>
      </c>
    </row>
    <row r="808" spans="1:8" x14ac:dyDescent="0.25">
      <c r="A808">
        <v>536464</v>
      </c>
      <c r="B808">
        <v>22619</v>
      </c>
      <c r="C808" t="s">
        <v>227</v>
      </c>
      <c r="D808">
        <v>1</v>
      </c>
      <c r="E808" s="1">
        <v>40513.515972222223</v>
      </c>
      <c r="F808">
        <v>3.75</v>
      </c>
      <c r="G808">
        <v>17968</v>
      </c>
      <c r="H808" t="s">
        <v>10</v>
      </c>
    </row>
    <row r="809" spans="1:8" x14ac:dyDescent="0.25">
      <c r="A809">
        <v>536464</v>
      </c>
      <c r="B809" t="s">
        <v>572</v>
      </c>
      <c r="C809" t="s">
        <v>573</v>
      </c>
      <c r="D809">
        <v>1</v>
      </c>
      <c r="E809" s="1">
        <v>40513.515972222223</v>
      </c>
      <c r="F809">
        <v>0.42</v>
      </c>
      <c r="G809">
        <v>17968</v>
      </c>
      <c r="H809" t="s">
        <v>10</v>
      </c>
    </row>
    <row r="810" spans="1:8" x14ac:dyDescent="0.25">
      <c r="A810">
        <v>536464</v>
      </c>
      <c r="B810">
        <v>21992</v>
      </c>
      <c r="C810" t="s">
        <v>574</v>
      </c>
      <c r="D810">
        <v>1</v>
      </c>
      <c r="E810" s="1">
        <v>40513.515972222223</v>
      </c>
      <c r="F810">
        <v>2.95</v>
      </c>
      <c r="G810">
        <v>17968</v>
      </c>
      <c r="H810" t="s">
        <v>10</v>
      </c>
    </row>
    <row r="811" spans="1:8" x14ac:dyDescent="0.25">
      <c r="A811">
        <v>536464</v>
      </c>
      <c r="B811">
        <v>22910</v>
      </c>
      <c r="C811" t="s">
        <v>206</v>
      </c>
      <c r="D811">
        <v>1</v>
      </c>
      <c r="E811" s="1">
        <v>40513.515972222223</v>
      </c>
      <c r="F811">
        <v>2.95</v>
      </c>
      <c r="G811">
        <v>17968</v>
      </c>
      <c r="H811" t="s">
        <v>10</v>
      </c>
    </row>
    <row r="812" spans="1:8" x14ac:dyDescent="0.25">
      <c r="A812">
        <v>536464</v>
      </c>
      <c r="B812">
        <v>21124</v>
      </c>
      <c r="C812" t="s">
        <v>575</v>
      </c>
      <c r="D812">
        <v>1</v>
      </c>
      <c r="E812" s="1">
        <v>40513.515972222223</v>
      </c>
      <c r="F812">
        <v>1.25</v>
      </c>
      <c r="G812">
        <v>17968</v>
      </c>
      <c r="H812" t="s">
        <v>10</v>
      </c>
    </row>
    <row r="813" spans="1:8" x14ac:dyDescent="0.25">
      <c r="A813">
        <v>536464</v>
      </c>
      <c r="B813">
        <v>22735</v>
      </c>
      <c r="C813" t="s">
        <v>576</v>
      </c>
      <c r="D813">
        <v>2</v>
      </c>
      <c r="E813" s="1">
        <v>40513.515972222223</v>
      </c>
      <c r="F813">
        <v>1.65</v>
      </c>
      <c r="G813">
        <v>17968</v>
      </c>
      <c r="H813" t="s">
        <v>10</v>
      </c>
    </row>
    <row r="814" spans="1:8" x14ac:dyDescent="0.25">
      <c r="A814">
        <v>536464</v>
      </c>
      <c r="B814">
        <v>22952</v>
      </c>
      <c r="C814" t="s">
        <v>456</v>
      </c>
      <c r="D814">
        <v>2</v>
      </c>
      <c r="E814" s="1">
        <v>40513.515972222223</v>
      </c>
      <c r="F814">
        <v>0.55000000000000004</v>
      </c>
      <c r="G814">
        <v>17968</v>
      </c>
      <c r="H814" t="s">
        <v>10</v>
      </c>
    </row>
    <row r="815" spans="1:8" x14ac:dyDescent="0.25">
      <c r="A815">
        <v>536464</v>
      </c>
      <c r="B815">
        <v>22945</v>
      </c>
      <c r="C815" t="s">
        <v>577</v>
      </c>
      <c r="D815">
        <v>6</v>
      </c>
      <c r="E815" s="1">
        <v>40513.515972222223</v>
      </c>
      <c r="F815">
        <v>0.85</v>
      </c>
      <c r="G815">
        <v>17968</v>
      </c>
      <c r="H815" t="s">
        <v>10</v>
      </c>
    </row>
    <row r="816" spans="1:8" x14ac:dyDescent="0.25">
      <c r="A816">
        <v>536464</v>
      </c>
      <c r="B816">
        <v>21816</v>
      </c>
      <c r="C816" t="s">
        <v>578</v>
      </c>
      <c r="D816">
        <v>2</v>
      </c>
      <c r="E816" s="1">
        <v>40513.515972222223</v>
      </c>
      <c r="F816">
        <v>1.45</v>
      </c>
      <c r="G816">
        <v>17968</v>
      </c>
      <c r="H816" t="s">
        <v>10</v>
      </c>
    </row>
    <row r="817" spans="1:8" x14ac:dyDescent="0.25">
      <c r="A817">
        <v>536464</v>
      </c>
      <c r="B817">
        <v>21815</v>
      </c>
      <c r="C817" t="s">
        <v>579</v>
      </c>
      <c r="D817">
        <v>4</v>
      </c>
      <c r="E817" s="1">
        <v>40513.515972222223</v>
      </c>
      <c r="F817">
        <v>1.45</v>
      </c>
      <c r="G817">
        <v>17968</v>
      </c>
      <c r="H817" t="s">
        <v>10</v>
      </c>
    </row>
    <row r="818" spans="1:8" x14ac:dyDescent="0.25">
      <c r="A818">
        <v>536464</v>
      </c>
      <c r="B818">
        <v>21814</v>
      </c>
      <c r="C818" t="s">
        <v>580</v>
      </c>
      <c r="D818">
        <v>2</v>
      </c>
      <c r="E818" s="1">
        <v>40513.515972222223</v>
      </c>
      <c r="F818">
        <v>1.45</v>
      </c>
      <c r="G818">
        <v>17968</v>
      </c>
      <c r="H818" t="s">
        <v>10</v>
      </c>
    </row>
    <row r="819" spans="1:8" x14ac:dyDescent="0.25">
      <c r="A819">
        <v>536464</v>
      </c>
      <c r="B819">
        <v>10125</v>
      </c>
      <c r="C819" t="s">
        <v>581</v>
      </c>
      <c r="D819">
        <v>2</v>
      </c>
      <c r="E819" s="1">
        <v>40513.515972222223</v>
      </c>
      <c r="F819">
        <v>0.85</v>
      </c>
      <c r="G819">
        <v>17968</v>
      </c>
      <c r="H819" t="s">
        <v>10</v>
      </c>
    </row>
    <row r="820" spans="1:8" x14ac:dyDescent="0.25">
      <c r="A820">
        <v>536464</v>
      </c>
      <c r="B820">
        <v>22810</v>
      </c>
      <c r="C820" t="s">
        <v>295</v>
      </c>
      <c r="D820">
        <v>1</v>
      </c>
      <c r="E820" s="1">
        <v>40513.515972222223</v>
      </c>
      <c r="F820">
        <v>2.95</v>
      </c>
      <c r="G820">
        <v>17968</v>
      </c>
      <c r="H820" t="s">
        <v>10</v>
      </c>
    </row>
    <row r="821" spans="1:8" x14ac:dyDescent="0.25">
      <c r="A821">
        <v>536464</v>
      </c>
      <c r="B821">
        <v>22573</v>
      </c>
      <c r="C821" t="s">
        <v>582</v>
      </c>
      <c r="D821">
        <v>1</v>
      </c>
      <c r="E821" s="1">
        <v>40513.515972222223</v>
      </c>
      <c r="F821">
        <v>0.85</v>
      </c>
      <c r="G821">
        <v>17968</v>
      </c>
      <c r="H821" t="s">
        <v>10</v>
      </c>
    </row>
    <row r="822" spans="1:8" x14ac:dyDescent="0.25">
      <c r="A822">
        <v>536464</v>
      </c>
      <c r="B822">
        <v>22577</v>
      </c>
      <c r="C822" t="s">
        <v>583</v>
      </c>
      <c r="D822">
        <v>1</v>
      </c>
      <c r="E822" s="1">
        <v>40513.515972222223</v>
      </c>
      <c r="F822">
        <v>0.85</v>
      </c>
      <c r="G822">
        <v>17968</v>
      </c>
      <c r="H822" t="s">
        <v>10</v>
      </c>
    </row>
    <row r="823" spans="1:8" x14ac:dyDescent="0.25">
      <c r="A823">
        <v>536464</v>
      </c>
      <c r="B823">
        <v>22603</v>
      </c>
      <c r="C823" t="s">
        <v>584</v>
      </c>
      <c r="D823">
        <v>2</v>
      </c>
      <c r="E823" s="1">
        <v>40513.515972222223</v>
      </c>
      <c r="F823">
        <v>0.85</v>
      </c>
      <c r="G823">
        <v>17968</v>
      </c>
      <c r="H823" t="s">
        <v>10</v>
      </c>
    </row>
    <row r="824" spans="1:8" x14ac:dyDescent="0.25">
      <c r="A824">
        <v>536464</v>
      </c>
      <c r="B824">
        <v>22809</v>
      </c>
      <c r="C824" t="s">
        <v>296</v>
      </c>
      <c r="D824">
        <v>1</v>
      </c>
      <c r="E824" s="1">
        <v>40513.515972222223</v>
      </c>
      <c r="F824">
        <v>2.95</v>
      </c>
      <c r="G824">
        <v>17968</v>
      </c>
      <c r="H824" t="s">
        <v>10</v>
      </c>
    </row>
    <row r="825" spans="1:8" x14ac:dyDescent="0.25">
      <c r="A825">
        <v>536464</v>
      </c>
      <c r="B825">
        <v>20878</v>
      </c>
      <c r="C825" t="s">
        <v>585</v>
      </c>
      <c r="D825">
        <v>1</v>
      </c>
      <c r="E825" s="1">
        <v>40513.515972222223</v>
      </c>
      <c r="F825">
        <v>1.25</v>
      </c>
      <c r="G825">
        <v>17968</v>
      </c>
      <c r="H825" t="s">
        <v>10</v>
      </c>
    </row>
    <row r="826" spans="1:8" x14ac:dyDescent="0.25">
      <c r="A826">
        <v>536464</v>
      </c>
      <c r="B826">
        <v>20866</v>
      </c>
      <c r="C826" t="s">
        <v>586</v>
      </c>
      <c r="D826">
        <v>1</v>
      </c>
      <c r="E826" s="1">
        <v>40513.515972222223</v>
      </c>
      <c r="F826">
        <v>1.25</v>
      </c>
      <c r="G826">
        <v>17968</v>
      </c>
      <c r="H826" t="s">
        <v>10</v>
      </c>
    </row>
    <row r="827" spans="1:8" x14ac:dyDescent="0.25">
      <c r="A827">
        <v>536464</v>
      </c>
      <c r="B827">
        <v>85095</v>
      </c>
      <c r="C827" t="s">
        <v>587</v>
      </c>
      <c r="D827">
        <v>1</v>
      </c>
      <c r="E827" s="1">
        <v>40513.515972222223</v>
      </c>
      <c r="F827">
        <v>1.95</v>
      </c>
      <c r="G827">
        <v>17968</v>
      </c>
      <c r="H827" t="s">
        <v>10</v>
      </c>
    </row>
    <row r="828" spans="1:8" x14ac:dyDescent="0.25">
      <c r="A828">
        <v>536464</v>
      </c>
      <c r="B828">
        <v>22333</v>
      </c>
      <c r="C828" t="s">
        <v>588</v>
      </c>
      <c r="D828">
        <v>1</v>
      </c>
      <c r="E828" s="1">
        <v>40513.515972222223</v>
      </c>
      <c r="F828">
        <v>1.65</v>
      </c>
      <c r="G828">
        <v>17968</v>
      </c>
      <c r="H828" t="s">
        <v>10</v>
      </c>
    </row>
    <row r="829" spans="1:8" x14ac:dyDescent="0.25">
      <c r="A829">
        <v>536464</v>
      </c>
      <c r="B829">
        <v>22557</v>
      </c>
      <c r="C829" t="s">
        <v>224</v>
      </c>
      <c r="D829">
        <v>1</v>
      </c>
      <c r="E829" s="1">
        <v>40513.515972222223</v>
      </c>
      <c r="F829">
        <v>1.65</v>
      </c>
      <c r="G829">
        <v>17968</v>
      </c>
      <c r="H829" t="s">
        <v>10</v>
      </c>
    </row>
    <row r="830" spans="1:8" x14ac:dyDescent="0.25">
      <c r="A830">
        <v>536464</v>
      </c>
      <c r="B830">
        <v>21584</v>
      </c>
      <c r="C830" t="s">
        <v>589</v>
      </c>
      <c r="D830">
        <v>1</v>
      </c>
      <c r="E830" s="1">
        <v>40513.515972222223</v>
      </c>
      <c r="F830">
        <v>1.65</v>
      </c>
      <c r="G830">
        <v>17968</v>
      </c>
      <c r="H830" t="s">
        <v>10</v>
      </c>
    </row>
    <row r="831" spans="1:8" x14ac:dyDescent="0.25">
      <c r="A831">
        <v>536464</v>
      </c>
      <c r="B831">
        <v>22866</v>
      </c>
      <c r="C831" t="s">
        <v>237</v>
      </c>
      <c r="D831">
        <v>1</v>
      </c>
      <c r="E831" s="1">
        <v>40513.515972222223</v>
      </c>
      <c r="F831">
        <v>2.1</v>
      </c>
      <c r="G831">
        <v>17968</v>
      </c>
      <c r="H831" t="s">
        <v>10</v>
      </c>
    </row>
    <row r="832" spans="1:8" x14ac:dyDescent="0.25">
      <c r="A832">
        <v>536464</v>
      </c>
      <c r="B832">
        <v>22731</v>
      </c>
      <c r="C832" t="s">
        <v>590</v>
      </c>
      <c r="D832">
        <v>2</v>
      </c>
      <c r="E832" s="1">
        <v>40513.515972222223</v>
      </c>
      <c r="F832">
        <v>1.25</v>
      </c>
      <c r="G832">
        <v>17968</v>
      </c>
      <c r="H832" t="s">
        <v>10</v>
      </c>
    </row>
    <row r="833" spans="1:8" x14ac:dyDescent="0.25">
      <c r="A833">
        <v>536464</v>
      </c>
      <c r="B833">
        <v>22866</v>
      </c>
      <c r="C833" t="s">
        <v>237</v>
      </c>
      <c r="D833">
        <v>1</v>
      </c>
      <c r="E833" s="1">
        <v>40513.515972222223</v>
      </c>
      <c r="F833">
        <v>2.1</v>
      </c>
      <c r="G833">
        <v>17968</v>
      </c>
      <c r="H833" t="s">
        <v>10</v>
      </c>
    </row>
    <row r="834" spans="1:8" x14ac:dyDescent="0.25">
      <c r="A834">
        <v>536464</v>
      </c>
      <c r="B834">
        <v>22866</v>
      </c>
      <c r="C834" t="s">
        <v>237</v>
      </c>
      <c r="D834">
        <v>3</v>
      </c>
      <c r="E834" s="1">
        <v>40513.515972222223</v>
      </c>
      <c r="F834">
        <v>2.1</v>
      </c>
      <c r="G834">
        <v>17968</v>
      </c>
      <c r="H834" t="s">
        <v>10</v>
      </c>
    </row>
    <row r="835" spans="1:8" x14ac:dyDescent="0.25">
      <c r="A835">
        <v>536464</v>
      </c>
      <c r="B835">
        <v>22558</v>
      </c>
      <c r="C835" t="s">
        <v>241</v>
      </c>
      <c r="D835">
        <v>2</v>
      </c>
      <c r="E835" s="1">
        <v>40513.515972222223</v>
      </c>
      <c r="F835">
        <v>1.49</v>
      </c>
      <c r="G835">
        <v>17968</v>
      </c>
      <c r="H835" t="s">
        <v>10</v>
      </c>
    </row>
    <row r="836" spans="1:8" x14ac:dyDescent="0.25">
      <c r="A836">
        <v>536464</v>
      </c>
      <c r="B836">
        <v>22956</v>
      </c>
      <c r="C836" t="s">
        <v>591</v>
      </c>
      <c r="D836">
        <v>1</v>
      </c>
      <c r="E836" s="1">
        <v>40513.515972222223</v>
      </c>
      <c r="F836">
        <v>2.1</v>
      </c>
      <c r="G836">
        <v>17968</v>
      </c>
      <c r="H836" t="s">
        <v>10</v>
      </c>
    </row>
    <row r="837" spans="1:8" x14ac:dyDescent="0.25">
      <c r="A837">
        <v>536464</v>
      </c>
      <c r="B837">
        <v>22945</v>
      </c>
      <c r="C837" t="s">
        <v>577</v>
      </c>
      <c r="D837">
        <v>6</v>
      </c>
      <c r="E837" s="1">
        <v>40513.515972222223</v>
      </c>
      <c r="F837">
        <v>0.85</v>
      </c>
      <c r="G837">
        <v>17968</v>
      </c>
      <c r="H837" t="s">
        <v>10</v>
      </c>
    </row>
    <row r="838" spans="1:8" x14ac:dyDescent="0.25">
      <c r="A838">
        <v>536464</v>
      </c>
      <c r="B838">
        <v>22582</v>
      </c>
      <c r="C838" t="s">
        <v>592</v>
      </c>
      <c r="D838">
        <v>1</v>
      </c>
      <c r="E838" s="1">
        <v>40513.515972222223</v>
      </c>
      <c r="F838">
        <v>2.5499999999999998</v>
      </c>
      <c r="G838">
        <v>17968</v>
      </c>
      <c r="H838" t="s">
        <v>10</v>
      </c>
    </row>
    <row r="839" spans="1:8" x14ac:dyDescent="0.25">
      <c r="A839">
        <v>536464</v>
      </c>
      <c r="B839">
        <v>21212</v>
      </c>
      <c r="C839" t="s">
        <v>88</v>
      </c>
      <c r="D839">
        <v>1</v>
      </c>
      <c r="E839" s="1">
        <v>40513.515972222223</v>
      </c>
      <c r="F839">
        <v>0.55000000000000004</v>
      </c>
      <c r="G839">
        <v>17968</v>
      </c>
      <c r="H839" t="s">
        <v>10</v>
      </c>
    </row>
    <row r="840" spans="1:8" x14ac:dyDescent="0.25">
      <c r="A840">
        <v>536464</v>
      </c>
      <c r="B840">
        <v>21212</v>
      </c>
      <c r="C840" t="s">
        <v>88</v>
      </c>
      <c r="D840">
        <v>2</v>
      </c>
      <c r="E840" s="1">
        <v>40513.515972222223</v>
      </c>
      <c r="F840">
        <v>0.55000000000000004</v>
      </c>
      <c r="G840">
        <v>17968</v>
      </c>
      <c r="H840" t="s">
        <v>10</v>
      </c>
    </row>
    <row r="841" spans="1:8" x14ac:dyDescent="0.25">
      <c r="A841">
        <v>536464</v>
      </c>
      <c r="B841">
        <v>22585</v>
      </c>
      <c r="C841" t="s">
        <v>511</v>
      </c>
      <c r="D841">
        <v>3</v>
      </c>
      <c r="E841" s="1">
        <v>40513.515972222223</v>
      </c>
      <c r="F841">
        <v>1.25</v>
      </c>
      <c r="G841">
        <v>17968</v>
      </c>
      <c r="H841" t="s">
        <v>10</v>
      </c>
    </row>
    <row r="842" spans="1:8" x14ac:dyDescent="0.25">
      <c r="A842">
        <v>536464</v>
      </c>
      <c r="B842">
        <v>21121</v>
      </c>
      <c r="C842" t="s">
        <v>549</v>
      </c>
      <c r="D842">
        <v>1</v>
      </c>
      <c r="E842" s="1">
        <v>40513.515972222223</v>
      </c>
      <c r="F842">
        <v>1.25</v>
      </c>
      <c r="G842">
        <v>17968</v>
      </c>
      <c r="H842" t="s">
        <v>10</v>
      </c>
    </row>
    <row r="843" spans="1:8" x14ac:dyDescent="0.25">
      <c r="A843">
        <v>536464</v>
      </c>
      <c r="B843">
        <v>21122</v>
      </c>
      <c r="C843" t="s">
        <v>293</v>
      </c>
      <c r="D843">
        <v>1</v>
      </c>
      <c r="E843" s="1">
        <v>40513.515972222223</v>
      </c>
      <c r="F843">
        <v>1.25</v>
      </c>
      <c r="G843">
        <v>17968</v>
      </c>
      <c r="H843" t="s">
        <v>10</v>
      </c>
    </row>
    <row r="844" spans="1:8" x14ac:dyDescent="0.25">
      <c r="A844">
        <v>536464</v>
      </c>
      <c r="B844">
        <v>22759</v>
      </c>
      <c r="C844" t="s">
        <v>431</v>
      </c>
      <c r="D844">
        <v>1</v>
      </c>
      <c r="E844" s="1">
        <v>40513.515972222223</v>
      </c>
      <c r="F844">
        <v>1.65</v>
      </c>
      <c r="G844">
        <v>17968</v>
      </c>
      <c r="H844" t="s">
        <v>10</v>
      </c>
    </row>
    <row r="845" spans="1:8" x14ac:dyDescent="0.25">
      <c r="A845">
        <v>536464</v>
      </c>
      <c r="B845">
        <v>21815</v>
      </c>
      <c r="C845" t="s">
        <v>579</v>
      </c>
      <c r="D845">
        <v>1</v>
      </c>
      <c r="E845" s="1">
        <v>40513.515972222223</v>
      </c>
      <c r="F845">
        <v>1.45</v>
      </c>
      <c r="G845">
        <v>17968</v>
      </c>
      <c r="H845" t="s">
        <v>10</v>
      </c>
    </row>
    <row r="846" spans="1:8" x14ac:dyDescent="0.25">
      <c r="A846">
        <v>536464</v>
      </c>
      <c r="B846" t="s">
        <v>593</v>
      </c>
      <c r="C846" t="s">
        <v>594</v>
      </c>
      <c r="D846">
        <v>3</v>
      </c>
      <c r="E846" s="1">
        <v>40513.515972222223</v>
      </c>
      <c r="F846">
        <v>0.85</v>
      </c>
      <c r="G846">
        <v>17968</v>
      </c>
      <c r="H846" t="s">
        <v>10</v>
      </c>
    </row>
    <row r="847" spans="1:8" x14ac:dyDescent="0.25">
      <c r="A847">
        <v>536464</v>
      </c>
      <c r="B847" t="s">
        <v>595</v>
      </c>
      <c r="C847" t="s">
        <v>596</v>
      </c>
      <c r="D847">
        <v>5</v>
      </c>
      <c r="E847" s="1">
        <v>40513.515972222223</v>
      </c>
      <c r="F847">
        <v>0.85</v>
      </c>
      <c r="G847">
        <v>17968</v>
      </c>
      <c r="H847" t="s">
        <v>10</v>
      </c>
    </row>
    <row r="848" spans="1:8" x14ac:dyDescent="0.25">
      <c r="A848">
        <v>536464</v>
      </c>
      <c r="B848">
        <v>22082</v>
      </c>
      <c r="C848" t="s">
        <v>597</v>
      </c>
      <c r="D848">
        <v>5</v>
      </c>
      <c r="E848" s="1">
        <v>40513.515972222223</v>
      </c>
      <c r="F848">
        <v>1.65</v>
      </c>
      <c r="G848">
        <v>17968</v>
      </c>
      <c r="H848" t="s">
        <v>10</v>
      </c>
    </row>
    <row r="849" spans="1:8" x14ac:dyDescent="0.25">
      <c r="A849">
        <v>536464</v>
      </c>
      <c r="B849">
        <v>22500</v>
      </c>
      <c r="C849" t="s">
        <v>598</v>
      </c>
      <c r="D849">
        <v>2</v>
      </c>
      <c r="E849" s="1">
        <v>40513.515972222223</v>
      </c>
      <c r="F849">
        <v>4.95</v>
      </c>
      <c r="G849">
        <v>17968</v>
      </c>
      <c r="H849" t="s">
        <v>10</v>
      </c>
    </row>
    <row r="850" spans="1:8" x14ac:dyDescent="0.25">
      <c r="A850">
        <v>536464</v>
      </c>
      <c r="B850">
        <v>22742</v>
      </c>
      <c r="C850" t="s">
        <v>599</v>
      </c>
      <c r="D850">
        <v>1</v>
      </c>
      <c r="E850" s="1">
        <v>40513.515972222223</v>
      </c>
      <c r="F850">
        <v>2.95</v>
      </c>
      <c r="G850">
        <v>17968</v>
      </c>
      <c r="H850" t="s">
        <v>10</v>
      </c>
    </row>
    <row r="851" spans="1:8" x14ac:dyDescent="0.25">
      <c r="A851">
        <v>536464</v>
      </c>
      <c r="B851">
        <v>21329</v>
      </c>
      <c r="C851" t="s">
        <v>600</v>
      </c>
      <c r="D851">
        <v>1</v>
      </c>
      <c r="E851" s="1">
        <v>40513.515972222223</v>
      </c>
      <c r="F851">
        <v>1.65</v>
      </c>
      <c r="G851">
        <v>17968</v>
      </c>
      <c r="H851" t="s">
        <v>10</v>
      </c>
    </row>
    <row r="852" spans="1:8" x14ac:dyDescent="0.25">
      <c r="A852">
        <v>536464</v>
      </c>
      <c r="B852">
        <v>21328</v>
      </c>
      <c r="C852" t="s">
        <v>271</v>
      </c>
      <c r="D852">
        <v>1</v>
      </c>
      <c r="E852" s="1">
        <v>40513.515972222223</v>
      </c>
      <c r="F852">
        <v>1.65</v>
      </c>
      <c r="G852">
        <v>17968</v>
      </c>
      <c r="H852" t="s">
        <v>10</v>
      </c>
    </row>
    <row r="853" spans="1:8" x14ac:dyDescent="0.25">
      <c r="A853">
        <v>536464</v>
      </c>
      <c r="B853">
        <v>21327</v>
      </c>
      <c r="C853" t="s">
        <v>601</v>
      </c>
      <c r="D853">
        <v>1</v>
      </c>
      <c r="E853" s="1">
        <v>40513.515972222223</v>
      </c>
      <c r="F853">
        <v>1.65</v>
      </c>
      <c r="G853">
        <v>17968</v>
      </c>
      <c r="H853" t="s">
        <v>10</v>
      </c>
    </row>
    <row r="854" spans="1:8" x14ac:dyDescent="0.25">
      <c r="A854">
        <v>536464</v>
      </c>
      <c r="B854">
        <v>21992</v>
      </c>
      <c r="C854" t="s">
        <v>574</v>
      </c>
      <c r="D854">
        <v>1</v>
      </c>
      <c r="E854" s="1">
        <v>40513.515972222223</v>
      </c>
      <c r="F854">
        <v>2.95</v>
      </c>
      <c r="G854">
        <v>17968</v>
      </c>
      <c r="H854" t="s">
        <v>10</v>
      </c>
    </row>
    <row r="855" spans="1:8" x14ac:dyDescent="0.25">
      <c r="A855">
        <v>536464</v>
      </c>
      <c r="B855">
        <v>21738</v>
      </c>
      <c r="C855" t="s">
        <v>433</v>
      </c>
      <c r="D855">
        <v>1</v>
      </c>
      <c r="E855" s="1">
        <v>40513.515972222223</v>
      </c>
      <c r="F855">
        <v>2.95</v>
      </c>
      <c r="G855">
        <v>17968</v>
      </c>
      <c r="H855" t="s">
        <v>10</v>
      </c>
    </row>
    <row r="856" spans="1:8" x14ac:dyDescent="0.25">
      <c r="A856">
        <v>536464</v>
      </c>
      <c r="B856" t="s">
        <v>602</v>
      </c>
      <c r="C856" t="s">
        <v>603</v>
      </c>
      <c r="D856">
        <v>1</v>
      </c>
      <c r="E856" s="1">
        <v>40513.515972222223</v>
      </c>
      <c r="F856">
        <v>7.95</v>
      </c>
      <c r="G856">
        <v>17968</v>
      </c>
      <c r="H856" t="s">
        <v>10</v>
      </c>
    </row>
    <row r="857" spans="1:8" x14ac:dyDescent="0.25">
      <c r="A857">
        <v>536464</v>
      </c>
      <c r="B857" t="s">
        <v>76</v>
      </c>
      <c r="C857" t="s">
        <v>77</v>
      </c>
      <c r="D857">
        <v>1</v>
      </c>
      <c r="E857" s="1">
        <v>40513.515972222223</v>
      </c>
      <c r="F857">
        <v>1.95</v>
      </c>
      <c r="G857">
        <v>17968</v>
      </c>
      <c r="H857" t="s">
        <v>10</v>
      </c>
    </row>
    <row r="858" spans="1:8" x14ac:dyDescent="0.25">
      <c r="A858">
        <v>536464</v>
      </c>
      <c r="B858">
        <v>22960</v>
      </c>
      <c r="C858" t="s">
        <v>34</v>
      </c>
      <c r="D858">
        <v>1</v>
      </c>
      <c r="E858" s="1">
        <v>40513.515972222223</v>
      </c>
      <c r="F858">
        <v>4.25</v>
      </c>
      <c r="G858">
        <v>17968</v>
      </c>
      <c r="H858" t="s">
        <v>10</v>
      </c>
    </row>
    <row r="859" spans="1:8" x14ac:dyDescent="0.25">
      <c r="A859">
        <v>536464</v>
      </c>
      <c r="B859" t="s">
        <v>595</v>
      </c>
      <c r="C859" t="s">
        <v>596</v>
      </c>
      <c r="D859">
        <v>1</v>
      </c>
      <c r="E859" s="1">
        <v>40513.515972222223</v>
      </c>
      <c r="F859">
        <v>0.85</v>
      </c>
      <c r="G859">
        <v>17968</v>
      </c>
      <c r="H859" t="s">
        <v>10</v>
      </c>
    </row>
    <row r="860" spans="1:8" x14ac:dyDescent="0.25">
      <c r="A860">
        <v>536464</v>
      </c>
      <c r="B860" t="s">
        <v>593</v>
      </c>
      <c r="C860" t="s">
        <v>594</v>
      </c>
      <c r="D860">
        <v>2</v>
      </c>
      <c r="E860" s="1">
        <v>40513.515972222223</v>
      </c>
      <c r="F860">
        <v>0.85</v>
      </c>
      <c r="G860">
        <v>17968</v>
      </c>
      <c r="H860" t="s">
        <v>10</v>
      </c>
    </row>
    <row r="861" spans="1:8" x14ac:dyDescent="0.25">
      <c r="A861">
        <v>536464</v>
      </c>
      <c r="B861">
        <v>22866</v>
      </c>
      <c r="C861" t="s">
        <v>237</v>
      </c>
      <c r="D861">
        <v>1</v>
      </c>
      <c r="E861" s="1">
        <v>40513.515972222223</v>
      </c>
      <c r="F861">
        <v>2.1</v>
      </c>
      <c r="G861">
        <v>17968</v>
      </c>
      <c r="H861" t="s">
        <v>10</v>
      </c>
    </row>
    <row r="862" spans="1:8" x14ac:dyDescent="0.25">
      <c r="A862">
        <v>536464</v>
      </c>
      <c r="B862">
        <v>72818</v>
      </c>
      <c r="C862" t="s">
        <v>604</v>
      </c>
      <c r="D862">
        <v>1</v>
      </c>
      <c r="E862" s="1">
        <v>40513.515972222223</v>
      </c>
      <c r="F862">
        <v>0.85</v>
      </c>
      <c r="G862">
        <v>17968</v>
      </c>
      <c r="H862" t="s">
        <v>10</v>
      </c>
    </row>
    <row r="863" spans="1:8" x14ac:dyDescent="0.25">
      <c r="A863">
        <v>536464</v>
      </c>
      <c r="B863">
        <v>21814</v>
      </c>
      <c r="C863" t="s">
        <v>580</v>
      </c>
      <c r="D863">
        <v>8</v>
      </c>
      <c r="E863" s="1">
        <v>40513.515972222223</v>
      </c>
      <c r="F863">
        <v>1.45</v>
      </c>
      <c r="G863">
        <v>17968</v>
      </c>
      <c r="H863" t="s">
        <v>10</v>
      </c>
    </row>
    <row r="864" spans="1:8" x14ac:dyDescent="0.25">
      <c r="A864">
        <v>536464</v>
      </c>
      <c r="B864">
        <v>22441</v>
      </c>
      <c r="C864" t="s">
        <v>292</v>
      </c>
      <c r="D864">
        <v>1</v>
      </c>
      <c r="E864" s="1">
        <v>40513.515972222223</v>
      </c>
      <c r="F864">
        <v>2.1</v>
      </c>
      <c r="G864">
        <v>17968</v>
      </c>
      <c r="H864" t="s">
        <v>10</v>
      </c>
    </row>
    <row r="865" spans="1:8" x14ac:dyDescent="0.25">
      <c r="A865">
        <v>536464</v>
      </c>
      <c r="B865">
        <v>22312</v>
      </c>
      <c r="C865" t="s">
        <v>605</v>
      </c>
      <c r="D865">
        <v>1</v>
      </c>
      <c r="E865" s="1">
        <v>40513.515972222223</v>
      </c>
      <c r="F865">
        <v>2.95</v>
      </c>
      <c r="G865">
        <v>17968</v>
      </c>
      <c r="H865" t="s">
        <v>10</v>
      </c>
    </row>
    <row r="866" spans="1:8" x14ac:dyDescent="0.25">
      <c r="A866">
        <v>536464</v>
      </c>
      <c r="B866">
        <v>22197</v>
      </c>
      <c r="C866" t="s">
        <v>208</v>
      </c>
      <c r="D866">
        <v>6</v>
      </c>
      <c r="E866" s="1">
        <v>40513.515972222223</v>
      </c>
      <c r="F866">
        <v>0.85</v>
      </c>
      <c r="G866">
        <v>17968</v>
      </c>
      <c r="H866" t="s">
        <v>10</v>
      </c>
    </row>
    <row r="867" spans="1:8" x14ac:dyDescent="0.25">
      <c r="A867">
        <v>536464</v>
      </c>
      <c r="B867">
        <v>22663</v>
      </c>
      <c r="C867" t="s">
        <v>166</v>
      </c>
      <c r="D867">
        <v>1</v>
      </c>
      <c r="E867" s="1">
        <v>40513.515972222223</v>
      </c>
      <c r="F867">
        <v>1.95</v>
      </c>
      <c r="G867">
        <v>17968</v>
      </c>
      <c r="H867" t="s">
        <v>10</v>
      </c>
    </row>
    <row r="868" spans="1:8" x14ac:dyDescent="0.25">
      <c r="A868">
        <v>536466</v>
      </c>
      <c r="B868">
        <v>22960</v>
      </c>
      <c r="C868" t="s">
        <v>34</v>
      </c>
      <c r="D868">
        <v>6</v>
      </c>
      <c r="E868" s="1">
        <v>40513.515972222223</v>
      </c>
      <c r="F868">
        <v>4.25</v>
      </c>
      <c r="G868">
        <v>14849</v>
      </c>
      <c r="H868" t="s">
        <v>10</v>
      </c>
    </row>
    <row r="869" spans="1:8" x14ac:dyDescent="0.25">
      <c r="A869">
        <v>536466</v>
      </c>
      <c r="B869">
        <v>22961</v>
      </c>
      <c r="C869" t="s">
        <v>100</v>
      </c>
      <c r="D869">
        <v>12</v>
      </c>
      <c r="E869" s="1">
        <v>40513.515972222223</v>
      </c>
      <c r="F869">
        <v>1.45</v>
      </c>
      <c r="G869">
        <v>14849</v>
      </c>
      <c r="H869" t="s">
        <v>10</v>
      </c>
    </row>
    <row r="870" spans="1:8" x14ac:dyDescent="0.25">
      <c r="A870">
        <v>536477</v>
      </c>
      <c r="B870">
        <v>21314</v>
      </c>
      <c r="C870" t="s">
        <v>245</v>
      </c>
      <c r="D870">
        <v>48</v>
      </c>
      <c r="E870" s="1">
        <v>40513.518750000003</v>
      </c>
      <c r="F870">
        <v>1.85</v>
      </c>
      <c r="G870">
        <v>16210</v>
      </c>
      <c r="H870" t="s">
        <v>10</v>
      </c>
    </row>
    <row r="871" spans="1:8" x14ac:dyDescent="0.25">
      <c r="A871">
        <v>536477</v>
      </c>
      <c r="B871" t="s">
        <v>16</v>
      </c>
      <c r="C871" t="s">
        <v>17</v>
      </c>
      <c r="D871">
        <v>24</v>
      </c>
      <c r="E871" s="1">
        <v>40513.518750000003</v>
      </c>
      <c r="F871">
        <v>3.39</v>
      </c>
      <c r="G871">
        <v>16210</v>
      </c>
      <c r="H871" t="s">
        <v>10</v>
      </c>
    </row>
    <row r="872" spans="1:8" x14ac:dyDescent="0.25">
      <c r="A872">
        <v>536477</v>
      </c>
      <c r="B872">
        <v>21137</v>
      </c>
      <c r="C872" t="s">
        <v>606</v>
      </c>
      <c r="D872">
        <v>480</v>
      </c>
      <c r="E872" s="1">
        <v>40513.518750000003</v>
      </c>
      <c r="F872">
        <v>3.39</v>
      </c>
      <c r="G872">
        <v>16210</v>
      </c>
      <c r="H872" t="s">
        <v>10</v>
      </c>
    </row>
    <row r="873" spans="1:8" x14ac:dyDescent="0.25">
      <c r="A873">
        <v>536477</v>
      </c>
      <c r="B873">
        <v>22041</v>
      </c>
      <c r="C873" t="s">
        <v>607</v>
      </c>
      <c r="D873">
        <v>48</v>
      </c>
      <c r="E873" s="1">
        <v>40513.518750000003</v>
      </c>
      <c r="F873">
        <v>2.1</v>
      </c>
      <c r="G873">
        <v>16210</v>
      </c>
      <c r="H873" t="s">
        <v>10</v>
      </c>
    </row>
    <row r="874" spans="1:8" x14ac:dyDescent="0.25">
      <c r="A874">
        <v>536477</v>
      </c>
      <c r="B874">
        <v>20979</v>
      </c>
      <c r="C874" t="s">
        <v>608</v>
      </c>
      <c r="D874">
        <v>16</v>
      </c>
      <c r="E874" s="1">
        <v>40513.518750000003</v>
      </c>
      <c r="F874">
        <v>1.25</v>
      </c>
      <c r="G874">
        <v>16210</v>
      </c>
      <c r="H874" t="s">
        <v>10</v>
      </c>
    </row>
    <row r="875" spans="1:8" x14ac:dyDescent="0.25">
      <c r="A875">
        <v>536477</v>
      </c>
      <c r="B875">
        <v>20977</v>
      </c>
      <c r="C875" t="s">
        <v>609</v>
      </c>
      <c r="D875">
        <v>16</v>
      </c>
      <c r="E875" s="1">
        <v>40513.518750000003</v>
      </c>
      <c r="F875">
        <v>1.25</v>
      </c>
      <c r="G875">
        <v>16210</v>
      </c>
      <c r="H875" t="s">
        <v>10</v>
      </c>
    </row>
    <row r="876" spans="1:8" x14ac:dyDescent="0.25">
      <c r="A876">
        <v>536477</v>
      </c>
      <c r="B876">
        <v>22619</v>
      </c>
      <c r="C876" t="s">
        <v>227</v>
      </c>
      <c r="D876">
        <v>4</v>
      </c>
      <c r="E876" s="1">
        <v>40513.518750000003</v>
      </c>
      <c r="F876">
        <v>3.75</v>
      </c>
      <c r="G876">
        <v>16210</v>
      </c>
      <c r="H876" t="s">
        <v>10</v>
      </c>
    </row>
    <row r="877" spans="1:8" x14ac:dyDescent="0.25">
      <c r="A877">
        <v>536477</v>
      </c>
      <c r="B877">
        <v>22571</v>
      </c>
      <c r="C877" t="s">
        <v>610</v>
      </c>
      <c r="D877">
        <v>96</v>
      </c>
      <c r="E877" s="1">
        <v>40513.518750000003</v>
      </c>
      <c r="F877">
        <v>0.72</v>
      </c>
      <c r="G877">
        <v>16210</v>
      </c>
      <c r="H877" t="s">
        <v>10</v>
      </c>
    </row>
    <row r="878" spans="1:8" x14ac:dyDescent="0.25">
      <c r="A878">
        <v>536477</v>
      </c>
      <c r="B878">
        <v>22595</v>
      </c>
      <c r="C878" t="s">
        <v>473</v>
      </c>
      <c r="D878">
        <v>144</v>
      </c>
      <c r="E878" s="1">
        <v>40513.518750000003</v>
      </c>
      <c r="F878">
        <v>0.72</v>
      </c>
      <c r="G878">
        <v>16210</v>
      </c>
      <c r="H878" t="s">
        <v>10</v>
      </c>
    </row>
    <row r="879" spans="1:8" x14ac:dyDescent="0.25">
      <c r="A879">
        <v>536477</v>
      </c>
      <c r="B879">
        <v>22593</v>
      </c>
      <c r="C879" t="s">
        <v>472</v>
      </c>
      <c r="D879">
        <v>144</v>
      </c>
      <c r="E879" s="1">
        <v>40513.518750000003</v>
      </c>
      <c r="F879">
        <v>0.72</v>
      </c>
      <c r="G879">
        <v>16210</v>
      </c>
      <c r="H879" t="s">
        <v>10</v>
      </c>
    </row>
    <row r="880" spans="1:8" x14ac:dyDescent="0.25">
      <c r="A880">
        <v>536477</v>
      </c>
      <c r="B880">
        <v>22633</v>
      </c>
      <c r="C880" t="s">
        <v>20</v>
      </c>
      <c r="D880">
        <v>12</v>
      </c>
      <c r="E880" s="1">
        <v>40513.518750000003</v>
      </c>
      <c r="F880">
        <v>2.1</v>
      </c>
      <c r="G880">
        <v>16210</v>
      </c>
      <c r="H880" t="s">
        <v>10</v>
      </c>
    </row>
    <row r="881" spans="1:8" x14ac:dyDescent="0.25">
      <c r="A881">
        <v>536477</v>
      </c>
      <c r="B881">
        <v>22632</v>
      </c>
      <c r="C881" t="s">
        <v>239</v>
      </c>
      <c r="D881">
        <v>12</v>
      </c>
      <c r="E881" s="1">
        <v>40513.518750000003</v>
      </c>
      <c r="F881">
        <v>2.1</v>
      </c>
      <c r="G881">
        <v>16210</v>
      </c>
      <c r="H881" t="s">
        <v>10</v>
      </c>
    </row>
    <row r="882" spans="1:8" x14ac:dyDescent="0.25">
      <c r="A882">
        <v>536477</v>
      </c>
      <c r="B882">
        <v>22423</v>
      </c>
      <c r="C882" t="s">
        <v>611</v>
      </c>
      <c r="D882">
        <v>16</v>
      </c>
      <c r="E882" s="1">
        <v>40513.518750000003</v>
      </c>
      <c r="F882">
        <v>10.95</v>
      </c>
      <c r="G882">
        <v>16210</v>
      </c>
      <c r="H882" t="s">
        <v>10</v>
      </c>
    </row>
    <row r="883" spans="1:8" x14ac:dyDescent="0.25">
      <c r="A883">
        <v>536477</v>
      </c>
      <c r="B883">
        <v>22411</v>
      </c>
      <c r="C883" t="s">
        <v>103</v>
      </c>
      <c r="D883">
        <v>10</v>
      </c>
      <c r="E883" s="1">
        <v>40513.518750000003</v>
      </c>
      <c r="F883">
        <v>1.95</v>
      </c>
      <c r="G883">
        <v>16210</v>
      </c>
      <c r="H883" t="s">
        <v>10</v>
      </c>
    </row>
    <row r="884" spans="1:8" x14ac:dyDescent="0.25">
      <c r="A884">
        <v>536488</v>
      </c>
      <c r="B884">
        <v>22738</v>
      </c>
      <c r="C884" t="s">
        <v>458</v>
      </c>
      <c r="D884">
        <v>5</v>
      </c>
      <c r="E884" s="1">
        <v>40513.521527777775</v>
      </c>
      <c r="F884">
        <v>1.65</v>
      </c>
      <c r="G884">
        <v>17897</v>
      </c>
      <c r="H884" t="s">
        <v>10</v>
      </c>
    </row>
    <row r="885" spans="1:8" x14ac:dyDescent="0.25">
      <c r="A885">
        <v>536488</v>
      </c>
      <c r="B885">
        <v>21621</v>
      </c>
      <c r="C885" t="s">
        <v>612</v>
      </c>
      <c r="D885">
        <v>1</v>
      </c>
      <c r="E885" s="1">
        <v>40513.521527777775</v>
      </c>
      <c r="F885">
        <v>8.5</v>
      </c>
      <c r="G885">
        <v>17897</v>
      </c>
      <c r="H885" t="s">
        <v>10</v>
      </c>
    </row>
    <row r="886" spans="1:8" x14ac:dyDescent="0.25">
      <c r="A886">
        <v>536488</v>
      </c>
      <c r="B886">
        <v>22960</v>
      </c>
      <c r="C886" t="s">
        <v>34</v>
      </c>
      <c r="D886">
        <v>8</v>
      </c>
      <c r="E886" s="1">
        <v>40513.521527777775</v>
      </c>
      <c r="F886">
        <v>4.25</v>
      </c>
      <c r="G886">
        <v>17897</v>
      </c>
      <c r="H886" t="s">
        <v>10</v>
      </c>
    </row>
    <row r="887" spans="1:8" x14ac:dyDescent="0.25">
      <c r="A887">
        <v>536488</v>
      </c>
      <c r="B887">
        <v>22082</v>
      </c>
      <c r="C887" t="s">
        <v>597</v>
      </c>
      <c r="D887">
        <v>5</v>
      </c>
      <c r="E887" s="1">
        <v>40513.521527777775</v>
      </c>
      <c r="F887">
        <v>1.65</v>
      </c>
      <c r="G887">
        <v>17897</v>
      </c>
      <c r="H887" t="s">
        <v>10</v>
      </c>
    </row>
    <row r="888" spans="1:8" x14ac:dyDescent="0.25">
      <c r="A888">
        <v>536488</v>
      </c>
      <c r="B888" t="s">
        <v>613</v>
      </c>
      <c r="C888" t="s">
        <v>614</v>
      </c>
      <c r="D888">
        <v>1</v>
      </c>
      <c r="E888" s="1">
        <v>40513.521527777775</v>
      </c>
      <c r="F888">
        <v>3.75</v>
      </c>
      <c r="G888">
        <v>17897</v>
      </c>
      <c r="H888" t="s">
        <v>10</v>
      </c>
    </row>
    <row r="889" spans="1:8" x14ac:dyDescent="0.25">
      <c r="A889">
        <v>536488</v>
      </c>
      <c r="B889" t="s">
        <v>615</v>
      </c>
      <c r="C889" t="s">
        <v>616</v>
      </c>
      <c r="D889">
        <v>1</v>
      </c>
      <c r="E889" s="1">
        <v>40513.521527777775</v>
      </c>
      <c r="F889">
        <v>2.95</v>
      </c>
      <c r="G889">
        <v>17897</v>
      </c>
      <c r="H889" t="s">
        <v>10</v>
      </c>
    </row>
    <row r="890" spans="1:8" x14ac:dyDescent="0.25">
      <c r="A890">
        <v>536488</v>
      </c>
      <c r="B890">
        <v>21592</v>
      </c>
      <c r="C890" t="s">
        <v>306</v>
      </c>
      <c r="D890">
        <v>1</v>
      </c>
      <c r="E890" s="1">
        <v>40513.521527777775</v>
      </c>
      <c r="F890">
        <v>1.25</v>
      </c>
      <c r="G890">
        <v>17897</v>
      </c>
      <c r="H890" t="s">
        <v>10</v>
      </c>
    </row>
    <row r="891" spans="1:8" x14ac:dyDescent="0.25">
      <c r="A891">
        <v>536488</v>
      </c>
      <c r="B891">
        <v>20878</v>
      </c>
      <c r="C891" t="s">
        <v>585</v>
      </c>
      <c r="D891">
        <v>2</v>
      </c>
      <c r="E891" s="1">
        <v>40513.521527777775</v>
      </c>
      <c r="F891">
        <v>1.25</v>
      </c>
      <c r="G891">
        <v>17897</v>
      </c>
      <c r="H891" t="s">
        <v>10</v>
      </c>
    </row>
    <row r="892" spans="1:8" x14ac:dyDescent="0.25">
      <c r="A892">
        <v>536488</v>
      </c>
      <c r="B892">
        <v>84347</v>
      </c>
      <c r="C892" t="s">
        <v>377</v>
      </c>
      <c r="D892">
        <v>1</v>
      </c>
      <c r="E892" s="1">
        <v>40513.521527777775</v>
      </c>
      <c r="F892">
        <v>2.5499999999999998</v>
      </c>
      <c r="G892">
        <v>17897</v>
      </c>
      <c r="H892" t="s">
        <v>10</v>
      </c>
    </row>
    <row r="893" spans="1:8" x14ac:dyDescent="0.25">
      <c r="A893">
        <v>536488</v>
      </c>
      <c r="B893">
        <v>84347</v>
      </c>
      <c r="C893" t="s">
        <v>377</v>
      </c>
      <c r="D893">
        <v>1</v>
      </c>
      <c r="E893" s="1">
        <v>40513.521527777775</v>
      </c>
      <c r="F893">
        <v>2.5499999999999998</v>
      </c>
      <c r="G893">
        <v>17897</v>
      </c>
      <c r="H893" t="s">
        <v>10</v>
      </c>
    </row>
    <row r="894" spans="1:8" x14ac:dyDescent="0.25">
      <c r="A894">
        <v>536488</v>
      </c>
      <c r="B894">
        <v>21577</v>
      </c>
      <c r="C894" t="s">
        <v>617</v>
      </c>
      <c r="D894">
        <v>1</v>
      </c>
      <c r="E894" s="1">
        <v>40513.521527777775</v>
      </c>
      <c r="F894">
        <v>2.25</v>
      </c>
      <c r="G894">
        <v>17897</v>
      </c>
      <c r="H894" t="s">
        <v>10</v>
      </c>
    </row>
    <row r="895" spans="1:8" x14ac:dyDescent="0.25">
      <c r="A895">
        <v>536488</v>
      </c>
      <c r="B895">
        <v>22909</v>
      </c>
      <c r="C895" t="s">
        <v>459</v>
      </c>
      <c r="D895">
        <v>1</v>
      </c>
      <c r="E895" s="1">
        <v>40513.521527777775</v>
      </c>
      <c r="F895">
        <v>0.85</v>
      </c>
      <c r="G895">
        <v>17897</v>
      </c>
      <c r="H895" t="s">
        <v>10</v>
      </c>
    </row>
    <row r="896" spans="1:8" x14ac:dyDescent="0.25">
      <c r="A896">
        <v>536488</v>
      </c>
      <c r="B896">
        <v>22087</v>
      </c>
      <c r="C896" t="s">
        <v>618</v>
      </c>
      <c r="D896">
        <v>1</v>
      </c>
      <c r="E896" s="1">
        <v>40513.521527777775</v>
      </c>
      <c r="F896">
        <v>2.95</v>
      </c>
      <c r="G896">
        <v>17897</v>
      </c>
      <c r="H896" t="s">
        <v>10</v>
      </c>
    </row>
    <row r="897" spans="1:8" x14ac:dyDescent="0.25">
      <c r="A897">
        <v>536488</v>
      </c>
      <c r="B897">
        <v>22651</v>
      </c>
      <c r="C897" t="s">
        <v>619</v>
      </c>
      <c r="D897">
        <v>2</v>
      </c>
      <c r="E897" s="1">
        <v>40513.521527777775</v>
      </c>
      <c r="F897">
        <v>0.85</v>
      </c>
      <c r="G897">
        <v>17897</v>
      </c>
      <c r="H897" t="s">
        <v>10</v>
      </c>
    </row>
    <row r="898" spans="1:8" x14ac:dyDescent="0.25">
      <c r="A898">
        <v>536488</v>
      </c>
      <c r="B898">
        <v>22713</v>
      </c>
      <c r="C898" t="s">
        <v>620</v>
      </c>
      <c r="D898">
        <v>12</v>
      </c>
      <c r="E898" s="1">
        <v>40513.521527777775</v>
      </c>
      <c r="F898">
        <v>0.42</v>
      </c>
      <c r="G898">
        <v>17897</v>
      </c>
      <c r="H898" t="s">
        <v>10</v>
      </c>
    </row>
    <row r="899" spans="1:8" x14ac:dyDescent="0.25">
      <c r="A899">
        <v>536488</v>
      </c>
      <c r="B899">
        <v>22910</v>
      </c>
      <c r="C899" t="s">
        <v>206</v>
      </c>
      <c r="D899">
        <v>1</v>
      </c>
      <c r="E899" s="1">
        <v>40513.521527777775</v>
      </c>
      <c r="F899">
        <v>2.95</v>
      </c>
      <c r="G899">
        <v>17897</v>
      </c>
      <c r="H899" t="s">
        <v>10</v>
      </c>
    </row>
    <row r="900" spans="1:8" x14ac:dyDescent="0.25">
      <c r="A900">
        <v>536488</v>
      </c>
      <c r="B900">
        <v>21370</v>
      </c>
      <c r="C900" t="s">
        <v>621</v>
      </c>
      <c r="D900">
        <v>2</v>
      </c>
      <c r="E900" s="1">
        <v>40513.521527777775</v>
      </c>
      <c r="F900">
        <v>6.35</v>
      </c>
      <c r="G900">
        <v>17897</v>
      </c>
      <c r="H900" t="s">
        <v>10</v>
      </c>
    </row>
    <row r="901" spans="1:8" x14ac:dyDescent="0.25">
      <c r="A901">
        <v>536488</v>
      </c>
      <c r="B901">
        <v>21367</v>
      </c>
      <c r="C901" t="s">
        <v>622</v>
      </c>
      <c r="D901">
        <v>1</v>
      </c>
      <c r="E901" s="1">
        <v>40513.521527777775</v>
      </c>
      <c r="F901">
        <v>2.5499999999999998</v>
      </c>
      <c r="G901">
        <v>17897</v>
      </c>
      <c r="H901" t="s">
        <v>10</v>
      </c>
    </row>
    <row r="902" spans="1:8" x14ac:dyDescent="0.25">
      <c r="A902">
        <v>536488</v>
      </c>
      <c r="B902">
        <v>22376</v>
      </c>
      <c r="C902" t="s">
        <v>623</v>
      </c>
      <c r="D902">
        <v>1</v>
      </c>
      <c r="E902" s="1">
        <v>40513.521527777775</v>
      </c>
      <c r="F902">
        <v>4.25</v>
      </c>
      <c r="G902">
        <v>17897</v>
      </c>
      <c r="H902" t="s">
        <v>10</v>
      </c>
    </row>
    <row r="903" spans="1:8" x14ac:dyDescent="0.25">
      <c r="A903">
        <v>536488</v>
      </c>
      <c r="B903">
        <v>22961</v>
      </c>
      <c r="C903" t="s">
        <v>100</v>
      </c>
      <c r="D903">
        <v>1</v>
      </c>
      <c r="E903" s="1">
        <v>40513.521527777775</v>
      </c>
      <c r="F903">
        <v>1.45</v>
      </c>
      <c r="G903">
        <v>17897</v>
      </c>
      <c r="H903" t="s">
        <v>10</v>
      </c>
    </row>
    <row r="904" spans="1:8" x14ac:dyDescent="0.25">
      <c r="A904">
        <v>536488</v>
      </c>
      <c r="B904">
        <v>21895</v>
      </c>
      <c r="C904" t="s">
        <v>624</v>
      </c>
      <c r="D904">
        <v>1</v>
      </c>
      <c r="E904" s="1">
        <v>40513.521527777775</v>
      </c>
      <c r="F904">
        <v>4.25</v>
      </c>
      <c r="G904">
        <v>17897</v>
      </c>
      <c r="H904" t="s">
        <v>10</v>
      </c>
    </row>
    <row r="905" spans="1:8" x14ac:dyDescent="0.25">
      <c r="A905">
        <v>536488</v>
      </c>
      <c r="B905">
        <v>22468</v>
      </c>
      <c r="C905" t="s">
        <v>253</v>
      </c>
      <c r="D905">
        <v>1</v>
      </c>
      <c r="E905" s="1">
        <v>40513.521527777775</v>
      </c>
      <c r="F905">
        <v>6.75</v>
      </c>
      <c r="G905">
        <v>17897</v>
      </c>
      <c r="H905" t="s">
        <v>10</v>
      </c>
    </row>
    <row r="906" spans="1:8" x14ac:dyDescent="0.25">
      <c r="A906">
        <v>536488</v>
      </c>
      <c r="B906">
        <v>21034</v>
      </c>
      <c r="C906" t="s">
        <v>443</v>
      </c>
      <c r="D906">
        <v>1</v>
      </c>
      <c r="E906" s="1">
        <v>40513.521527777775</v>
      </c>
      <c r="F906">
        <v>0.95</v>
      </c>
      <c r="G906">
        <v>17897</v>
      </c>
      <c r="H906" t="s">
        <v>10</v>
      </c>
    </row>
    <row r="907" spans="1:8" x14ac:dyDescent="0.25">
      <c r="A907">
        <v>536488</v>
      </c>
      <c r="B907">
        <v>22372</v>
      </c>
      <c r="C907" t="s">
        <v>625</v>
      </c>
      <c r="D907">
        <v>1</v>
      </c>
      <c r="E907" s="1">
        <v>40513.521527777775</v>
      </c>
      <c r="F907">
        <v>4.25</v>
      </c>
      <c r="G907">
        <v>17897</v>
      </c>
      <c r="H907" t="s">
        <v>10</v>
      </c>
    </row>
    <row r="908" spans="1:8" x14ac:dyDescent="0.25">
      <c r="A908">
        <v>536488</v>
      </c>
      <c r="B908">
        <v>22867</v>
      </c>
      <c r="C908" t="s">
        <v>248</v>
      </c>
      <c r="D908">
        <v>1</v>
      </c>
      <c r="E908" s="1">
        <v>40513.521527777775</v>
      </c>
      <c r="F908">
        <v>2.1</v>
      </c>
      <c r="G908">
        <v>17897</v>
      </c>
      <c r="H908" t="s">
        <v>10</v>
      </c>
    </row>
    <row r="909" spans="1:8" x14ac:dyDescent="0.25">
      <c r="A909">
        <v>536488</v>
      </c>
      <c r="B909">
        <v>22144</v>
      </c>
      <c r="C909" t="s">
        <v>438</v>
      </c>
      <c r="D909">
        <v>1</v>
      </c>
      <c r="E909" s="1">
        <v>40513.521527777775</v>
      </c>
      <c r="F909">
        <v>2.1</v>
      </c>
      <c r="G909">
        <v>17897</v>
      </c>
      <c r="H909" t="s">
        <v>10</v>
      </c>
    </row>
    <row r="910" spans="1:8" x14ac:dyDescent="0.25">
      <c r="A910">
        <v>536488</v>
      </c>
      <c r="B910">
        <v>21190</v>
      </c>
      <c r="C910" t="s">
        <v>626</v>
      </c>
      <c r="D910">
        <v>1</v>
      </c>
      <c r="E910" s="1">
        <v>40513.521527777775</v>
      </c>
      <c r="F910">
        <v>1.65</v>
      </c>
      <c r="G910">
        <v>17897</v>
      </c>
      <c r="H910" t="s">
        <v>10</v>
      </c>
    </row>
    <row r="911" spans="1:8" x14ac:dyDescent="0.25">
      <c r="A911">
        <v>536488</v>
      </c>
      <c r="B911">
        <v>21894</v>
      </c>
      <c r="C911" t="s">
        <v>627</v>
      </c>
      <c r="D911">
        <v>3</v>
      </c>
      <c r="E911" s="1">
        <v>40513.521527777775</v>
      </c>
      <c r="F911">
        <v>1.25</v>
      </c>
      <c r="G911">
        <v>17897</v>
      </c>
      <c r="H911" t="s">
        <v>10</v>
      </c>
    </row>
    <row r="912" spans="1:8" x14ac:dyDescent="0.25">
      <c r="A912">
        <v>536488</v>
      </c>
      <c r="B912">
        <v>70007</v>
      </c>
      <c r="C912" t="s">
        <v>628</v>
      </c>
      <c r="D912">
        <v>3</v>
      </c>
      <c r="E912" s="1">
        <v>40513.521527777775</v>
      </c>
      <c r="F912">
        <v>1.65</v>
      </c>
      <c r="G912">
        <v>17897</v>
      </c>
      <c r="H912" t="s">
        <v>10</v>
      </c>
    </row>
    <row r="913" spans="1:8" x14ac:dyDescent="0.25">
      <c r="A913">
        <v>536488</v>
      </c>
      <c r="B913">
        <v>22940</v>
      </c>
      <c r="C913" t="s">
        <v>430</v>
      </c>
      <c r="D913">
        <v>1</v>
      </c>
      <c r="E913" s="1">
        <v>40513.521527777775</v>
      </c>
      <c r="F913">
        <v>4.25</v>
      </c>
      <c r="G913">
        <v>17897</v>
      </c>
      <c r="H913" t="s">
        <v>10</v>
      </c>
    </row>
    <row r="914" spans="1:8" x14ac:dyDescent="0.25">
      <c r="A914">
        <v>536488</v>
      </c>
      <c r="B914">
        <v>70007</v>
      </c>
      <c r="C914" t="s">
        <v>628</v>
      </c>
      <c r="D914">
        <v>1</v>
      </c>
      <c r="E914" s="1">
        <v>40513.521527777775</v>
      </c>
      <c r="F914">
        <v>1.65</v>
      </c>
      <c r="G914">
        <v>17897</v>
      </c>
      <c r="H914" t="s">
        <v>10</v>
      </c>
    </row>
    <row r="915" spans="1:8" x14ac:dyDescent="0.25">
      <c r="A915">
        <v>536488</v>
      </c>
      <c r="B915">
        <v>84347</v>
      </c>
      <c r="C915" t="s">
        <v>377</v>
      </c>
      <c r="D915">
        <v>3</v>
      </c>
      <c r="E915" s="1">
        <v>40513.521527777775</v>
      </c>
      <c r="F915">
        <v>2.5499999999999998</v>
      </c>
      <c r="G915">
        <v>17897</v>
      </c>
      <c r="H915" t="s">
        <v>10</v>
      </c>
    </row>
    <row r="916" spans="1:8" x14ac:dyDescent="0.25">
      <c r="A916">
        <v>536488</v>
      </c>
      <c r="B916">
        <v>22150</v>
      </c>
      <c r="C916" t="s">
        <v>226</v>
      </c>
      <c r="D916">
        <v>1</v>
      </c>
      <c r="E916" s="1">
        <v>40513.521527777775</v>
      </c>
      <c r="F916">
        <v>1.95</v>
      </c>
      <c r="G916">
        <v>17897</v>
      </c>
      <c r="H916" t="s">
        <v>10</v>
      </c>
    </row>
    <row r="917" spans="1:8" x14ac:dyDescent="0.25">
      <c r="A917">
        <v>536488</v>
      </c>
      <c r="B917">
        <v>22149</v>
      </c>
      <c r="C917" t="s">
        <v>469</v>
      </c>
      <c r="D917">
        <v>2</v>
      </c>
      <c r="E917" s="1">
        <v>40513.521527777775</v>
      </c>
      <c r="F917">
        <v>2.1</v>
      </c>
      <c r="G917">
        <v>17897</v>
      </c>
      <c r="H917" t="s">
        <v>10</v>
      </c>
    </row>
    <row r="918" spans="1:8" x14ac:dyDescent="0.25">
      <c r="A918">
        <v>536488</v>
      </c>
      <c r="B918">
        <v>22144</v>
      </c>
      <c r="C918" t="s">
        <v>438</v>
      </c>
      <c r="D918">
        <v>2</v>
      </c>
      <c r="E918" s="1">
        <v>40513.521527777775</v>
      </c>
      <c r="F918">
        <v>2.1</v>
      </c>
      <c r="G918">
        <v>17897</v>
      </c>
      <c r="H918" t="s">
        <v>10</v>
      </c>
    </row>
    <row r="919" spans="1:8" x14ac:dyDescent="0.25">
      <c r="A919">
        <v>536500</v>
      </c>
      <c r="B919">
        <v>21622</v>
      </c>
      <c r="C919" t="s">
        <v>189</v>
      </c>
      <c r="D919">
        <v>10</v>
      </c>
      <c r="E919" s="1">
        <v>40513.524305555555</v>
      </c>
      <c r="F919">
        <v>4.95</v>
      </c>
      <c r="G919">
        <v>17377</v>
      </c>
      <c r="H919" t="s">
        <v>10</v>
      </c>
    </row>
    <row r="920" spans="1:8" x14ac:dyDescent="0.25">
      <c r="A920">
        <v>536500</v>
      </c>
      <c r="B920" t="s">
        <v>629</v>
      </c>
      <c r="C920" t="s">
        <v>630</v>
      </c>
      <c r="D920">
        <v>10</v>
      </c>
      <c r="E920" s="1">
        <v>40513.524305555555</v>
      </c>
      <c r="F920">
        <v>1.55</v>
      </c>
      <c r="G920">
        <v>17377</v>
      </c>
      <c r="H920" t="s">
        <v>10</v>
      </c>
    </row>
    <row r="921" spans="1:8" x14ac:dyDescent="0.25">
      <c r="A921">
        <v>536500</v>
      </c>
      <c r="B921">
        <v>22630</v>
      </c>
      <c r="C921" t="s">
        <v>424</v>
      </c>
      <c r="D921">
        <v>2</v>
      </c>
      <c r="E921" s="1">
        <v>40513.524305555555</v>
      </c>
      <c r="F921">
        <v>1.95</v>
      </c>
      <c r="G921">
        <v>17377</v>
      </c>
      <c r="H921" t="s">
        <v>10</v>
      </c>
    </row>
    <row r="922" spans="1:8" x14ac:dyDescent="0.25">
      <c r="A922">
        <v>536500</v>
      </c>
      <c r="B922">
        <v>22616</v>
      </c>
      <c r="C922" t="s">
        <v>476</v>
      </c>
      <c r="D922">
        <v>12</v>
      </c>
      <c r="E922" s="1">
        <v>40513.524305555555</v>
      </c>
      <c r="F922">
        <v>0.28999999999999998</v>
      </c>
      <c r="G922">
        <v>17377</v>
      </c>
      <c r="H922" t="s">
        <v>10</v>
      </c>
    </row>
    <row r="923" spans="1:8" x14ac:dyDescent="0.25">
      <c r="A923">
        <v>536500</v>
      </c>
      <c r="B923">
        <v>22712</v>
      </c>
      <c r="C923" t="s">
        <v>631</v>
      </c>
      <c r="D923">
        <v>12</v>
      </c>
      <c r="E923" s="1">
        <v>40513.524305555555</v>
      </c>
      <c r="F923">
        <v>0.42</v>
      </c>
      <c r="G923">
        <v>17377</v>
      </c>
      <c r="H923" t="s">
        <v>10</v>
      </c>
    </row>
    <row r="924" spans="1:8" x14ac:dyDescent="0.25">
      <c r="A924">
        <v>536500</v>
      </c>
      <c r="B924">
        <v>22983</v>
      </c>
      <c r="C924" t="s">
        <v>632</v>
      </c>
      <c r="D924">
        <v>12</v>
      </c>
      <c r="E924" s="1">
        <v>40513.524305555555</v>
      </c>
      <c r="F924">
        <v>0.42</v>
      </c>
      <c r="G924">
        <v>17377</v>
      </c>
      <c r="H924" t="s">
        <v>10</v>
      </c>
    </row>
    <row r="925" spans="1:8" x14ac:dyDescent="0.25">
      <c r="A925">
        <v>536500</v>
      </c>
      <c r="B925">
        <v>22024</v>
      </c>
      <c r="C925" t="s">
        <v>633</v>
      </c>
      <c r="D925">
        <v>12</v>
      </c>
      <c r="E925" s="1">
        <v>40513.524305555555</v>
      </c>
      <c r="F925">
        <v>0.42</v>
      </c>
      <c r="G925">
        <v>17377</v>
      </c>
      <c r="H925" t="s">
        <v>10</v>
      </c>
    </row>
    <row r="926" spans="1:8" x14ac:dyDescent="0.25">
      <c r="A926">
        <v>536500</v>
      </c>
      <c r="B926">
        <v>22113</v>
      </c>
      <c r="C926" t="s">
        <v>506</v>
      </c>
      <c r="D926">
        <v>3</v>
      </c>
      <c r="E926" s="1">
        <v>40513.524305555555</v>
      </c>
      <c r="F926">
        <v>3.75</v>
      </c>
      <c r="G926">
        <v>17377</v>
      </c>
      <c r="H926" t="s">
        <v>10</v>
      </c>
    </row>
    <row r="927" spans="1:8" x14ac:dyDescent="0.25">
      <c r="A927">
        <v>536500</v>
      </c>
      <c r="B927" t="s">
        <v>16</v>
      </c>
      <c r="C927" t="s">
        <v>17</v>
      </c>
      <c r="D927">
        <v>2</v>
      </c>
      <c r="E927" s="1">
        <v>40513.524305555555</v>
      </c>
      <c r="F927">
        <v>3.75</v>
      </c>
      <c r="G927">
        <v>17377</v>
      </c>
      <c r="H927" t="s">
        <v>10</v>
      </c>
    </row>
    <row r="928" spans="1:8" x14ac:dyDescent="0.25">
      <c r="A928">
        <v>536500</v>
      </c>
      <c r="B928">
        <v>21488</v>
      </c>
      <c r="C928" t="s">
        <v>634</v>
      </c>
      <c r="D928">
        <v>2</v>
      </c>
      <c r="E928" s="1">
        <v>40513.524305555555</v>
      </c>
      <c r="F928">
        <v>3.95</v>
      </c>
      <c r="G928">
        <v>17377</v>
      </c>
      <c r="H928" t="s">
        <v>10</v>
      </c>
    </row>
    <row r="929" spans="1:8" x14ac:dyDescent="0.25">
      <c r="A929">
        <v>536500</v>
      </c>
      <c r="B929">
        <v>22900</v>
      </c>
      <c r="C929" t="s">
        <v>54</v>
      </c>
      <c r="D929">
        <v>7</v>
      </c>
      <c r="E929" s="1">
        <v>40513.524305555555</v>
      </c>
      <c r="F929">
        <v>2.95</v>
      </c>
      <c r="G929">
        <v>17377</v>
      </c>
      <c r="H929" t="s">
        <v>10</v>
      </c>
    </row>
    <row r="930" spans="1:8" x14ac:dyDescent="0.25">
      <c r="A930">
        <v>536500</v>
      </c>
      <c r="B930">
        <v>22895</v>
      </c>
      <c r="C930" t="s">
        <v>635</v>
      </c>
      <c r="D930">
        <v>3</v>
      </c>
      <c r="E930" s="1">
        <v>40513.524305555555</v>
      </c>
      <c r="F930">
        <v>2.95</v>
      </c>
      <c r="G930">
        <v>17377</v>
      </c>
      <c r="H930" t="s">
        <v>10</v>
      </c>
    </row>
    <row r="931" spans="1:8" x14ac:dyDescent="0.25">
      <c r="A931">
        <v>536500</v>
      </c>
      <c r="B931">
        <v>21035</v>
      </c>
      <c r="C931" t="s">
        <v>47</v>
      </c>
      <c r="D931">
        <v>3</v>
      </c>
      <c r="E931" s="1">
        <v>40513.524305555555</v>
      </c>
      <c r="F931">
        <v>2.95</v>
      </c>
      <c r="G931">
        <v>17377</v>
      </c>
      <c r="H931" t="s">
        <v>10</v>
      </c>
    </row>
    <row r="932" spans="1:8" x14ac:dyDescent="0.25">
      <c r="A932">
        <v>536500</v>
      </c>
      <c r="B932">
        <v>21755</v>
      </c>
      <c r="C932" t="s">
        <v>31</v>
      </c>
      <c r="D932">
        <v>6</v>
      </c>
      <c r="E932" s="1">
        <v>40513.524305555555</v>
      </c>
      <c r="F932">
        <v>5.95</v>
      </c>
      <c r="G932">
        <v>17377</v>
      </c>
      <c r="H932" t="s">
        <v>10</v>
      </c>
    </row>
    <row r="933" spans="1:8" x14ac:dyDescent="0.25">
      <c r="A933">
        <v>536500</v>
      </c>
      <c r="B933">
        <v>21754</v>
      </c>
      <c r="C933" t="s">
        <v>30</v>
      </c>
      <c r="D933">
        <v>6</v>
      </c>
      <c r="E933" s="1">
        <v>40513.524305555555</v>
      </c>
      <c r="F933">
        <v>5.95</v>
      </c>
      <c r="G933">
        <v>17377</v>
      </c>
      <c r="H933" t="s">
        <v>10</v>
      </c>
    </row>
    <row r="934" spans="1:8" x14ac:dyDescent="0.25">
      <c r="A934">
        <v>536502</v>
      </c>
      <c r="B934">
        <v>84879</v>
      </c>
      <c r="C934" t="s">
        <v>22</v>
      </c>
      <c r="D934">
        <v>16</v>
      </c>
      <c r="E934" s="1">
        <v>40513.525000000001</v>
      </c>
      <c r="F934">
        <v>1.69</v>
      </c>
      <c r="G934">
        <v>16552</v>
      </c>
      <c r="H934" t="s">
        <v>10</v>
      </c>
    </row>
    <row r="935" spans="1:8" x14ac:dyDescent="0.25">
      <c r="A935">
        <v>536502</v>
      </c>
      <c r="B935">
        <v>22784</v>
      </c>
      <c r="C935" t="s">
        <v>636</v>
      </c>
      <c r="D935">
        <v>3</v>
      </c>
      <c r="E935" s="1">
        <v>40513.525000000001</v>
      </c>
      <c r="F935">
        <v>4.95</v>
      </c>
      <c r="G935">
        <v>16552</v>
      </c>
      <c r="H935" t="s">
        <v>10</v>
      </c>
    </row>
    <row r="936" spans="1:8" x14ac:dyDescent="0.25">
      <c r="A936">
        <v>536502</v>
      </c>
      <c r="B936">
        <v>21441</v>
      </c>
      <c r="C936" t="s">
        <v>637</v>
      </c>
      <c r="D936">
        <v>12</v>
      </c>
      <c r="E936" s="1">
        <v>40513.525000000001</v>
      </c>
      <c r="F936">
        <v>0.85</v>
      </c>
      <c r="G936">
        <v>16552</v>
      </c>
      <c r="H936" t="s">
        <v>10</v>
      </c>
    </row>
    <row r="937" spans="1:8" x14ac:dyDescent="0.25">
      <c r="A937">
        <v>536502</v>
      </c>
      <c r="B937" t="s">
        <v>8</v>
      </c>
      <c r="C937" t="s">
        <v>9</v>
      </c>
      <c r="D937">
        <v>6</v>
      </c>
      <c r="E937" s="1">
        <v>40513.525000000001</v>
      </c>
      <c r="F937">
        <v>2.95</v>
      </c>
      <c r="G937">
        <v>16552</v>
      </c>
      <c r="H937" t="s">
        <v>10</v>
      </c>
    </row>
    <row r="938" spans="1:8" x14ac:dyDescent="0.25">
      <c r="A938">
        <v>536502</v>
      </c>
      <c r="B938">
        <v>22423</v>
      </c>
      <c r="C938" t="s">
        <v>611</v>
      </c>
      <c r="D938">
        <v>2</v>
      </c>
      <c r="E938" s="1">
        <v>40513.525000000001</v>
      </c>
      <c r="F938">
        <v>12.75</v>
      </c>
      <c r="G938">
        <v>16552</v>
      </c>
      <c r="H938" t="s">
        <v>10</v>
      </c>
    </row>
    <row r="939" spans="1:8" x14ac:dyDescent="0.25">
      <c r="A939">
        <v>536508</v>
      </c>
      <c r="B939">
        <v>84947</v>
      </c>
      <c r="C939" t="s">
        <v>638</v>
      </c>
      <c r="D939">
        <v>72</v>
      </c>
      <c r="E939" s="1">
        <v>40513.526388888888</v>
      </c>
      <c r="F939">
        <v>1.06</v>
      </c>
      <c r="G939">
        <v>17181</v>
      </c>
      <c r="H939" t="s">
        <v>10</v>
      </c>
    </row>
    <row r="940" spans="1:8" x14ac:dyDescent="0.25">
      <c r="A940">
        <v>536508</v>
      </c>
      <c r="B940">
        <v>21326</v>
      </c>
      <c r="C940" t="s">
        <v>411</v>
      </c>
      <c r="D940">
        <v>144</v>
      </c>
      <c r="E940" s="1">
        <v>40513.526388888888</v>
      </c>
      <c r="F940">
        <v>0.55000000000000004</v>
      </c>
      <c r="G940">
        <v>17181</v>
      </c>
      <c r="H940" t="s">
        <v>10</v>
      </c>
    </row>
    <row r="941" spans="1:8" x14ac:dyDescent="0.25">
      <c r="A941" t="s">
        <v>639</v>
      </c>
      <c r="B941">
        <v>22960</v>
      </c>
      <c r="C941" t="s">
        <v>34</v>
      </c>
      <c r="D941">
        <v>-6</v>
      </c>
      <c r="E941" s="1">
        <v>40513.526388888888</v>
      </c>
      <c r="F941">
        <v>4.25</v>
      </c>
      <c r="G941">
        <v>17897</v>
      </c>
      <c r="H941" t="s">
        <v>10</v>
      </c>
    </row>
    <row r="942" spans="1:8" x14ac:dyDescent="0.25">
      <c r="A942">
        <v>536514</v>
      </c>
      <c r="B942">
        <v>22865</v>
      </c>
      <c r="C942" t="s">
        <v>238</v>
      </c>
      <c r="D942">
        <v>36</v>
      </c>
      <c r="E942" s="1">
        <v>40513.527777777781</v>
      </c>
      <c r="F942">
        <v>2.1</v>
      </c>
      <c r="G942">
        <v>17951</v>
      </c>
      <c r="H942" t="s">
        <v>10</v>
      </c>
    </row>
    <row r="943" spans="1:8" x14ac:dyDescent="0.25">
      <c r="A943">
        <v>536514</v>
      </c>
      <c r="B943">
        <v>22485</v>
      </c>
      <c r="C943" t="s">
        <v>640</v>
      </c>
      <c r="D943">
        <v>4</v>
      </c>
      <c r="E943" s="1">
        <v>40513.527777777781</v>
      </c>
      <c r="F943">
        <v>12.75</v>
      </c>
      <c r="G943">
        <v>17951</v>
      </c>
      <c r="H943" t="s">
        <v>10</v>
      </c>
    </row>
    <row r="944" spans="1:8" x14ac:dyDescent="0.25">
      <c r="A944">
        <v>536514</v>
      </c>
      <c r="B944">
        <v>22807</v>
      </c>
      <c r="C944" t="s">
        <v>498</v>
      </c>
      <c r="D944">
        <v>6</v>
      </c>
      <c r="E944" s="1">
        <v>40513.527777777781</v>
      </c>
      <c r="F944">
        <v>2.95</v>
      </c>
      <c r="G944">
        <v>17951</v>
      </c>
      <c r="H944" t="s">
        <v>10</v>
      </c>
    </row>
    <row r="945" spans="1:8" x14ac:dyDescent="0.25">
      <c r="A945">
        <v>536514</v>
      </c>
      <c r="B945">
        <v>22633</v>
      </c>
      <c r="C945" t="s">
        <v>20</v>
      </c>
      <c r="D945">
        <v>36</v>
      </c>
      <c r="E945" s="1">
        <v>40513.527777777781</v>
      </c>
      <c r="F945">
        <v>2.1</v>
      </c>
      <c r="G945">
        <v>17951</v>
      </c>
      <c r="H945" t="s">
        <v>10</v>
      </c>
    </row>
    <row r="946" spans="1:8" x14ac:dyDescent="0.25">
      <c r="A946">
        <v>536514</v>
      </c>
      <c r="B946">
        <v>22866</v>
      </c>
      <c r="C946" t="s">
        <v>237</v>
      </c>
      <c r="D946">
        <v>36</v>
      </c>
      <c r="E946" s="1">
        <v>40513.527777777781</v>
      </c>
      <c r="F946">
        <v>2.1</v>
      </c>
      <c r="G946">
        <v>17951</v>
      </c>
      <c r="H946" t="s">
        <v>10</v>
      </c>
    </row>
    <row r="947" spans="1:8" x14ac:dyDescent="0.25">
      <c r="A947">
        <v>536520</v>
      </c>
      <c r="B947">
        <v>21794</v>
      </c>
      <c r="C947" t="s">
        <v>641</v>
      </c>
      <c r="D947">
        <v>1</v>
      </c>
      <c r="E947" s="1">
        <v>40513.529861111114</v>
      </c>
      <c r="F947">
        <v>6.75</v>
      </c>
      <c r="G947">
        <v>14729</v>
      </c>
      <c r="H947" t="s">
        <v>10</v>
      </c>
    </row>
    <row r="948" spans="1:8" x14ac:dyDescent="0.25">
      <c r="A948">
        <v>536520</v>
      </c>
      <c r="B948">
        <v>20707</v>
      </c>
      <c r="C948" t="s">
        <v>642</v>
      </c>
      <c r="D948">
        <v>1</v>
      </c>
      <c r="E948" s="1">
        <v>40513.529861111114</v>
      </c>
      <c r="F948">
        <v>1.25</v>
      </c>
      <c r="G948">
        <v>14729</v>
      </c>
      <c r="H948" t="s">
        <v>10</v>
      </c>
    </row>
    <row r="949" spans="1:8" x14ac:dyDescent="0.25">
      <c r="A949">
        <v>536520</v>
      </c>
      <c r="B949">
        <v>21175</v>
      </c>
      <c r="C949" t="s">
        <v>114</v>
      </c>
      <c r="D949">
        <v>1</v>
      </c>
      <c r="E949" s="1">
        <v>40513.529861111114</v>
      </c>
      <c r="F949">
        <v>2.1</v>
      </c>
      <c r="G949">
        <v>14729</v>
      </c>
      <c r="H949" t="s">
        <v>10</v>
      </c>
    </row>
    <row r="950" spans="1:8" x14ac:dyDescent="0.25">
      <c r="A950">
        <v>536520</v>
      </c>
      <c r="B950">
        <v>22926</v>
      </c>
      <c r="C950" t="s">
        <v>146</v>
      </c>
      <c r="D950">
        <v>1</v>
      </c>
      <c r="E950" s="1">
        <v>40513.529861111114</v>
      </c>
      <c r="F950">
        <v>5.95</v>
      </c>
      <c r="G950">
        <v>14729</v>
      </c>
      <c r="H950" t="s">
        <v>10</v>
      </c>
    </row>
    <row r="951" spans="1:8" x14ac:dyDescent="0.25">
      <c r="A951">
        <v>536520</v>
      </c>
      <c r="B951">
        <v>22588</v>
      </c>
      <c r="C951" t="s">
        <v>643</v>
      </c>
      <c r="D951">
        <v>2</v>
      </c>
      <c r="E951" s="1">
        <v>40513.529861111114</v>
      </c>
      <c r="F951">
        <v>2.5499999999999998</v>
      </c>
      <c r="G951">
        <v>14729</v>
      </c>
      <c r="H951" t="s">
        <v>10</v>
      </c>
    </row>
    <row r="952" spans="1:8" x14ac:dyDescent="0.25">
      <c r="A952">
        <v>536520</v>
      </c>
      <c r="B952">
        <v>21292</v>
      </c>
      <c r="C952" t="s">
        <v>644</v>
      </c>
      <c r="D952">
        <v>16</v>
      </c>
      <c r="E952" s="1">
        <v>40513.529861111114</v>
      </c>
      <c r="F952">
        <v>0.85</v>
      </c>
      <c r="G952">
        <v>14729</v>
      </c>
      <c r="H952" t="s">
        <v>10</v>
      </c>
    </row>
    <row r="953" spans="1:8" x14ac:dyDescent="0.25">
      <c r="A953">
        <v>536520</v>
      </c>
      <c r="B953">
        <v>21890</v>
      </c>
      <c r="C953" t="s">
        <v>502</v>
      </c>
      <c r="D953">
        <v>1</v>
      </c>
      <c r="E953" s="1">
        <v>40513.529861111114</v>
      </c>
      <c r="F953">
        <v>2.95</v>
      </c>
      <c r="G953">
        <v>14729</v>
      </c>
      <c r="H953" t="s">
        <v>10</v>
      </c>
    </row>
    <row r="954" spans="1:8" x14ac:dyDescent="0.25">
      <c r="A954">
        <v>536520</v>
      </c>
      <c r="B954">
        <v>22632</v>
      </c>
      <c r="C954" t="s">
        <v>239</v>
      </c>
      <c r="D954">
        <v>4</v>
      </c>
      <c r="E954" s="1">
        <v>40513.529861111114</v>
      </c>
      <c r="F954">
        <v>2.1</v>
      </c>
      <c r="G954">
        <v>14729</v>
      </c>
      <c r="H954" t="s">
        <v>10</v>
      </c>
    </row>
    <row r="955" spans="1:8" x14ac:dyDescent="0.25">
      <c r="A955">
        <v>536520</v>
      </c>
      <c r="B955">
        <v>22633</v>
      </c>
      <c r="C955" t="s">
        <v>20</v>
      </c>
      <c r="D955">
        <v>3</v>
      </c>
      <c r="E955" s="1">
        <v>40513.529861111114</v>
      </c>
      <c r="F955">
        <v>2.1</v>
      </c>
      <c r="G955">
        <v>14729</v>
      </c>
      <c r="H955" t="s">
        <v>10</v>
      </c>
    </row>
    <row r="956" spans="1:8" x14ac:dyDescent="0.25">
      <c r="A956">
        <v>536520</v>
      </c>
      <c r="B956">
        <v>22670</v>
      </c>
      <c r="C956" t="s">
        <v>542</v>
      </c>
      <c r="D956">
        <v>1</v>
      </c>
      <c r="E956" s="1">
        <v>40513.529861111114</v>
      </c>
      <c r="F956">
        <v>1.25</v>
      </c>
      <c r="G956">
        <v>14729</v>
      </c>
      <c r="H956" t="s">
        <v>10</v>
      </c>
    </row>
    <row r="957" spans="1:8" x14ac:dyDescent="0.25">
      <c r="A957">
        <v>536520</v>
      </c>
      <c r="B957">
        <v>21867</v>
      </c>
      <c r="C957" t="s">
        <v>409</v>
      </c>
      <c r="D957">
        <v>1</v>
      </c>
      <c r="E957" s="1">
        <v>40513.529861111114</v>
      </c>
      <c r="F957">
        <v>1.25</v>
      </c>
      <c r="G957">
        <v>14729</v>
      </c>
      <c r="H957" t="s">
        <v>10</v>
      </c>
    </row>
    <row r="958" spans="1:8" x14ac:dyDescent="0.25">
      <c r="A958">
        <v>536520</v>
      </c>
      <c r="B958">
        <v>22760</v>
      </c>
      <c r="C958" t="s">
        <v>645</v>
      </c>
      <c r="D958">
        <v>1</v>
      </c>
      <c r="E958" s="1">
        <v>40513.529861111114</v>
      </c>
      <c r="F958">
        <v>12.75</v>
      </c>
      <c r="G958">
        <v>14729</v>
      </c>
      <c r="H958" t="s">
        <v>10</v>
      </c>
    </row>
    <row r="959" spans="1:8" x14ac:dyDescent="0.25">
      <c r="A959">
        <v>536520</v>
      </c>
      <c r="B959">
        <v>22107</v>
      </c>
      <c r="C959" t="s">
        <v>646</v>
      </c>
      <c r="D959">
        <v>2</v>
      </c>
      <c r="E959" s="1">
        <v>40513.529861111114</v>
      </c>
      <c r="F959">
        <v>3.75</v>
      </c>
      <c r="G959">
        <v>14729</v>
      </c>
      <c r="H959" t="s">
        <v>10</v>
      </c>
    </row>
    <row r="960" spans="1:8" x14ac:dyDescent="0.25">
      <c r="A960">
        <v>536520</v>
      </c>
      <c r="B960">
        <v>22470</v>
      </c>
      <c r="C960" t="s">
        <v>159</v>
      </c>
      <c r="D960">
        <v>1</v>
      </c>
      <c r="E960" s="1">
        <v>40513.529861111114</v>
      </c>
      <c r="F960">
        <v>2.95</v>
      </c>
      <c r="G960">
        <v>14729</v>
      </c>
      <c r="H960" t="s">
        <v>10</v>
      </c>
    </row>
    <row r="961" spans="1:8" x14ac:dyDescent="0.25">
      <c r="A961">
        <v>536520</v>
      </c>
      <c r="B961">
        <v>21486</v>
      </c>
      <c r="C961" t="s">
        <v>647</v>
      </c>
      <c r="D961">
        <v>1</v>
      </c>
      <c r="E961" s="1">
        <v>40513.529861111114</v>
      </c>
      <c r="F961">
        <v>3.75</v>
      </c>
      <c r="G961">
        <v>14729</v>
      </c>
      <c r="H961" t="s">
        <v>10</v>
      </c>
    </row>
    <row r="962" spans="1:8" x14ac:dyDescent="0.25">
      <c r="A962">
        <v>536520</v>
      </c>
      <c r="B962">
        <v>22151</v>
      </c>
      <c r="C962" t="s">
        <v>648</v>
      </c>
      <c r="D962">
        <v>14</v>
      </c>
      <c r="E962" s="1">
        <v>40513.529861111114</v>
      </c>
      <c r="F962">
        <v>0.42</v>
      </c>
      <c r="G962">
        <v>14729</v>
      </c>
      <c r="H962" t="s">
        <v>10</v>
      </c>
    </row>
    <row r="963" spans="1:8" x14ac:dyDescent="0.25">
      <c r="A963">
        <v>536520</v>
      </c>
      <c r="B963">
        <v>22643</v>
      </c>
      <c r="C963" t="s">
        <v>649</v>
      </c>
      <c r="D963">
        <v>4</v>
      </c>
      <c r="E963" s="1">
        <v>40513.529861111114</v>
      </c>
      <c r="F963">
        <v>2.5499999999999998</v>
      </c>
      <c r="G963">
        <v>14729</v>
      </c>
      <c r="H963" t="s">
        <v>10</v>
      </c>
    </row>
    <row r="964" spans="1:8" x14ac:dyDescent="0.25">
      <c r="A964">
        <v>536520</v>
      </c>
      <c r="B964">
        <v>22642</v>
      </c>
      <c r="C964" t="s">
        <v>650</v>
      </c>
      <c r="D964">
        <v>4</v>
      </c>
      <c r="E964" s="1">
        <v>40513.529861111114</v>
      </c>
      <c r="F964">
        <v>2.5499999999999998</v>
      </c>
      <c r="G964">
        <v>14729</v>
      </c>
      <c r="H964" t="s">
        <v>10</v>
      </c>
    </row>
    <row r="965" spans="1:8" x14ac:dyDescent="0.25">
      <c r="A965">
        <v>536520</v>
      </c>
      <c r="B965">
        <v>22604</v>
      </c>
      <c r="C965" t="s">
        <v>651</v>
      </c>
      <c r="D965">
        <v>3</v>
      </c>
      <c r="E965" s="1">
        <v>40513.529861111114</v>
      </c>
      <c r="F965">
        <v>2.5499999999999998</v>
      </c>
      <c r="G965">
        <v>14729</v>
      </c>
      <c r="H965" t="s">
        <v>10</v>
      </c>
    </row>
    <row r="966" spans="1:8" x14ac:dyDescent="0.25">
      <c r="A966">
        <v>536520</v>
      </c>
      <c r="B966">
        <v>22099</v>
      </c>
      <c r="C966" t="s">
        <v>652</v>
      </c>
      <c r="D966">
        <v>2</v>
      </c>
      <c r="E966" s="1">
        <v>40513.529861111114</v>
      </c>
      <c r="F966">
        <v>1.25</v>
      </c>
      <c r="G966">
        <v>14729</v>
      </c>
      <c r="H966" t="s">
        <v>10</v>
      </c>
    </row>
    <row r="967" spans="1:8" x14ac:dyDescent="0.25">
      <c r="A967">
        <v>536520</v>
      </c>
      <c r="B967">
        <v>22553</v>
      </c>
      <c r="C967" t="s">
        <v>225</v>
      </c>
      <c r="D967">
        <v>1</v>
      </c>
      <c r="E967" s="1">
        <v>40513.529861111114</v>
      </c>
      <c r="F967">
        <v>1.65</v>
      </c>
      <c r="G967">
        <v>14729</v>
      </c>
      <c r="H967" t="s">
        <v>10</v>
      </c>
    </row>
    <row r="968" spans="1:8" x14ac:dyDescent="0.25">
      <c r="A968">
        <v>536520</v>
      </c>
      <c r="B968">
        <v>22551</v>
      </c>
      <c r="C968" t="s">
        <v>489</v>
      </c>
      <c r="D968">
        <v>1</v>
      </c>
      <c r="E968" s="1">
        <v>40513.529861111114</v>
      </c>
      <c r="F968">
        <v>1.65</v>
      </c>
      <c r="G968">
        <v>14729</v>
      </c>
      <c r="H968" t="s">
        <v>10</v>
      </c>
    </row>
    <row r="969" spans="1:8" x14ac:dyDescent="0.25">
      <c r="A969">
        <v>536520</v>
      </c>
      <c r="B969">
        <v>22653</v>
      </c>
      <c r="C969" t="s">
        <v>653</v>
      </c>
      <c r="D969">
        <v>1</v>
      </c>
      <c r="E969" s="1">
        <v>40513.529861111114</v>
      </c>
      <c r="F969">
        <v>1.95</v>
      </c>
      <c r="G969">
        <v>14729</v>
      </c>
      <c r="H969" t="s">
        <v>10</v>
      </c>
    </row>
    <row r="970" spans="1:8" x14ac:dyDescent="0.25">
      <c r="A970">
        <v>536520</v>
      </c>
      <c r="B970">
        <v>22557</v>
      </c>
      <c r="C970" t="s">
        <v>224</v>
      </c>
      <c r="D970">
        <v>2</v>
      </c>
      <c r="E970" s="1">
        <v>40513.529861111114</v>
      </c>
      <c r="F970">
        <v>1.65</v>
      </c>
      <c r="G970">
        <v>14729</v>
      </c>
      <c r="H970" t="s">
        <v>10</v>
      </c>
    </row>
    <row r="971" spans="1:8" x14ac:dyDescent="0.25">
      <c r="A971">
        <v>536520</v>
      </c>
      <c r="B971">
        <v>22906</v>
      </c>
      <c r="C971" t="s">
        <v>654</v>
      </c>
      <c r="D971">
        <v>6</v>
      </c>
      <c r="E971" s="1">
        <v>40513.529861111114</v>
      </c>
      <c r="F971">
        <v>1.65</v>
      </c>
      <c r="G971">
        <v>14729</v>
      </c>
      <c r="H971" t="s">
        <v>10</v>
      </c>
    </row>
    <row r="972" spans="1:8" x14ac:dyDescent="0.25">
      <c r="A972">
        <v>536520</v>
      </c>
      <c r="B972">
        <v>22754</v>
      </c>
      <c r="C972" t="s">
        <v>655</v>
      </c>
      <c r="D972">
        <v>1</v>
      </c>
      <c r="E972" s="1">
        <v>40513.529861111114</v>
      </c>
      <c r="F972">
        <v>0.85</v>
      </c>
      <c r="G972">
        <v>14729</v>
      </c>
      <c r="H972" t="s">
        <v>10</v>
      </c>
    </row>
    <row r="973" spans="1:8" x14ac:dyDescent="0.25">
      <c r="A973">
        <v>536520</v>
      </c>
      <c r="B973">
        <v>22938</v>
      </c>
      <c r="C973" t="s">
        <v>500</v>
      </c>
      <c r="D973">
        <v>5</v>
      </c>
      <c r="E973" s="1">
        <v>40513.529861111114</v>
      </c>
      <c r="F973">
        <v>1.95</v>
      </c>
      <c r="G973">
        <v>14729</v>
      </c>
      <c r="H973" t="s">
        <v>10</v>
      </c>
    </row>
    <row r="974" spans="1:8" x14ac:dyDescent="0.25">
      <c r="A974">
        <v>536520</v>
      </c>
      <c r="B974">
        <v>22812</v>
      </c>
      <c r="C974" t="s">
        <v>376</v>
      </c>
      <c r="D974">
        <v>3</v>
      </c>
      <c r="E974" s="1">
        <v>40513.529861111114</v>
      </c>
      <c r="F974">
        <v>1.95</v>
      </c>
      <c r="G974">
        <v>14729</v>
      </c>
      <c r="H974" t="s">
        <v>10</v>
      </c>
    </row>
    <row r="975" spans="1:8" x14ac:dyDescent="0.25">
      <c r="A975">
        <v>536520</v>
      </c>
      <c r="B975">
        <v>22919</v>
      </c>
      <c r="C975" t="s">
        <v>656</v>
      </c>
      <c r="D975">
        <v>2</v>
      </c>
      <c r="E975" s="1">
        <v>40513.529861111114</v>
      </c>
      <c r="F975">
        <v>0.65</v>
      </c>
      <c r="G975">
        <v>14729</v>
      </c>
      <c r="H975" t="s">
        <v>10</v>
      </c>
    </row>
    <row r="976" spans="1:8" x14ac:dyDescent="0.25">
      <c r="A976">
        <v>536520</v>
      </c>
      <c r="B976">
        <v>22917</v>
      </c>
      <c r="C976" t="s">
        <v>657</v>
      </c>
      <c r="D976">
        <v>1</v>
      </c>
      <c r="E976" s="1">
        <v>40513.529861111114</v>
      </c>
      <c r="F976">
        <v>0.65</v>
      </c>
      <c r="G976">
        <v>14729</v>
      </c>
      <c r="H976" t="s">
        <v>10</v>
      </c>
    </row>
    <row r="977" spans="1:8" x14ac:dyDescent="0.25">
      <c r="A977">
        <v>536520</v>
      </c>
      <c r="B977">
        <v>22920</v>
      </c>
      <c r="C977" t="s">
        <v>658</v>
      </c>
      <c r="D977">
        <v>3</v>
      </c>
      <c r="E977" s="1">
        <v>40513.529861111114</v>
      </c>
      <c r="F977">
        <v>0.65</v>
      </c>
      <c r="G977">
        <v>14729</v>
      </c>
      <c r="H977" t="s">
        <v>10</v>
      </c>
    </row>
    <row r="978" spans="1:8" x14ac:dyDescent="0.25">
      <c r="A978">
        <v>536520</v>
      </c>
      <c r="B978">
        <v>22921</v>
      </c>
      <c r="C978" t="s">
        <v>659</v>
      </c>
      <c r="D978">
        <v>2</v>
      </c>
      <c r="E978" s="1">
        <v>40513.529861111114</v>
      </c>
      <c r="F978">
        <v>0.65</v>
      </c>
      <c r="G978">
        <v>14729</v>
      </c>
      <c r="H978" t="s">
        <v>10</v>
      </c>
    </row>
    <row r="979" spans="1:8" x14ac:dyDescent="0.25">
      <c r="A979">
        <v>536520</v>
      </c>
      <c r="B979">
        <v>22918</v>
      </c>
      <c r="C979" t="s">
        <v>660</v>
      </c>
      <c r="D979">
        <v>2</v>
      </c>
      <c r="E979" s="1">
        <v>40513.529861111114</v>
      </c>
      <c r="F979">
        <v>0.65</v>
      </c>
      <c r="G979">
        <v>14729</v>
      </c>
      <c r="H979" t="s">
        <v>10</v>
      </c>
    </row>
    <row r="980" spans="1:8" x14ac:dyDescent="0.25">
      <c r="A980">
        <v>536520</v>
      </c>
      <c r="B980">
        <v>22916</v>
      </c>
      <c r="C980" t="s">
        <v>661</v>
      </c>
      <c r="D980">
        <v>1</v>
      </c>
      <c r="E980" s="1">
        <v>40513.529861111114</v>
      </c>
      <c r="F980">
        <v>0.65</v>
      </c>
      <c r="G980">
        <v>14729</v>
      </c>
      <c r="H980" t="s">
        <v>10</v>
      </c>
    </row>
    <row r="981" spans="1:8" x14ac:dyDescent="0.25">
      <c r="A981">
        <v>536520</v>
      </c>
      <c r="B981" t="s">
        <v>8</v>
      </c>
      <c r="C981" t="s">
        <v>9</v>
      </c>
      <c r="D981">
        <v>3</v>
      </c>
      <c r="E981" s="1">
        <v>40513.529861111114</v>
      </c>
      <c r="F981">
        <v>2.95</v>
      </c>
      <c r="G981">
        <v>14729</v>
      </c>
      <c r="H981" t="s">
        <v>10</v>
      </c>
    </row>
    <row r="982" spans="1:8" x14ac:dyDescent="0.25">
      <c r="A982">
        <v>536520</v>
      </c>
      <c r="B982">
        <v>22575</v>
      </c>
      <c r="C982" t="s">
        <v>662</v>
      </c>
      <c r="D982">
        <v>1</v>
      </c>
      <c r="E982" s="1">
        <v>40513.529861111114</v>
      </c>
      <c r="F982">
        <v>1.95</v>
      </c>
      <c r="G982">
        <v>14729</v>
      </c>
      <c r="H982" t="s">
        <v>10</v>
      </c>
    </row>
    <row r="983" spans="1:8" x14ac:dyDescent="0.25">
      <c r="A983">
        <v>536520</v>
      </c>
      <c r="B983">
        <v>21804</v>
      </c>
      <c r="C983" t="s">
        <v>663</v>
      </c>
      <c r="D983">
        <v>3</v>
      </c>
      <c r="E983" s="1">
        <v>40513.529861111114</v>
      </c>
      <c r="F983">
        <v>3.75</v>
      </c>
      <c r="G983">
        <v>14729</v>
      </c>
      <c r="H983" t="s">
        <v>10</v>
      </c>
    </row>
    <row r="984" spans="1:8" x14ac:dyDescent="0.25">
      <c r="A984">
        <v>536520</v>
      </c>
      <c r="B984">
        <v>21584</v>
      </c>
      <c r="C984" t="s">
        <v>589</v>
      </c>
      <c r="D984">
        <v>12</v>
      </c>
      <c r="E984" s="1">
        <v>40513.529861111114</v>
      </c>
      <c r="F984">
        <v>1.65</v>
      </c>
      <c r="G984">
        <v>14729</v>
      </c>
      <c r="H984" t="s">
        <v>10</v>
      </c>
    </row>
    <row r="985" spans="1:8" x14ac:dyDescent="0.25">
      <c r="A985">
        <v>536520</v>
      </c>
      <c r="B985">
        <v>21588</v>
      </c>
      <c r="C985" t="s">
        <v>664</v>
      </c>
      <c r="D985">
        <v>3</v>
      </c>
      <c r="E985" s="1">
        <v>40513.529861111114</v>
      </c>
      <c r="F985">
        <v>2.5499999999999998</v>
      </c>
      <c r="G985">
        <v>14729</v>
      </c>
      <c r="H985" t="s">
        <v>10</v>
      </c>
    </row>
    <row r="986" spans="1:8" x14ac:dyDescent="0.25">
      <c r="A986">
        <v>536520</v>
      </c>
      <c r="B986">
        <v>22152</v>
      </c>
      <c r="C986" t="s">
        <v>540</v>
      </c>
      <c r="D986">
        <v>12</v>
      </c>
      <c r="E986" s="1">
        <v>40513.529861111114</v>
      </c>
      <c r="F986">
        <v>0.42</v>
      </c>
      <c r="G986">
        <v>14729</v>
      </c>
      <c r="H986" t="s">
        <v>10</v>
      </c>
    </row>
    <row r="987" spans="1:8" x14ac:dyDescent="0.25">
      <c r="A987">
        <v>536520</v>
      </c>
      <c r="B987">
        <v>22441</v>
      </c>
      <c r="C987" t="s">
        <v>292</v>
      </c>
      <c r="D987">
        <v>1</v>
      </c>
      <c r="E987" s="1">
        <v>40513.529861111114</v>
      </c>
      <c r="F987">
        <v>2.1</v>
      </c>
      <c r="G987">
        <v>14729</v>
      </c>
      <c r="H987" t="s">
        <v>10</v>
      </c>
    </row>
    <row r="988" spans="1:8" x14ac:dyDescent="0.25">
      <c r="A988">
        <v>536520</v>
      </c>
      <c r="B988">
        <v>22955</v>
      </c>
      <c r="C988" t="s">
        <v>665</v>
      </c>
      <c r="D988">
        <v>2</v>
      </c>
      <c r="E988" s="1">
        <v>40513.529861111114</v>
      </c>
      <c r="F988">
        <v>2.1</v>
      </c>
      <c r="G988">
        <v>14729</v>
      </c>
      <c r="H988" t="s">
        <v>10</v>
      </c>
    </row>
    <row r="989" spans="1:8" x14ac:dyDescent="0.25">
      <c r="A989">
        <v>536520</v>
      </c>
      <c r="B989">
        <v>22956</v>
      </c>
      <c r="C989" t="s">
        <v>591</v>
      </c>
      <c r="D989">
        <v>2</v>
      </c>
      <c r="E989" s="1">
        <v>40513.529861111114</v>
      </c>
      <c r="F989">
        <v>2.1</v>
      </c>
      <c r="G989">
        <v>14729</v>
      </c>
      <c r="H989" t="s">
        <v>10</v>
      </c>
    </row>
    <row r="990" spans="1:8" x14ac:dyDescent="0.25">
      <c r="A990">
        <v>536520</v>
      </c>
      <c r="B990">
        <v>22582</v>
      </c>
      <c r="C990" t="s">
        <v>592</v>
      </c>
      <c r="D990">
        <v>2</v>
      </c>
      <c r="E990" s="1">
        <v>40513.529861111114</v>
      </c>
      <c r="F990">
        <v>2.5499999999999998</v>
      </c>
      <c r="G990">
        <v>14729</v>
      </c>
      <c r="H990" t="s">
        <v>10</v>
      </c>
    </row>
    <row r="991" spans="1:8" x14ac:dyDescent="0.25">
      <c r="A991">
        <v>536520</v>
      </c>
      <c r="B991">
        <v>22583</v>
      </c>
      <c r="C991" t="s">
        <v>666</v>
      </c>
      <c r="D991">
        <v>3</v>
      </c>
      <c r="E991" s="1">
        <v>40513.529861111114</v>
      </c>
      <c r="F991">
        <v>2.5499999999999998</v>
      </c>
      <c r="G991">
        <v>14729</v>
      </c>
      <c r="H991" t="s">
        <v>10</v>
      </c>
    </row>
    <row r="992" spans="1:8" x14ac:dyDescent="0.25">
      <c r="A992">
        <v>536520</v>
      </c>
      <c r="B992">
        <v>22241</v>
      </c>
      <c r="C992" t="s">
        <v>667</v>
      </c>
      <c r="D992">
        <v>2</v>
      </c>
      <c r="E992" s="1">
        <v>40513.529861111114</v>
      </c>
      <c r="F992">
        <v>1.25</v>
      </c>
      <c r="G992">
        <v>14729</v>
      </c>
      <c r="H992" t="s">
        <v>10</v>
      </c>
    </row>
    <row r="993" spans="1:8" x14ac:dyDescent="0.25">
      <c r="A993">
        <v>536520</v>
      </c>
      <c r="B993">
        <v>22904</v>
      </c>
      <c r="C993" t="s">
        <v>668</v>
      </c>
      <c r="D993">
        <v>3</v>
      </c>
      <c r="E993" s="1">
        <v>40513.529861111114</v>
      </c>
      <c r="F993">
        <v>2.95</v>
      </c>
      <c r="G993">
        <v>14729</v>
      </c>
      <c r="H993" t="s">
        <v>10</v>
      </c>
    </row>
    <row r="994" spans="1:8" x14ac:dyDescent="0.25">
      <c r="A994">
        <v>536520</v>
      </c>
      <c r="B994">
        <v>22905</v>
      </c>
      <c r="C994" t="s">
        <v>669</v>
      </c>
      <c r="D994">
        <v>2</v>
      </c>
      <c r="E994" s="1">
        <v>40513.529861111114</v>
      </c>
      <c r="F994">
        <v>2.95</v>
      </c>
      <c r="G994">
        <v>14729</v>
      </c>
      <c r="H994" t="s">
        <v>10</v>
      </c>
    </row>
    <row r="995" spans="1:8" x14ac:dyDescent="0.25">
      <c r="A995">
        <v>536520</v>
      </c>
      <c r="B995">
        <v>22197</v>
      </c>
      <c r="C995" t="s">
        <v>208</v>
      </c>
      <c r="D995">
        <v>3</v>
      </c>
      <c r="E995" s="1">
        <v>40513.529861111114</v>
      </c>
      <c r="F995">
        <v>0.85</v>
      </c>
      <c r="G995">
        <v>14729</v>
      </c>
      <c r="H995" t="s">
        <v>10</v>
      </c>
    </row>
    <row r="996" spans="1:8" x14ac:dyDescent="0.25">
      <c r="A996">
        <v>536520</v>
      </c>
      <c r="B996">
        <v>22092</v>
      </c>
      <c r="C996" t="s">
        <v>670</v>
      </c>
      <c r="D996">
        <v>1</v>
      </c>
      <c r="E996" s="1">
        <v>40513.529861111114</v>
      </c>
      <c r="F996">
        <v>1.25</v>
      </c>
      <c r="G996">
        <v>14729</v>
      </c>
      <c r="H996" t="s">
        <v>10</v>
      </c>
    </row>
    <row r="997" spans="1:8" x14ac:dyDescent="0.25">
      <c r="A997">
        <v>536520</v>
      </c>
      <c r="B997">
        <v>22469</v>
      </c>
      <c r="C997" t="s">
        <v>158</v>
      </c>
      <c r="D997">
        <v>1</v>
      </c>
      <c r="E997" s="1">
        <v>40513.529861111114</v>
      </c>
      <c r="F997">
        <v>1.65</v>
      </c>
      <c r="G997">
        <v>14729</v>
      </c>
      <c r="H997" t="s">
        <v>10</v>
      </c>
    </row>
    <row r="998" spans="1:8" x14ac:dyDescent="0.25">
      <c r="A998">
        <v>536520</v>
      </c>
      <c r="B998">
        <v>22100</v>
      </c>
      <c r="C998" t="s">
        <v>264</v>
      </c>
      <c r="D998">
        <v>1</v>
      </c>
      <c r="E998" s="1">
        <v>40513.529861111114</v>
      </c>
      <c r="F998">
        <v>1.25</v>
      </c>
      <c r="G998">
        <v>14729</v>
      </c>
      <c r="H998" t="s">
        <v>10</v>
      </c>
    </row>
    <row r="999" spans="1:8" x14ac:dyDescent="0.25">
      <c r="A999">
        <v>536520</v>
      </c>
      <c r="B999">
        <v>22096</v>
      </c>
      <c r="C999" t="s">
        <v>671</v>
      </c>
      <c r="D999">
        <v>1</v>
      </c>
      <c r="E999" s="1">
        <v>40513.529861111114</v>
      </c>
      <c r="F999">
        <v>1.25</v>
      </c>
      <c r="G999">
        <v>14729</v>
      </c>
      <c r="H999" t="s">
        <v>10</v>
      </c>
    </row>
    <row r="1000" spans="1:8" x14ac:dyDescent="0.25">
      <c r="A1000">
        <v>536520</v>
      </c>
      <c r="B1000">
        <v>22583</v>
      </c>
      <c r="C1000" t="s">
        <v>666</v>
      </c>
      <c r="D1000">
        <v>1</v>
      </c>
      <c r="E1000" s="1">
        <v>40513.529861111114</v>
      </c>
      <c r="F1000">
        <v>2.5499999999999998</v>
      </c>
      <c r="G1000">
        <v>14729</v>
      </c>
      <c r="H1000" t="s">
        <v>10</v>
      </c>
    </row>
    <row r="1001" spans="1:8" x14ac:dyDescent="0.25">
      <c r="A1001">
        <v>536520</v>
      </c>
      <c r="B1001">
        <v>21358</v>
      </c>
      <c r="C1001" t="s">
        <v>672</v>
      </c>
      <c r="D1001">
        <v>2</v>
      </c>
      <c r="E1001" s="1">
        <v>40513.529861111114</v>
      </c>
      <c r="F1001">
        <v>1.25</v>
      </c>
      <c r="G1001">
        <v>14729</v>
      </c>
      <c r="H1001" t="s">
        <v>10</v>
      </c>
    </row>
    <row r="1002" spans="1:8" x14ac:dyDescent="0.25">
      <c r="A1002">
        <v>536520</v>
      </c>
      <c r="B1002">
        <v>21123</v>
      </c>
      <c r="C1002" t="s">
        <v>673</v>
      </c>
      <c r="D1002">
        <v>1</v>
      </c>
      <c r="E1002" s="1">
        <v>40513.529861111114</v>
      </c>
      <c r="F1002">
        <v>1.25</v>
      </c>
      <c r="G1002">
        <v>14729</v>
      </c>
      <c r="H1002" t="s">
        <v>10</v>
      </c>
    </row>
    <row r="1003" spans="1:8" x14ac:dyDescent="0.25">
      <c r="A1003">
        <v>536520</v>
      </c>
      <c r="B1003">
        <v>21124</v>
      </c>
      <c r="C1003" t="s">
        <v>575</v>
      </c>
      <c r="D1003">
        <v>1</v>
      </c>
      <c r="E1003" s="1">
        <v>40513.529861111114</v>
      </c>
      <c r="F1003">
        <v>1.25</v>
      </c>
      <c r="G1003">
        <v>14729</v>
      </c>
      <c r="H1003" t="s">
        <v>10</v>
      </c>
    </row>
    <row r="1004" spans="1:8" x14ac:dyDescent="0.25">
      <c r="A1004">
        <v>536520</v>
      </c>
      <c r="B1004">
        <v>21122</v>
      </c>
      <c r="C1004" t="s">
        <v>293</v>
      </c>
      <c r="D1004">
        <v>1</v>
      </c>
      <c r="E1004" s="1">
        <v>40513.529861111114</v>
      </c>
      <c r="F1004">
        <v>1.25</v>
      </c>
      <c r="G1004">
        <v>14729</v>
      </c>
      <c r="H1004" t="s">
        <v>10</v>
      </c>
    </row>
    <row r="1005" spans="1:8" x14ac:dyDescent="0.25">
      <c r="A1005">
        <v>536520</v>
      </c>
      <c r="B1005">
        <v>84378</v>
      </c>
      <c r="C1005" t="s">
        <v>341</v>
      </c>
      <c r="D1005">
        <v>1</v>
      </c>
      <c r="E1005" s="1">
        <v>40513.529861111114</v>
      </c>
      <c r="F1005">
        <v>1.25</v>
      </c>
      <c r="G1005">
        <v>14729</v>
      </c>
      <c r="H1005" t="s">
        <v>10</v>
      </c>
    </row>
    <row r="1006" spans="1:8" x14ac:dyDescent="0.25">
      <c r="A1006">
        <v>536520</v>
      </c>
      <c r="B1006">
        <v>21985</v>
      </c>
      <c r="C1006" t="s">
        <v>570</v>
      </c>
      <c r="D1006">
        <v>12</v>
      </c>
      <c r="E1006" s="1">
        <v>40513.529861111114</v>
      </c>
      <c r="F1006">
        <v>0.28999999999999998</v>
      </c>
      <c r="G1006">
        <v>14729</v>
      </c>
      <c r="H1006" t="s">
        <v>10</v>
      </c>
    </row>
    <row r="1007" spans="1:8" x14ac:dyDescent="0.25">
      <c r="A1007">
        <v>536520</v>
      </c>
      <c r="B1007">
        <v>21427</v>
      </c>
      <c r="C1007" t="s">
        <v>674</v>
      </c>
      <c r="D1007">
        <v>2</v>
      </c>
      <c r="E1007" s="1">
        <v>40513.529861111114</v>
      </c>
      <c r="F1007">
        <v>2.1</v>
      </c>
      <c r="G1007">
        <v>14729</v>
      </c>
      <c r="H1007" t="s">
        <v>10</v>
      </c>
    </row>
    <row r="1008" spans="1:8" x14ac:dyDescent="0.25">
      <c r="A1008">
        <v>536520</v>
      </c>
      <c r="B1008">
        <v>21034</v>
      </c>
      <c r="C1008" t="s">
        <v>443</v>
      </c>
      <c r="D1008">
        <v>2</v>
      </c>
      <c r="E1008" s="1">
        <v>40513.529861111114</v>
      </c>
      <c r="F1008">
        <v>0.95</v>
      </c>
      <c r="G1008">
        <v>14729</v>
      </c>
      <c r="H1008" t="s">
        <v>10</v>
      </c>
    </row>
    <row r="1009" spans="1:8" x14ac:dyDescent="0.25">
      <c r="A1009">
        <v>536520</v>
      </c>
      <c r="B1009">
        <v>21930</v>
      </c>
      <c r="C1009" t="s">
        <v>675</v>
      </c>
      <c r="D1009">
        <v>1</v>
      </c>
      <c r="E1009" s="1">
        <v>40513.529861111114</v>
      </c>
      <c r="F1009">
        <v>1.95</v>
      </c>
      <c r="G1009">
        <v>14729</v>
      </c>
      <c r="H1009" t="s">
        <v>10</v>
      </c>
    </row>
    <row r="1010" spans="1:8" x14ac:dyDescent="0.25">
      <c r="A1010">
        <v>536520</v>
      </c>
      <c r="B1010">
        <v>20772</v>
      </c>
      <c r="C1010" t="s">
        <v>676</v>
      </c>
      <c r="D1010">
        <v>1</v>
      </c>
      <c r="E1010" s="1">
        <v>40513.529861111114</v>
      </c>
      <c r="F1010">
        <v>2.5499999999999998</v>
      </c>
      <c r="G1010">
        <v>14729</v>
      </c>
      <c r="H1010" t="s">
        <v>10</v>
      </c>
    </row>
    <row r="1011" spans="1:8" x14ac:dyDescent="0.25">
      <c r="A1011">
        <v>536520</v>
      </c>
      <c r="B1011">
        <v>22469</v>
      </c>
      <c r="C1011" t="s">
        <v>158</v>
      </c>
      <c r="D1011">
        <v>2</v>
      </c>
      <c r="E1011" s="1">
        <v>40513.529861111114</v>
      </c>
      <c r="F1011">
        <v>1.65</v>
      </c>
      <c r="G1011">
        <v>14729</v>
      </c>
      <c r="H1011" t="s">
        <v>10</v>
      </c>
    </row>
    <row r="1012" spans="1:8" x14ac:dyDescent="0.25">
      <c r="A1012">
        <v>536520</v>
      </c>
      <c r="B1012" t="s">
        <v>677</v>
      </c>
      <c r="C1012" t="s">
        <v>678</v>
      </c>
      <c r="D1012">
        <v>12</v>
      </c>
      <c r="E1012" s="1">
        <v>40513.529861111114</v>
      </c>
      <c r="F1012">
        <v>0.42</v>
      </c>
      <c r="G1012">
        <v>14729</v>
      </c>
      <c r="H1012" t="s">
        <v>10</v>
      </c>
    </row>
    <row r="1013" spans="1:8" x14ac:dyDescent="0.25">
      <c r="A1013">
        <v>536520</v>
      </c>
      <c r="B1013" t="s">
        <v>679</v>
      </c>
      <c r="C1013" t="s">
        <v>680</v>
      </c>
      <c r="D1013">
        <v>1</v>
      </c>
      <c r="E1013" s="1">
        <v>40513.529861111114</v>
      </c>
      <c r="F1013">
        <v>1.45</v>
      </c>
      <c r="G1013">
        <v>14729</v>
      </c>
      <c r="H1013" t="s">
        <v>10</v>
      </c>
    </row>
    <row r="1014" spans="1:8" x14ac:dyDescent="0.25">
      <c r="A1014">
        <v>536520</v>
      </c>
      <c r="B1014">
        <v>20754</v>
      </c>
      <c r="C1014" t="s">
        <v>681</v>
      </c>
      <c r="D1014">
        <v>1</v>
      </c>
      <c r="E1014" s="1">
        <v>40513.529861111114</v>
      </c>
      <c r="F1014">
        <v>2.1</v>
      </c>
      <c r="G1014">
        <v>14729</v>
      </c>
      <c r="H1014" t="s">
        <v>10</v>
      </c>
    </row>
    <row r="1015" spans="1:8" x14ac:dyDescent="0.25">
      <c r="A1015">
        <v>536520</v>
      </c>
      <c r="B1015" t="s">
        <v>682</v>
      </c>
      <c r="C1015" t="s">
        <v>683</v>
      </c>
      <c r="D1015">
        <v>1</v>
      </c>
      <c r="E1015" s="1">
        <v>40513.529861111114</v>
      </c>
      <c r="F1015">
        <v>1.25</v>
      </c>
      <c r="G1015">
        <v>14729</v>
      </c>
      <c r="H1015" t="s">
        <v>10</v>
      </c>
    </row>
    <row r="1016" spans="1:8" x14ac:dyDescent="0.25">
      <c r="A1016">
        <v>536520</v>
      </c>
      <c r="B1016">
        <v>21111</v>
      </c>
      <c r="C1016" t="s">
        <v>684</v>
      </c>
      <c r="D1016">
        <v>1</v>
      </c>
      <c r="E1016" s="1">
        <v>40513.529861111114</v>
      </c>
      <c r="F1016">
        <v>2.95</v>
      </c>
      <c r="G1016">
        <v>14729</v>
      </c>
      <c r="H1016" t="s">
        <v>10</v>
      </c>
    </row>
    <row r="1017" spans="1:8" x14ac:dyDescent="0.25">
      <c r="A1017">
        <v>536520</v>
      </c>
      <c r="B1017">
        <v>22501</v>
      </c>
      <c r="C1017" t="s">
        <v>685</v>
      </c>
      <c r="D1017">
        <v>1</v>
      </c>
      <c r="E1017" s="1">
        <v>40513.529861111114</v>
      </c>
      <c r="F1017">
        <v>9.9499999999999993</v>
      </c>
      <c r="G1017">
        <v>14729</v>
      </c>
      <c r="H1017"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7"/>
  <sheetViews>
    <sheetView workbookViewId="0">
      <selection activeCell="E16" sqref="E16"/>
    </sheetView>
  </sheetViews>
  <sheetFormatPr defaultRowHeight="15" x14ac:dyDescent="0.25"/>
  <cols>
    <col min="1" max="1" width="12.140625" customWidth="1"/>
    <col min="2" max="2" width="12.42578125" customWidth="1"/>
    <col min="3" max="3" width="13.28515625" customWidth="1"/>
    <col min="4" max="4" width="16.7109375" style="2" customWidth="1"/>
    <col min="5" max="5" width="16.5703125" customWidth="1"/>
    <col min="6" max="6" width="11.42578125" customWidth="1"/>
    <col min="7" max="7" width="13.5703125" customWidth="1"/>
    <col min="8" max="8" width="18.7109375" customWidth="1"/>
    <col min="10" max="10" width="13.5703125" customWidth="1"/>
  </cols>
  <sheetData>
    <row r="1" spans="1:10" x14ac:dyDescent="0.25">
      <c r="A1" t="s">
        <v>0</v>
      </c>
      <c r="B1" t="s">
        <v>1</v>
      </c>
      <c r="C1" t="s">
        <v>2</v>
      </c>
      <c r="D1" s="2" t="s">
        <v>691</v>
      </c>
      <c r="E1" t="s">
        <v>4</v>
      </c>
      <c r="F1" t="s">
        <v>5</v>
      </c>
      <c r="G1" t="s">
        <v>6</v>
      </c>
      <c r="H1" t="s">
        <v>7</v>
      </c>
      <c r="I1" t="s">
        <v>692</v>
      </c>
      <c r="J1" t="s">
        <v>686</v>
      </c>
    </row>
    <row r="2" spans="1:10" x14ac:dyDescent="0.25">
      <c r="A2" s="2">
        <v>536365</v>
      </c>
      <c r="B2" s="2" t="s">
        <v>8</v>
      </c>
      <c r="C2" s="2" t="s">
        <v>9</v>
      </c>
      <c r="D2" s="2">
        <v>6</v>
      </c>
      <c r="E2" s="8">
        <v>40513.351388888892</v>
      </c>
      <c r="F2" s="2">
        <v>2.5499999999999998</v>
      </c>
      <c r="G2" s="2">
        <v>17850</v>
      </c>
      <c r="H2" s="2" t="s">
        <v>10</v>
      </c>
      <c r="I2" s="2">
        <f>ABS(DF[[#This Row],[Quantity_BEFORE]])</f>
        <v>6</v>
      </c>
      <c r="J2" s="2">
        <f>DF[[#This Row],[QUANTITY]]*DF[[#This Row],[UnitPrice]]</f>
        <v>15.299999999999999</v>
      </c>
    </row>
    <row r="3" spans="1:10" x14ac:dyDescent="0.25">
      <c r="A3" s="2">
        <v>536365</v>
      </c>
      <c r="B3" s="2">
        <v>71053</v>
      </c>
      <c r="C3" s="2" t="s">
        <v>11</v>
      </c>
      <c r="D3" s="2">
        <v>6</v>
      </c>
      <c r="E3" s="8">
        <v>40513.351388888892</v>
      </c>
      <c r="F3" s="2">
        <v>3.39</v>
      </c>
      <c r="G3" s="2">
        <v>17850</v>
      </c>
      <c r="H3" s="2" t="s">
        <v>10</v>
      </c>
      <c r="I3" s="2">
        <f>ABS(DF[[#This Row],[Quantity_BEFORE]])</f>
        <v>6</v>
      </c>
      <c r="J3" s="2">
        <f>DF[[#This Row],[QUANTITY]]*DF[[#This Row],[UnitPrice]]</f>
        <v>20.34</v>
      </c>
    </row>
    <row r="4" spans="1:10" x14ac:dyDescent="0.25">
      <c r="A4" s="2">
        <v>536365</v>
      </c>
      <c r="B4" s="2" t="s">
        <v>12</v>
      </c>
      <c r="C4" s="2" t="s">
        <v>13</v>
      </c>
      <c r="D4" s="2">
        <v>8</v>
      </c>
      <c r="E4" s="8">
        <v>40513.351388888892</v>
      </c>
      <c r="F4" s="2">
        <v>2.75</v>
      </c>
      <c r="G4" s="2">
        <v>17850</v>
      </c>
      <c r="H4" s="2" t="s">
        <v>10</v>
      </c>
      <c r="I4" s="2">
        <f>ABS(DF[[#This Row],[Quantity_BEFORE]])</f>
        <v>8</v>
      </c>
      <c r="J4" s="2">
        <f>DF[[#This Row],[QUANTITY]]*DF[[#This Row],[UnitPrice]]</f>
        <v>22</v>
      </c>
    </row>
    <row r="5" spans="1:10" x14ac:dyDescent="0.25">
      <c r="A5" s="2">
        <v>536365</v>
      </c>
      <c r="B5" s="2" t="s">
        <v>14</v>
      </c>
      <c r="C5" s="2" t="s">
        <v>15</v>
      </c>
      <c r="D5" s="2">
        <v>6</v>
      </c>
      <c r="E5" s="8">
        <v>40513.351388888892</v>
      </c>
      <c r="F5" s="2">
        <v>3.39</v>
      </c>
      <c r="G5" s="2">
        <v>17850</v>
      </c>
      <c r="H5" s="2" t="s">
        <v>10</v>
      </c>
      <c r="I5" s="2">
        <f>ABS(DF[[#This Row],[Quantity_BEFORE]])</f>
        <v>6</v>
      </c>
      <c r="J5" s="2">
        <f>DF[[#This Row],[QUANTITY]]*DF[[#This Row],[UnitPrice]]</f>
        <v>20.34</v>
      </c>
    </row>
    <row r="6" spans="1:10" x14ac:dyDescent="0.25">
      <c r="A6" s="2">
        <v>536365</v>
      </c>
      <c r="B6" s="2" t="s">
        <v>16</v>
      </c>
      <c r="C6" s="2" t="s">
        <v>17</v>
      </c>
      <c r="D6" s="2">
        <v>6</v>
      </c>
      <c r="E6" s="8">
        <v>40513.351388888892</v>
      </c>
      <c r="F6" s="2">
        <v>3.39</v>
      </c>
      <c r="G6" s="2">
        <v>17850</v>
      </c>
      <c r="H6" s="2" t="s">
        <v>10</v>
      </c>
      <c r="I6" s="2">
        <f>ABS(DF[[#This Row],[Quantity_BEFORE]])</f>
        <v>6</v>
      </c>
      <c r="J6" s="2">
        <f>DF[[#This Row],[QUANTITY]]*DF[[#This Row],[UnitPrice]]</f>
        <v>20.34</v>
      </c>
    </row>
    <row r="7" spans="1:10" x14ac:dyDescent="0.25">
      <c r="A7" s="2">
        <v>536365</v>
      </c>
      <c r="B7" s="2">
        <v>22752</v>
      </c>
      <c r="C7" s="2" t="s">
        <v>18</v>
      </c>
      <c r="D7" s="2">
        <v>2</v>
      </c>
      <c r="E7" s="8">
        <v>40513.351388888892</v>
      </c>
      <c r="F7" s="2">
        <v>7.65</v>
      </c>
      <c r="G7" s="2">
        <v>17850</v>
      </c>
      <c r="H7" s="2" t="s">
        <v>10</v>
      </c>
      <c r="I7" s="2">
        <f>ABS(DF[[#This Row],[Quantity_BEFORE]])</f>
        <v>2</v>
      </c>
      <c r="J7" s="2">
        <f>DF[[#This Row],[QUANTITY]]*DF[[#This Row],[UnitPrice]]</f>
        <v>15.3</v>
      </c>
    </row>
    <row r="8" spans="1:10" x14ac:dyDescent="0.25">
      <c r="A8" s="2">
        <v>536365</v>
      </c>
      <c r="B8" s="2">
        <v>21730</v>
      </c>
      <c r="C8" s="2" t="s">
        <v>19</v>
      </c>
      <c r="D8" s="2">
        <v>6</v>
      </c>
      <c r="E8" s="8">
        <v>40513.351388888892</v>
      </c>
      <c r="F8" s="2">
        <v>4.25</v>
      </c>
      <c r="G8" s="2">
        <v>17850</v>
      </c>
      <c r="H8" s="2" t="s">
        <v>10</v>
      </c>
      <c r="I8" s="2">
        <f>ABS(DF[[#This Row],[Quantity_BEFORE]])</f>
        <v>6</v>
      </c>
      <c r="J8" s="2">
        <f>DF[[#This Row],[QUANTITY]]*DF[[#This Row],[UnitPrice]]</f>
        <v>25.5</v>
      </c>
    </row>
    <row r="9" spans="1:10" x14ac:dyDescent="0.25">
      <c r="A9" s="2">
        <v>536366</v>
      </c>
      <c r="B9" s="2">
        <v>22633</v>
      </c>
      <c r="C9" s="2" t="s">
        <v>20</v>
      </c>
      <c r="D9" s="2">
        <v>6</v>
      </c>
      <c r="E9" s="8">
        <v>40513.352777777778</v>
      </c>
      <c r="F9" s="2">
        <v>1.85</v>
      </c>
      <c r="G9" s="2">
        <v>17850</v>
      </c>
      <c r="H9" s="2" t="s">
        <v>10</v>
      </c>
      <c r="I9" s="2">
        <f>ABS(DF[[#This Row],[Quantity_BEFORE]])</f>
        <v>6</v>
      </c>
      <c r="J9" s="2">
        <f>DF[[#This Row],[QUANTITY]]*DF[[#This Row],[UnitPrice]]</f>
        <v>11.100000000000001</v>
      </c>
    </row>
    <row r="10" spans="1:10" x14ac:dyDescent="0.25">
      <c r="A10" s="2">
        <v>536366</v>
      </c>
      <c r="B10" s="2">
        <v>22632</v>
      </c>
      <c r="C10" s="2" t="s">
        <v>21</v>
      </c>
      <c r="D10" s="2">
        <v>6</v>
      </c>
      <c r="E10" s="8">
        <v>40513.352777777778</v>
      </c>
      <c r="F10" s="2">
        <v>1.85</v>
      </c>
      <c r="G10" s="2">
        <v>17850</v>
      </c>
      <c r="H10" s="2" t="s">
        <v>10</v>
      </c>
      <c r="I10" s="2">
        <f>ABS(DF[[#This Row],[Quantity_BEFORE]])</f>
        <v>6</v>
      </c>
      <c r="J10" s="2">
        <f>DF[[#This Row],[QUANTITY]]*DF[[#This Row],[UnitPrice]]</f>
        <v>11.100000000000001</v>
      </c>
    </row>
    <row r="11" spans="1:10" x14ac:dyDescent="0.25">
      <c r="A11" s="2">
        <v>536367</v>
      </c>
      <c r="B11" s="2">
        <v>84879</v>
      </c>
      <c r="C11" s="2" t="s">
        <v>22</v>
      </c>
      <c r="D11" s="2">
        <v>32</v>
      </c>
      <c r="E11" s="8">
        <v>40513.356944444444</v>
      </c>
      <c r="F11" s="2">
        <v>1.69</v>
      </c>
      <c r="G11" s="2">
        <v>13047</v>
      </c>
      <c r="H11" s="2" t="s">
        <v>10</v>
      </c>
      <c r="I11" s="2">
        <f>ABS(DF[[#This Row],[Quantity_BEFORE]])</f>
        <v>32</v>
      </c>
      <c r="J11" s="2">
        <f>DF[[#This Row],[QUANTITY]]*DF[[#This Row],[UnitPrice]]</f>
        <v>54.08</v>
      </c>
    </row>
    <row r="12" spans="1:10" x14ac:dyDescent="0.25">
      <c r="A12" s="2">
        <v>536367</v>
      </c>
      <c r="B12" s="2">
        <v>22745</v>
      </c>
      <c r="C12" s="2" t="s">
        <v>23</v>
      </c>
      <c r="D12" s="2">
        <v>6</v>
      </c>
      <c r="E12" s="8">
        <v>40513.356944444444</v>
      </c>
      <c r="F12" s="2">
        <v>2.1</v>
      </c>
      <c r="G12" s="2">
        <v>13047</v>
      </c>
      <c r="H12" s="2" t="s">
        <v>10</v>
      </c>
      <c r="I12" s="2">
        <f>ABS(DF[[#This Row],[Quantity_BEFORE]])</f>
        <v>6</v>
      </c>
      <c r="J12" s="2">
        <f>DF[[#This Row],[QUANTITY]]*DF[[#This Row],[UnitPrice]]</f>
        <v>12.600000000000001</v>
      </c>
    </row>
    <row r="13" spans="1:10" x14ac:dyDescent="0.25">
      <c r="A13" s="2">
        <v>536367</v>
      </c>
      <c r="B13" s="2">
        <v>22748</v>
      </c>
      <c r="C13" s="2" t="s">
        <v>24</v>
      </c>
      <c r="D13" s="2">
        <v>6</v>
      </c>
      <c r="E13" s="8">
        <v>40513.356944444444</v>
      </c>
      <c r="F13" s="2">
        <v>2.1</v>
      </c>
      <c r="G13" s="2">
        <v>13047</v>
      </c>
      <c r="H13" s="2" t="s">
        <v>10</v>
      </c>
      <c r="I13" s="2">
        <f>ABS(DF[[#This Row],[Quantity_BEFORE]])</f>
        <v>6</v>
      </c>
      <c r="J13" s="2">
        <f>DF[[#This Row],[QUANTITY]]*DF[[#This Row],[UnitPrice]]</f>
        <v>12.600000000000001</v>
      </c>
    </row>
    <row r="14" spans="1:10" x14ac:dyDescent="0.25">
      <c r="A14" s="2">
        <v>536367</v>
      </c>
      <c r="B14" s="2">
        <v>22749</v>
      </c>
      <c r="C14" s="2" t="s">
        <v>25</v>
      </c>
      <c r="D14" s="2">
        <v>8</v>
      </c>
      <c r="E14" s="8">
        <v>40513.356944444444</v>
      </c>
      <c r="F14" s="2">
        <v>3.75</v>
      </c>
      <c r="G14" s="2">
        <v>13047</v>
      </c>
      <c r="H14" s="2" t="s">
        <v>10</v>
      </c>
      <c r="I14" s="2">
        <f>ABS(DF[[#This Row],[Quantity_BEFORE]])</f>
        <v>8</v>
      </c>
      <c r="J14" s="2">
        <f>DF[[#This Row],[QUANTITY]]*DF[[#This Row],[UnitPrice]]</f>
        <v>30</v>
      </c>
    </row>
    <row r="15" spans="1:10" x14ac:dyDescent="0.25">
      <c r="A15" s="2">
        <v>536367</v>
      </c>
      <c r="B15" s="2">
        <v>22310</v>
      </c>
      <c r="C15" s="2" t="s">
        <v>26</v>
      </c>
      <c r="D15" s="2">
        <v>6</v>
      </c>
      <c r="E15" s="8">
        <v>40513.356944444444</v>
      </c>
      <c r="F15" s="2">
        <v>1.65</v>
      </c>
      <c r="G15" s="2">
        <v>13047</v>
      </c>
      <c r="H15" s="2" t="s">
        <v>10</v>
      </c>
      <c r="I15" s="2">
        <f>ABS(DF[[#This Row],[Quantity_BEFORE]])</f>
        <v>6</v>
      </c>
      <c r="J15" s="2">
        <f>DF[[#This Row],[QUANTITY]]*DF[[#This Row],[UnitPrice]]</f>
        <v>9.8999999999999986</v>
      </c>
    </row>
    <row r="16" spans="1:10" x14ac:dyDescent="0.25">
      <c r="A16" s="2">
        <v>536367</v>
      </c>
      <c r="B16" s="2">
        <v>84969</v>
      </c>
      <c r="C16" s="2" t="s">
        <v>27</v>
      </c>
      <c r="D16" s="2">
        <v>6</v>
      </c>
      <c r="E16" s="8">
        <v>40513.356944444444</v>
      </c>
      <c r="F16" s="2">
        <v>4.25</v>
      </c>
      <c r="G16" s="2">
        <v>13047</v>
      </c>
      <c r="H16" s="2" t="s">
        <v>10</v>
      </c>
      <c r="I16" s="2">
        <f>ABS(DF[[#This Row],[Quantity_BEFORE]])</f>
        <v>6</v>
      </c>
      <c r="J16" s="2">
        <f>DF[[#This Row],[QUANTITY]]*DF[[#This Row],[UnitPrice]]</f>
        <v>25.5</v>
      </c>
    </row>
    <row r="17" spans="1:10" x14ac:dyDescent="0.25">
      <c r="A17" s="2">
        <v>536367</v>
      </c>
      <c r="B17" s="2">
        <v>22623</v>
      </c>
      <c r="C17" s="2" t="s">
        <v>28</v>
      </c>
      <c r="D17" s="2">
        <v>3</v>
      </c>
      <c r="E17" s="8">
        <v>40513.356944444444</v>
      </c>
      <c r="F17" s="2">
        <v>4.95</v>
      </c>
      <c r="G17" s="2">
        <v>13047</v>
      </c>
      <c r="H17" s="2" t="s">
        <v>10</v>
      </c>
      <c r="I17" s="2">
        <f>ABS(DF[[#This Row],[Quantity_BEFORE]])</f>
        <v>3</v>
      </c>
      <c r="J17" s="2">
        <f>DF[[#This Row],[QUANTITY]]*DF[[#This Row],[UnitPrice]]</f>
        <v>14.850000000000001</v>
      </c>
    </row>
    <row r="18" spans="1:10" x14ac:dyDescent="0.25">
      <c r="A18" s="2">
        <v>536367</v>
      </c>
      <c r="B18" s="2">
        <v>22622</v>
      </c>
      <c r="C18" s="2" t="s">
        <v>29</v>
      </c>
      <c r="D18" s="2">
        <v>2</v>
      </c>
      <c r="E18" s="8">
        <v>40513.356944444444</v>
      </c>
      <c r="F18" s="2">
        <v>9.9499999999999993</v>
      </c>
      <c r="G18" s="2">
        <v>13047</v>
      </c>
      <c r="H18" s="2" t="s">
        <v>10</v>
      </c>
      <c r="I18" s="2">
        <f>ABS(DF[[#This Row],[Quantity_BEFORE]])</f>
        <v>2</v>
      </c>
      <c r="J18" s="2">
        <f>DF[[#This Row],[QUANTITY]]*DF[[#This Row],[UnitPrice]]</f>
        <v>19.899999999999999</v>
      </c>
    </row>
    <row r="19" spans="1:10" x14ac:dyDescent="0.25">
      <c r="A19" s="2">
        <v>536367</v>
      </c>
      <c r="B19" s="2">
        <v>21754</v>
      </c>
      <c r="C19" s="2" t="s">
        <v>30</v>
      </c>
      <c r="D19" s="2">
        <v>3</v>
      </c>
      <c r="E19" s="8">
        <v>40513.356944444444</v>
      </c>
      <c r="F19" s="2">
        <v>5.95</v>
      </c>
      <c r="G19" s="2">
        <v>13047</v>
      </c>
      <c r="H19" s="2" t="s">
        <v>10</v>
      </c>
      <c r="I19" s="2">
        <f>ABS(DF[[#This Row],[Quantity_BEFORE]])</f>
        <v>3</v>
      </c>
      <c r="J19" s="2">
        <f>DF[[#This Row],[QUANTITY]]*DF[[#This Row],[UnitPrice]]</f>
        <v>17.850000000000001</v>
      </c>
    </row>
    <row r="20" spans="1:10" x14ac:dyDescent="0.25">
      <c r="A20" s="2">
        <v>536367</v>
      </c>
      <c r="B20" s="2">
        <v>21755</v>
      </c>
      <c r="C20" s="2" t="s">
        <v>31</v>
      </c>
      <c r="D20" s="2">
        <v>3</v>
      </c>
      <c r="E20" s="8">
        <v>40513.356944444444</v>
      </c>
      <c r="F20" s="2">
        <v>5.95</v>
      </c>
      <c r="G20" s="2">
        <v>13047</v>
      </c>
      <c r="H20" s="2" t="s">
        <v>10</v>
      </c>
      <c r="I20" s="2">
        <f>ABS(DF[[#This Row],[Quantity_BEFORE]])</f>
        <v>3</v>
      </c>
      <c r="J20" s="2">
        <f>DF[[#This Row],[QUANTITY]]*DF[[#This Row],[UnitPrice]]</f>
        <v>17.850000000000001</v>
      </c>
    </row>
    <row r="21" spans="1:10" x14ac:dyDescent="0.25">
      <c r="A21" s="2">
        <v>536367</v>
      </c>
      <c r="B21" s="2">
        <v>21777</v>
      </c>
      <c r="C21" s="2" t="s">
        <v>32</v>
      </c>
      <c r="D21" s="2">
        <v>4</v>
      </c>
      <c r="E21" s="8">
        <v>40513.356944444444</v>
      </c>
      <c r="F21" s="2">
        <v>7.95</v>
      </c>
      <c r="G21" s="2">
        <v>13047</v>
      </c>
      <c r="H21" s="2" t="s">
        <v>10</v>
      </c>
      <c r="I21" s="2">
        <f>ABS(DF[[#This Row],[Quantity_BEFORE]])</f>
        <v>4</v>
      </c>
      <c r="J21" s="2">
        <f>DF[[#This Row],[QUANTITY]]*DF[[#This Row],[UnitPrice]]</f>
        <v>31.8</v>
      </c>
    </row>
    <row r="22" spans="1:10" x14ac:dyDescent="0.25">
      <c r="A22" s="2">
        <v>536367</v>
      </c>
      <c r="B22" s="2">
        <v>48187</v>
      </c>
      <c r="C22" s="2" t="s">
        <v>33</v>
      </c>
      <c r="D22" s="2">
        <v>4</v>
      </c>
      <c r="E22" s="8">
        <v>40513.356944444444</v>
      </c>
      <c r="F22" s="2">
        <v>7.95</v>
      </c>
      <c r="G22" s="2">
        <v>13047</v>
      </c>
      <c r="H22" s="2" t="s">
        <v>10</v>
      </c>
      <c r="I22" s="2">
        <f>ABS(DF[[#This Row],[Quantity_BEFORE]])</f>
        <v>4</v>
      </c>
      <c r="J22" s="2">
        <f>DF[[#This Row],[QUANTITY]]*DF[[#This Row],[UnitPrice]]</f>
        <v>31.8</v>
      </c>
    </row>
    <row r="23" spans="1:10" x14ac:dyDescent="0.25">
      <c r="A23" s="2">
        <v>536368</v>
      </c>
      <c r="B23" s="2">
        <v>22960</v>
      </c>
      <c r="C23" s="2" t="s">
        <v>34</v>
      </c>
      <c r="D23" s="2">
        <v>6</v>
      </c>
      <c r="E23" s="8">
        <v>40513.356944444444</v>
      </c>
      <c r="F23" s="2">
        <v>4.25</v>
      </c>
      <c r="G23" s="2">
        <v>13047</v>
      </c>
      <c r="H23" s="2" t="s">
        <v>10</v>
      </c>
      <c r="I23" s="2">
        <f>ABS(DF[[#This Row],[Quantity_BEFORE]])</f>
        <v>6</v>
      </c>
      <c r="J23" s="2">
        <f>DF[[#This Row],[QUANTITY]]*DF[[#This Row],[UnitPrice]]</f>
        <v>25.5</v>
      </c>
    </row>
    <row r="24" spans="1:10" x14ac:dyDescent="0.25">
      <c r="A24" s="2">
        <v>536368</v>
      </c>
      <c r="B24" s="2">
        <v>22913</v>
      </c>
      <c r="C24" s="2" t="s">
        <v>35</v>
      </c>
      <c r="D24" s="2">
        <v>3</v>
      </c>
      <c r="E24" s="8">
        <v>40513.356944444444</v>
      </c>
      <c r="F24" s="2">
        <v>4.95</v>
      </c>
      <c r="G24" s="2">
        <v>13047</v>
      </c>
      <c r="H24" s="2" t="s">
        <v>10</v>
      </c>
      <c r="I24" s="2">
        <f>ABS(DF[[#This Row],[Quantity_BEFORE]])</f>
        <v>3</v>
      </c>
      <c r="J24" s="2">
        <f>DF[[#This Row],[QUANTITY]]*DF[[#This Row],[UnitPrice]]</f>
        <v>14.850000000000001</v>
      </c>
    </row>
    <row r="25" spans="1:10" x14ac:dyDescent="0.25">
      <c r="A25" s="2">
        <v>536368</v>
      </c>
      <c r="B25" s="2">
        <v>22912</v>
      </c>
      <c r="C25" s="2" t="s">
        <v>36</v>
      </c>
      <c r="D25" s="2">
        <v>3</v>
      </c>
      <c r="E25" s="8">
        <v>40513.356944444444</v>
      </c>
      <c r="F25" s="2">
        <v>4.95</v>
      </c>
      <c r="G25" s="2">
        <v>13047</v>
      </c>
      <c r="H25" s="2" t="s">
        <v>10</v>
      </c>
      <c r="I25" s="2">
        <f>ABS(DF[[#This Row],[Quantity_BEFORE]])</f>
        <v>3</v>
      </c>
      <c r="J25" s="2">
        <f>DF[[#This Row],[QUANTITY]]*DF[[#This Row],[UnitPrice]]</f>
        <v>14.850000000000001</v>
      </c>
    </row>
    <row r="26" spans="1:10" x14ac:dyDescent="0.25">
      <c r="A26" s="2">
        <v>536368</v>
      </c>
      <c r="B26" s="2">
        <v>22914</v>
      </c>
      <c r="C26" s="2" t="s">
        <v>37</v>
      </c>
      <c r="D26" s="2">
        <v>3</v>
      </c>
      <c r="E26" s="8">
        <v>40513.356944444444</v>
      </c>
      <c r="F26" s="2">
        <v>4.95</v>
      </c>
      <c r="G26" s="2">
        <v>13047</v>
      </c>
      <c r="H26" s="2" t="s">
        <v>10</v>
      </c>
      <c r="I26" s="2">
        <f>ABS(DF[[#This Row],[Quantity_BEFORE]])</f>
        <v>3</v>
      </c>
      <c r="J26" s="2">
        <f>DF[[#This Row],[QUANTITY]]*DF[[#This Row],[UnitPrice]]</f>
        <v>14.850000000000001</v>
      </c>
    </row>
    <row r="27" spans="1:10" x14ac:dyDescent="0.25">
      <c r="A27" s="2">
        <v>536369</v>
      </c>
      <c r="B27" s="2">
        <v>21756</v>
      </c>
      <c r="C27" s="2" t="s">
        <v>38</v>
      </c>
      <c r="D27" s="2">
        <v>3</v>
      </c>
      <c r="E27" s="8">
        <v>40513.357638888891</v>
      </c>
      <c r="F27" s="2">
        <v>5.95</v>
      </c>
      <c r="G27" s="2">
        <v>13047</v>
      </c>
      <c r="H27" s="2" t="s">
        <v>10</v>
      </c>
      <c r="I27" s="2">
        <f>ABS(DF[[#This Row],[Quantity_BEFORE]])</f>
        <v>3</v>
      </c>
      <c r="J27" s="2">
        <f>DF[[#This Row],[QUANTITY]]*DF[[#This Row],[UnitPrice]]</f>
        <v>17.850000000000001</v>
      </c>
    </row>
    <row r="28" spans="1:10" x14ac:dyDescent="0.25">
      <c r="A28" s="2">
        <v>536370</v>
      </c>
      <c r="B28" s="2">
        <v>22728</v>
      </c>
      <c r="C28" s="2" t="s">
        <v>39</v>
      </c>
      <c r="D28" s="2">
        <v>24</v>
      </c>
      <c r="E28" s="8">
        <v>40513.364583333336</v>
      </c>
      <c r="F28" s="2">
        <v>3.75</v>
      </c>
      <c r="G28" s="2">
        <v>12583</v>
      </c>
      <c r="H28" s="2" t="s">
        <v>40</v>
      </c>
      <c r="I28" s="2">
        <f>ABS(DF[[#This Row],[Quantity_BEFORE]])</f>
        <v>24</v>
      </c>
      <c r="J28" s="2">
        <f>DF[[#This Row],[QUANTITY]]*DF[[#This Row],[UnitPrice]]</f>
        <v>90</v>
      </c>
    </row>
    <row r="29" spans="1:10" x14ac:dyDescent="0.25">
      <c r="A29" s="2">
        <v>536370</v>
      </c>
      <c r="B29" s="2">
        <v>22727</v>
      </c>
      <c r="C29" s="2" t="s">
        <v>41</v>
      </c>
      <c r="D29" s="2">
        <v>24</v>
      </c>
      <c r="E29" s="8">
        <v>40513.364583333336</v>
      </c>
      <c r="F29" s="2">
        <v>3.75</v>
      </c>
      <c r="G29" s="2">
        <v>12583</v>
      </c>
      <c r="H29" s="2" t="s">
        <v>40</v>
      </c>
      <c r="I29" s="2">
        <f>ABS(DF[[#This Row],[Quantity_BEFORE]])</f>
        <v>24</v>
      </c>
      <c r="J29" s="2">
        <f>DF[[#This Row],[QUANTITY]]*DF[[#This Row],[UnitPrice]]</f>
        <v>90</v>
      </c>
    </row>
    <row r="30" spans="1:10" x14ac:dyDescent="0.25">
      <c r="A30" s="2">
        <v>536370</v>
      </c>
      <c r="B30" s="2">
        <v>22726</v>
      </c>
      <c r="C30" s="2" t="s">
        <v>42</v>
      </c>
      <c r="D30" s="2">
        <v>12</v>
      </c>
      <c r="E30" s="8">
        <v>40513.364583333336</v>
      </c>
      <c r="F30" s="2">
        <v>3.75</v>
      </c>
      <c r="G30" s="2">
        <v>12583</v>
      </c>
      <c r="H30" s="2" t="s">
        <v>40</v>
      </c>
      <c r="I30" s="2">
        <f>ABS(DF[[#This Row],[Quantity_BEFORE]])</f>
        <v>12</v>
      </c>
      <c r="J30" s="2">
        <f>DF[[#This Row],[QUANTITY]]*DF[[#This Row],[UnitPrice]]</f>
        <v>45</v>
      </c>
    </row>
    <row r="31" spans="1:10" x14ac:dyDescent="0.25">
      <c r="A31" s="2">
        <v>536370</v>
      </c>
      <c r="B31" s="2">
        <v>21724</v>
      </c>
      <c r="C31" s="2" t="s">
        <v>43</v>
      </c>
      <c r="D31" s="2">
        <v>12</v>
      </c>
      <c r="E31" s="8">
        <v>40513.364583333336</v>
      </c>
      <c r="F31" s="2">
        <v>0.85</v>
      </c>
      <c r="G31" s="2">
        <v>12583</v>
      </c>
      <c r="H31" s="2" t="s">
        <v>40</v>
      </c>
      <c r="I31" s="2">
        <f>ABS(DF[[#This Row],[Quantity_BEFORE]])</f>
        <v>12</v>
      </c>
      <c r="J31" s="2">
        <f>DF[[#This Row],[QUANTITY]]*DF[[#This Row],[UnitPrice]]</f>
        <v>10.199999999999999</v>
      </c>
    </row>
    <row r="32" spans="1:10" x14ac:dyDescent="0.25">
      <c r="A32" s="2">
        <v>536370</v>
      </c>
      <c r="B32" s="2">
        <v>21883</v>
      </c>
      <c r="C32" s="2" t="s">
        <v>44</v>
      </c>
      <c r="D32" s="2">
        <v>24</v>
      </c>
      <c r="E32" s="8">
        <v>40513.364583333336</v>
      </c>
      <c r="F32" s="2">
        <v>0.65</v>
      </c>
      <c r="G32" s="2">
        <v>12583</v>
      </c>
      <c r="H32" s="2" t="s">
        <v>40</v>
      </c>
      <c r="I32" s="2">
        <f>ABS(DF[[#This Row],[Quantity_BEFORE]])</f>
        <v>24</v>
      </c>
      <c r="J32" s="2">
        <f>DF[[#This Row],[QUANTITY]]*DF[[#This Row],[UnitPrice]]</f>
        <v>15.600000000000001</v>
      </c>
    </row>
    <row r="33" spans="1:10" x14ac:dyDescent="0.25">
      <c r="A33" s="2">
        <v>536370</v>
      </c>
      <c r="B33" s="2">
        <v>10002</v>
      </c>
      <c r="C33" s="2" t="s">
        <v>45</v>
      </c>
      <c r="D33" s="2">
        <v>48</v>
      </c>
      <c r="E33" s="8">
        <v>40513.364583333336</v>
      </c>
      <c r="F33" s="2">
        <v>0.85</v>
      </c>
      <c r="G33" s="2">
        <v>12583</v>
      </c>
      <c r="H33" s="2" t="s">
        <v>40</v>
      </c>
      <c r="I33" s="2">
        <f>ABS(DF[[#This Row],[Quantity_BEFORE]])</f>
        <v>48</v>
      </c>
      <c r="J33" s="2">
        <f>DF[[#This Row],[QUANTITY]]*DF[[#This Row],[UnitPrice]]</f>
        <v>40.799999999999997</v>
      </c>
    </row>
    <row r="34" spans="1:10" x14ac:dyDescent="0.25">
      <c r="A34" s="2">
        <v>536370</v>
      </c>
      <c r="B34" s="2">
        <v>21791</v>
      </c>
      <c r="C34" s="2" t="s">
        <v>46</v>
      </c>
      <c r="D34" s="2">
        <v>24</v>
      </c>
      <c r="E34" s="8">
        <v>40513.364583333336</v>
      </c>
      <c r="F34" s="2">
        <v>1.25</v>
      </c>
      <c r="G34" s="2">
        <v>12583</v>
      </c>
      <c r="H34" s="2" t="s">
        <v>40</v>
      </c>
      <c r="I34" s="2">
        <f>ABS(DF[[#This Row],[Quantity_BEFORE]])</f>
        <v>24</v>
      </c>
      <c r="J34" s="2">
        <f>DF[[#This Row],[QUANTITY]]*DF[[#This Row],[UnitPrice]]</f>
        <v>30</v>
      </c>
    </row>
    <row r="35" spans="1:10" x14ac:dyDescent="0.25">
      <c r="A35" s="2">
        <v>536370</v>
      </c>
      <c r="B35" s="2">
        <v>21035</v>
      </c>
      <c r="C35" s="2" t="s">
        <v>47</v>
      </c>
      <c r="D35" s="2">
        <v>18</v>
      </c>
      <c r="E35" s="8">
        <v>40513.364583333336</v>
      </c>
      <c r="F35" s="2">
        <v>2.95</v>
      </c>
      <c r="G35" s="2">
        <v>12583</v>
      </c>
      <c r="H35" s="2" t="s">
        <v>40</v>
      </c>
      <c r="I35" s="2">
        <f>ABS(DF[[#This Row],[Quantity_BEFORE]])</f>
        <v>18</v>
      </c>
      <c r="J35" s="2">
        <f>DF[[#This Row],[QUANTITY]]*DF[[#This Row],[UnitPrice]]</f>
        <v>53.1</v>
      </c>
    </row>
    <row r="36" spans="1:10" x14ac:dyDescent="0.25">
      <c r="A36" s="2">
        <v>536370</v>
      </c>
      <c r="B36" s="2">
        <v>22326</v>
      </c>
      <c r="C36" s="2" t="s">
        <v>48</v>
      </c>
      <c r="D36" s="2">
        <v>24</v>
      </c>
      <c r="E36" s="8">
        <v>40513.364583333336</v>
      </c>
      <c r="F36" s="2">
        <v>2.95</v>
      </c>
      <c r="G36" s="2">
        <v>12583</v>
      </c>
      <c r="H36" s="2" t="s">
        <v>40</v>
      </c>
      <c r="I36" s="2">
        <f>ABS(DF[[#This Row],[Quantity_BEFORE]])</f>
        <v>24</v>
      </c>
      <c r="J36" s="2">
        <f>DF[[#This Row],[QUANTITY]]*DF[[#This Row],[UnitPrice]]</f>
        <v>70.800000000000011</v>
      </c>
    </row>
    <row r="37" spans="1:10" x14ac:dyDescent="0.25">
      <c r="A37" s="2">
        <v>536370</v>
      </c>
      <c r="B37" s="2">
        <v>22629</v>
      </c>
      <c r="C37" s="2" t="s">
        <v>49</v>
      </c>
      <c r="D37" s="2">
        <v>24</v>
      </c>
      <c r="E37" s="8">
        <v>40513.364583333336</v>
      </c>
      <c r="F37" s="2">
        <v>1.95</v>
      </c>
      <c r="G37" s="2">
        <v>12583</v>
      </c>
      <c r="H37" s="2" t="s">
        <v>40</v>
      </c>
      <c r="I37" s="2">
        <f>ABS(DF[[#This Row],[Quantity_BEFORE]])</f>
        <v>24</v>
      </c>
      <c r="J37" s="2">
        <f>DF[[#This Row],[QUANTITY]]*DF[[#This Row],[UnitPrice]]</f>
        <v>46.8</v>
      </c>
    </row>
    <row r="38" spans="1:10" x14ac:dyDescent="0.25">
      <c r="A38" s="2">
        <v>536370</v>
      </c>
      <c r="B38" s="2">
        <v>22659</v>
      </c>
      <c r="C38" s="2" t="s">
        <v>50</v>
      </c>
      <c r="D38" s="2">
        <v>24</v>
      </c>
      <c r="E38" s="8">
        <v>40513.364583333336</v>
      </c>
      <c r="F38" s="2">
        <v>1.95</v>
      </c>
      <c r="G38" s="2">
        <v>12583</v>
      </c>
      <c r="H38" s="2" t="s">
        <v>40</v>
      </c>
      <c r="I38" s="2">
        <f>ABS(DF[[#This Row],[Quantity_BEFORE]])</f>
        <v>24</v>
      </c>
      <c r="J38" s="2">
        <f>DF[[#This Row],[QUANTITY]]*DF[[#This Row],[UnitPrice]]</f>
        <v>46.8</v>
      </c>
    </row>
    <row r="39" spans="1:10" x14ac:dyDescent="0.25">
      <c r="A39" s="2">
        <v>536370</v>
      </c>
      <c r="B39" s="2">
        <v>22631</v>
      </c>
      <c r="C39" s="2" t="s">
        <v>51</v>
      </c>
      <c r="D39" s="2">
        <v>24</v>
      </c>
      <c r="E39" s="8">
        <v>40513.364583333336</v>
      </c>
      <c r="F39" s="2">
        <v>1.95</v>
      </c>
      <c r="G39" s="2">
        <v>12583</v>
      </c>
      <c r="H39" s="2" t="s">
        <v>40</v>
      </c>
      <c r="I39" s="2">
        <f>ABS(DF[[#This Row],[Quantity_BEFORE]])</f>
        <v>24</v>
      </c>
      <c r="J39" s="2">
        <f>DF[[#This Row],[QUANTITY]]*DF[[#This Row],[UnitPrice]]</f>
        <v>46.8</v>
      </c>
    </row>
    <row r="40" spans="1:10" x14ac:dyDescent="0.25">
      <c r="A40" s="2">
        <v>536370</v>
      </c>
      <c r="B40" s="2">
        <v>22661</v>
      </c>
      <c r="C40" s="2" t="s">
        <v>52</v>
      </c>
      <c r="D40" s="2">
        <v>20</v>
      </c>
      <c r="E40" s="8">
        <v>40513.364583333336</v>
      </c>
      <c r="F40" s="2">
        <v>0.85</v>
      </c>
      <c r="G40" s="2">
        <v>12583</v>
      </c>
      <c r="H40" s="2" t="s">
        <v>40</v>
      </c>
      <c r="I40" s="2">
        <f>ABS(DF[[#This Row],[Quantity_BEFORE]])</f>
        <v>20</v>
      </c>
      <c r="J40" s="2">
        <f>DF[[#This Row],[QUANTITY]]*DF[[#This Row],[UnitPrice]]</f>
        <v>17</v>
      </c>
    </row>
    <row r="41" spans="1:10" x14ac:dyDescent="0.25">
      <c r="A41" s="2">
        <v>536370</v>
      </c>
      <c r="B41" s="2">
        <v>21731</v>
      </c>
      <c r="C41" s="2" t="s">
        <v>53</v>
      </c>
      <c r="D41" s="2">
        <v>24</v>
      </c>
      <c r="E41" s="8">
        <v>40513.364583333336</v>
      </c>
      <c r="F41" s="2">
        <v>1.65</v>
      </c>
      <c r="G41" s="2">
        <v>12583</v>
      </c>
      <c r="H41" s="2" t="s">
        <v>40</v>
      </c>
      <c r="I41" s="2">
        <f>ABS(DF[[#This Row],[Quantity_BEFORE]])</f>
        <v>24</v>
      </c>
      <c r="J41" s="2">
        <f>DF[[#This Row],[QUANTITY]]*DF[[#This Row],[UnitPrice]]</f>
        <v>39.599999999999994</v>
      </c>
    </row>
    <row r="42" spans="1:10" x14ac:dyDescent="0.25">
      <c r="A42" s="2">
        <v>536370</v>
      </c>
      <c r="B42" s="2">
        <v>22900</v>
      </c>
      <c r="C42" s="2" t="s">
        <v>54</v>
      </c>
      <c r="D42" s="2">
        <v>24</v>
      </c>
      <c r="E42" s="8">
        <v>40513.364583333336</v>
      </c>
      <c r="F42" s="2">
        <v>2.95</v>
      </c>
      <c r="G42" s="2">
        <v>12583</v>
      </c>
      <c r="H42" s="2" t="s">
        <v>40</v>
      </c>
      <c r="I42" s="2">
        <f>ABS(DF[[#This Row],[Quantity_BEFORE]])</f>
        <v>24</v>
      </c>
      <c r="J42" s="2">
        <f>DF[[#This Row],[QUANTITY]]*DF[[#This Row],[UnitPrice]]</f>
        <v>70.800000000000011</v>
      </c>
    </row>
    <row r="43" spans="1:10" x14ac:dyDescent="0.25">
      <c r="A43" s="2">
        <v>536370</v>
      </c>
      <c r="B43" s="2">
        <v>21913</v>
      </c>
      <c r="C43" s="2" t="s">
        <v>55</v>
      </c>
      <c r="D43" s="2">
        <v>12</v>
      </c>
      <c r="E43" s="8">
        <v>40513.364583333336</v>
      </c>
      <c r="F43" s="2">
        <v>3.75</v>
      </c>
      <c r="G43" s="2">
        <v>12583</v>
      </c>
      <c r="H43" s="2" t="s">
        <v>40</v>
      </c>
      <c r="I43" s="2">
        <f>ABS(DF[[#This Row],[Quantity_BEFORE]])</f>
        <v>12</v>
      </c>
      <c r="J43" s="2">
        <f>DF[[#This Row],[QUANTITY]]*DF[[#This Row],[UnitPrice]]</f>
        <v>45</v>
      </c>
    </row>
    <row r="44" spans="1:10" x14ac:dyDescent="0.25">
      <c r="A44" s="2">
        <v>536370</v>
      </c>
      <c r="B44" s="2">
        <v>22540</v>
      </c>
      <c r="C44" s="2" t="s">
        <v>56</v>
      </c>
      <c r="D44" s="2">
        <v>24</v>
      </c>
      <c r="E44" s="8">
        <v>40513.364583333336</v>
      </c>
      <c r="F44" s="2">
        <v>0.42</v>
      </c>
      <c r="G44" s="2">
        <v>12583</v>
      </c>
      <c r="H44" s="2" t="s">
        <v>40</v>
      </c>
      <c r="I44" s="2">
        <f>ABS(DF[[#This Row],[Quantity_BEFORE]])</f>
        <v>24</v>
      </c>
      <c r="J44" s="2">
        <f>DF[[#This Row],[QUANTITY]]*DF[[#This Row],[UnitPrice]]</f>
        <v>10.08</v>
      </c>
    </row>
    <row r="45" spans="1:10" x14ac:dyDescent="0.25">
      <c r="A45" s="2">
        <v>536370</v>
      </c>
      <c r="B45" s="2">
        <v>22544</v>
      </c>
      <c r="C45" s="2" t="s">
        <v>57</v>
      </c>
      <c r="D45" s="2">
        <v>24</v>
      </c>
      <c r="E45" s="8">
        <v>40513.364583333336</v>
      </c>
      <c r="F45" s="2">
        <v>0.42</v>
      </c>
      <c r="G45" s="2">
        <v>12583</v>
      </c>
      <c r="H45" s="2" t="s">
        <v>40</v>
      </c>
      <c r="I45" s="2">
        <f>ABS(DF[[#This Row],[Quantity_BEFORE]])</f>
        <v>24</v>
      </c>
      <c r="J45" s="2">
        <f>DF[[#This Row],[QUANTITY]]*DF[[#This Row],[UnitPrice]]</f>
        <v>10.08</v>
      </c>
    </row>
    <row r="46" spans="1:10" x14ac:dyDescent="0.25">
      <c r="A46" s="2">
        <v>536370</v>
      </c>
      <c r="B46" s="2">
        <v>22492</v>
      </c>
      <c r="C46" s="2" t="s">
        <v>58</v>
      </c>
      <c r="D46" s="2">
        <v>36</v>
      </c>
      <c r="E46" s="8">
        <v>40513.364583333336</v>
      </c>
      <c r="F46" s="2">
        <v>0.65</v>
      </c>
      <c r="G46" s="2">
        <v>12583</v>
      </c>
      <c r="H46" s="2" t="s">
        <v>40</v>
      </c>
      <c r="I46" s="2">
        <f>ABS(DF[[#This Row],[Quantity_BEFORE]])</f>
        <v>36</v>
      </c>
      <c r="J46" s="2">
        <f>DF[[#This Row],[QUANTITY]]*DF[[#This Row],[UnitPrice]]</f>
        <v>23.400000000000002</v>
      </c>
    </row>
    <row r="47" spans="1:10" x14ac:dyDescent="0.25">
      <c r="A47" s="2">
        <v>536370</v>
      </c>
      <c r="B47" s="2" t="s">
        <v>59</v>
      </c>
      <c r="C47" s="2" t="s">
        <v>60</v>
      </c>
      <c r="D47" s="2">
        <v>3</v>
      </c>
      <c r="E47" s="8">
        <v>40513.364583333336</v>
      </c>
      <c r="F47" s="2">
        <v>18</v>
      </c>
      <c r="G47" s="2">
        <v>12583</v>
      </c>
      <c r="H47" s="2" t="s">
        <v>40</v>
      </c>
      <c r="I47" s="2">
        <f>ABS(DF[[#This Row],[Quantity_BEFORE]])</f>
        <v>3</v>
      </c>
      <c r="J47" s="2">
        <f>DF[[#This Row],[QUANTITY]]*DF[[#This Row],[UnitPrice]]</f>
        <v>54</v>
      </c>
    </row>
    <row r="48" spans="1:10" x14ac:dyDescent="0.25">
      <c r="A48" s="2">
        <v>536371</v>
      </c>
      <c r="B48" s="2">
        <v>22086</v>
      </c>
      <c r="C48" s="2" t="s">
        <v>61</v>
      </c>
      <c r="D48" s="2">
        <v>80</v>
      </c>
      <c r="E48" s="8">
        <v>40513.375</v>
      </c>
      <c r="F48" s="2">
        <v>2.5499999999999998</v>
      </c>
      <c r="G48" s="2">
        <v>13748</v>
      </c>
      <c r="H48" s="2" t="s">
        <v>10</v>
      </c>
      <c r="I48" s="2">
        <f>ABS(DF[[#This Row],[Quantity_BEFORE]])</f>
        <v>80</v>
      </c>
      <c r="J48" s="2">
        <f>DF[[#This Row],[QUANTITY]]*DF[[#This Row],[UnitPrice]]</f>
        <v>204</v>
      </c>
    </row>
    <row r="49" spans="1:10" x14ac:dyDescent="0.25">
      <c r="A49" s="2">
        <v>536372</v>
      </c>
      <c r="B49" s="2">
        <v>22632</v>
      </c>
      <c r="C49" s="2" t="s">
        <v>21</v>
      </c>
      <c r="D49" s="2">
        <v>6</v>
      </c>
      <c r="E49" s="8">
        <v>40513.375694444447</v>
      </c>
      <c r="F49" s="2">
        <v>1.85</v>
      </c>
      <c r="G49" s="2">
        <v>17850</v>
      </c>
      <c r="H49" s="2" t="s">
        <v>10</v>
      </c>
      <c r="I49" s="2">
        <f>ABS(DF[[#This Row],[Quantity_BEFORE]])</f>
        <v>6</v>
      </c>
      <c r="J49" s="2">
        <f>DF[[#This Row],[QUANTITY]]*DF[[#This Row],[UnitPrice]]</f>
        <v>11.100000000000001</v>
      </c>
    </row>
    <row r="50" spans="1:10" x14ac:dyDescent="0.25">
      <c r="A50" s="2">
        <v>536372</v>
      </c>
      <c r="B50" s="2">
        <v>22633</v>
      </c>
      <c r="C50" s="2" t="s">
        <v>20</v>
      </c>
      <c r="D50" s="2">
        <v>6</v>
      </c>
      <c r="E50" s="8">
        <v>40513.375694444447</v>
      </c>
      <c r="F50" s="2">
        <v>1.85</v>
      </c>
      <c r="G50" s="2">
        <v>17850</v>
      </c>
      <c r="H50" s="2" t="s">
        <v>10</v>
      </c>
      <c r="I50" s="2">
        <f>ABS(DF[[#This Row],[Quantity_BEFORE]])</f>
        <v>6</v>
      </c>
      <c r="J50" s="2">
        <f>DF[[#This Row],[QUANTITY]]*DF[[#This Row],[UnitPrice]]</f>
        <v>11.100000000000001</v>
      </c>
    </row>
    <row r="51" spans="1:10" x14ac:dyDescent="0.25">
      <c r="A51" s="2">
        <v>536373</v>
      </c>
      <c r="B51" s="2" t="s">
        <v>8</v>
      </c>
      <c r="C51" s="2" t="s">
        <v>9</v>
      </c>
      <c r="D51" s="2">
        <v>6</v>
      </c>
      <c r="E51" s="8">
        <v>40513.376388888886</v>
      </c>
      <c r="F51" s="2">
        <v>2.5499999999999998</v>
      </c>
      <c r="G51" s="2">
        <v>17850</v>
      </c>
      <c r="H51" s="2" t="s">
        <v>10</v>
      </c>
      <c r="I51" s="2">
        <f>ABS(DF[[#This Row],[Quantity_BEFORE]])</f>
        <v>6</v>
      </c>
      <c r="J51" s="2">
        <f>DF[[#This Row],[QUANTITY]]*DF[[#This Row],[UnitPrice]]</f>
        <v>15.299999999999999</v>
      </c>
    </row>
    <row r="52" spans="1:10" x14ac:dyDescent="0.25">
      <c r="A52" s="2">
        <v>536373</v>
      </c>
      <c r="B52" s="2">
        <v>71053</v>
      </c>
      <c r="C52" s="2" t="s">
        <v>11</v>
      </c>
      <c r="D52" s="2">
        <v>6</v>
      </c>
      <c r="E52" s="8">
        <v>40513.376388888886</v>
      </c>
      <c r="F52" s="2">
        <v>3.39</v>
      </c>
      <c r="G52" s="2">
        <v>17850</v>
      </c>
      <c r="H52" s="2" t="s">
        <v>10</v>
      </c>
      <c r="I52" s="2">
        <f>ABS(DF[[#This Row],[Quantity_BEFORE]])</f>
        <v>6</v>
      </c>
      <c r="J52" s="2">
        <f>DF[[#This Row],[QUANTITY]]*DF[[#This Row],[UnitPrice]]</f>
        <v>20.34</v>
      </c>
    </row>
    <row r="53" spans="1:10" x14ac:dyDescent="0.25">
      <c r="A53" s="2">
        <v>536373</v>
      </c>
      <c r="B53" s="2" t="s">
        <v>12</v>
      </c>
      <c r="C53" s="2" t="s">
        <v>13</v>
      </c>
      <c r="D53" s="2">
        <v>8</v>
      </c>
      <c r="E53" s="8">
        <v>40513.376388888886</v>
      </c>
      <c r="F53" s="2">
        <v>2.75</v>
      </c>
      <c r="G53" s="2">
        <v>17850</v>
      </c>
      <c r="H53" s="2" t="s">
        <v>10</v>
      </c>
      <c r="I53" s="2">
        <f>ABS(DF[[#This Row],[Quantity_BEFORE]])</f>
        <v>8</v>
      </c>
      <c r="J53" s="2">
        <f>DF[[#This Row],[QUANTITY]]*DF[[#This Row],[UnitPrice]]</f>
        <v>22</v>
      </c>
    </row>
    <row r="54" spans="1:10" x14ac:dyDescent="0.25">
      <c r="A54" s="2">
        <v>536373</v>
      </c>
      <c r="B54" s="2">
        <v>20679</v>
      </c>
      <c r="C54" s="2" t="s">
        <v>62</v>
      </c>
      <c r="D54" s="2">
        <v>6</v>
      </c>
      <c r="E54" s="8">
        <v>40513.376388888886</v>
      </c>
      <c r="F54" s="2">
        <v>4.95</v>
      </c>
      <c r="G54" s="2">
        <v>17850</v>
      </c>
      <c r="H54" s="2" t="s">
        <v>10</v>
      </c>
      <c r="I54" s="2">
        <f>ABS(DF[[#This Row],[Quantity_BEFORE]])</f>
        <v>6</v>
      </c>
      <c r="J54" s="2">
        <f>DF[[#This Row],[QUANTITY]]*DF[[#This Row],[UnitPrice]]</f>
        <v>29.700000000000003</v>
      </c>
    </row>
    <row r="55" spans="1:10" x14ac:dyDescent="0.25">
      <c r="A55" s="2">
        <v>536373</v>
      </c>
      <c r="B55" s="2">
        <v>37370</v>
      </c>
      <c r="C55" s="2" t="s">
        <v>63</v>
      </c>
      <c r="D55" s="2">
        <v>6</v>
      </c>
      <c r="E55" s="8">
        <v>40513.376388888886</v>
      </c>
      <c r="F55" s="2">
        <v>1.06</v>
      </c>
      <c r="G55" s="2">
        <v>17850</v>
      </c>
      <c r="H55" s="2" t="s">
        <v>10</v>
      </c>
      <c r="I55" s="2">
        <f>ABS(DF[[#This Row],[Quantity_BEFORE]])</f>
        <v>6</v>
      </c>
      <c r="J55" s="2">
        <f>DF[[#This Row],[QUANTITY]]*DF[[#This Row],[UnitPrice]]</f>
        <v>6.36</v>
      </c>
    </row>
    <row r="56" spans="1:10" x14ac:dyDescent="0.25">
      <c r="A56" s="2">
        <v>536373</v>
      </c>
      <c r="B56" s="2">
        <v>21871</v>
      </c>
      <c r="C56" s="2" t="s">
        <v>64</v>
      </c>
      <c r="D56" s="2">
        <v>6</v>
      </c>
      <c r="E56" s="8">
        <v>40513.376388888886</v>
      </c>
      <c r="F56" s="2">
        <v>1.06</v>
      </c>
      <c r="G56" s="2">
        <v>17850</v>
      </c>
      <c r="H56" s="2" t="s">
        <v>10</v>
      </c>
      <c r="I56" s="2">
        <f>ABS(DF[[#This Row],[Quantity_BEFORE]])</f>
        <v>6</v>
      </c>
      <c r="J56" s="2">
        <f>DF[[#This Row],[QUANTITY]]*DF[[#This Row],[UnitPrice]]</f>
        <v>6.36</v>
      </c>
    </row>
    <row r="57" spans="1:10" x14ac:dyDescent="0.25">
      <c r="A57" s="2">
        <v>536373</v>
      </c>
      <c r="B57" s="2">
        <v>21071</v>
      </c>
      <c r="C57" s="2" t="s">
        <v>65</v>
      </c>
      <c r="D57" s="2">
        <v>6</v>
      </c>
      <c r="E57" s="8">
        <v>40513.376388888886</v>
      </c>
      <c r="F57" s="2">
        <v>1.06</v>
      </c>
      <c r="G57" s="2">
        <v>17850</v>
      </c>
      <c r="H57" s="2" t="s">
        <v>10</v>
      </c>
      <c r="I57" s="2">
        <f>ABS(DF[[#This Row],[Quantity_BEFORE]])</f>
        <v>6</v>
      </c>
      <c r="J57" s="2">
        <f>DF[[#This Row],[QUANTITY]]*DF[[#This Row],[UnitPrice]]</f>
        <v>6.36</v>
      </c>
    </row>
    <row r="58" spans="1:10" x14ac:dyDescent="0.25">
      <c r="A58" s="2">
        <v>536373</v>
      </c>
      <c r="B58" s="2">
        <v>21068</v>
      </c>
      <c r="C58" s="2" t="s">
        <v>66</v>
      </c>
      <c r="D58" s="2">
        <v>6</v>
      </c>
      <c r="E58" s="8">
        <v>40513.376388888886</v>
      </c>
      <c r="F58" s="2">
        <v>1.06</v>
      </c>
      <c r="G58" s="2">
        <v>17850</v>
      </c>
      <c r="H58" s="2" t="s">
        <v>10</v>
      </c>
      <c r="I58" s="2">
        <f>ABS(DF[[#This Row],[Quantity_BEFORE]])</f>
        <v>6</v>
      </c>
      <c r="J58" s="2">
        <f>DF[[#This Row],[QUANTITY]]*DF[[#This Row],[UnitPrice]]</f>
        <v>6.36</v>
      </c>
    </row>
    <row r="59" spans="1:10" x14ac:dyDescent="0.25">
      <c r="A59" s="2">
        <v>536373</v>
      </c>
      <c r="B59" s="2">
        <v>82483</v>
      </c>
      <c r="C59" s="2" t="s">
        <v>67</v>
      </c>
      <c r="D59" s="2">
        <v>2</v>
      </c>
      <c r="E59" s="8">
        <v>40513.376388888886</v>
      </c>
      <c r="F59" s="2">
        <v>4.95</v>
      </c>
      <c r="G59" s="2">
        <v>17850</v>
      </c>
      <c r="H59" s="2" t="s">
        <v>10</v>
      </c>
      <c r="I59" s="2">
        <f>ABS(DF[[#This Row],[Quantity_BEFORE]])</f>
        <v>2</v>
      </c>
      <c r="J59" s="2">
        <f>DF[[#This Row],[QUANTITY]]*DF[[#This Row],[UnitPrice]]</f>
        <v>9.9</v>
      </c>
    </row>
    <row r="60" spans="1:10" x14ac:dyDescent="0.25">
      <c r="A60" s="2">
        <v>536373</v>
      </c>
      <c r="B60" s="2">
        <v>82486</v>
      </c>
      <c r="C60" s="2" t="s">
        <v>68</v>
      </c>
      <c r="D60" s="2">
        <v>4</v>
      </c>
      <c r="E60" s="8">
        <v>40513.376388888886</v>
      </c>
      <c r="F60" s="2">
        <v>6.95</v>
      </c>
      <c r="G60" s="2">
        <v>17850</v>
      </c>
      <c r="H60" s="2" t="s">
        <v>10</v>
      </c>
      <c r="I60" s="2">
        <f>ABS(DF[[#This Row],[Quantity_BEFORE]])</f>
        <v>4</v>
      </c>
      <c r="J60" s="2">
        <f>DF[[#This Row],[QUANTITY]]*DF[[#This Row],[UnitPrice]]</f>
        <v>27.8</v>
      </c>
    </row>
    <row r="61" spans="1:10" x14ac:dyDescent="0.25">
      <c r="A61" s="2">
        <v>536373</v>
      </c>
      <c r="B61" s="2">
        <v>82482</v>
      </c>
      <c r="C61" s="2" t="s">
        <v>69</v>
      </c>
      <c r="D61" s="2">
        <v>6</v>
      </c>
      <c r="E61" s="8">
        <v>40513.376388888886</v>
      </c>
      <c r="F61" s="2">
        <v>2.1</v>
      </c>
      <c r="G61" s="2">
        <v>17850</v>
      </c>
      <c r="H61" s="2" t="s">
        <v>10</v>
      </c>
      <c r="I61" s="2">
        <f>ABS(DF[[#This Row],[Quantity_BEFORE]])</f>
        <v>6</v>
      </c>
      <c r="J61" s="2">
        <f>DF[[#This Row],[QUANTITY]]*DF[[#This Row],[UnitPrice]]</f>
        <v>12.600000000000001</v>
      </c>
    </row>
    <row r="62" spans="1:10" x14ac:dyDescent="0.25">
      <c r="A62" s="2">
        <v>536373</v>
      </c>
      <c r="B62" s="2" t="s">
        <v>70</v>
      </c>
      <c r="C62" s="2" t="s">
        <v>71</v>
      </c>
      <c r="D62" s="2">
        <v>6</v>
      </c>
      <c r="E62" s="8">
        <v>40513.376388888886</v>
      </c>
      <c r="F62" s="2">
        <v>2.5499999999999998</v>
      </c>
      <c r="G62" s="2">
        <v>17850</v>
      </c>
      <c r="H62" s="2" t="s">
        <v>10</v>
      </c>
      <c r="I62" s="2">
        <f>ABS(DF[[#This Row],[Quantity_BEFORE]])</f>
        <v>6</v>
      </c>
      <c r="J62" s="2">
        <f>DF[[#This Row],[QUANTITY]]*DF[[#This Row],[UnitPrice]]</f>
        <v>15.299999999999999</v>
      </c>
    </row>
    <row r="63" spans="1:10" x14ac:dyDescent="0.25">
      <c r="A63" s="2">
        <v>536373</v>
      </c>
      <c r="B63" s="2" t="s">
        <v>14</v>
      </c>
      <c r="C63" s="2" t="s">
        <v>15</v>
      </c>
      <c r="D63" s="2">
        <v>6</v>
      </c>
      <c r="E63" s="8">
        <v>40513.376388888886</v>
      </c>
      <c r="F63" s="2">
        <v>3.39</v>
      </c>
      <c r="G63" s="2">
        <v>17850</v>
      </c>
      <c r="H63" s="2" t="s">
        <v>10</v>
      </c>
      <c r="I63" s="2">
        <f>ABS(DF[[#This Row],[Quantity_BEFORE]])</f>
        <v>6</v>
      </c>
      <c r="J63" s="2">
        <f>DF[[#This Row],[QUANTITY]]*DF[[#This Row],[UnitPrice]]</f>
        <v>20.34</v>
      </c>
    </row>
    <row r="64" spans="1:10" x14ac:dyDescent="0.25">
      <c r="A64" s="2">
        <v>536373</v>
      </c>
      <c r="B64" s="2" t="s">
        <v>16</v>
      </c>
      <c r="C64" s="2" t="s">
        <v>17</v>
      </c>
      <c r="D64" s="2">
        <v>6</v>
      </c>
      <c r="E64" s="8">
        <v>40513.376388888886</v>
      </c>
      <c r="F64" s="2">
        <v>3.39</v>
      </c>
      <c r="G64" s="2">
        <v>17850</v>
      </c>
      <c r="H64" s="2" t="s">
        <v>10</v>
      </c>
      <c r="I64" s="2">
        <f>ABS(DF[[#This Row],[Quantity_BEFORE]])</f>
        <v>6</v>
      </c>
      <c r="J64" s="2">
        <f>DF[[#This Row],[QUANTITY]]*DF[[#This Row],[UnitPrice]]</f>
        <v>20.34</v>
      </c>
    </row>
    <row r="65" spans="1:10" x14ac:dyDescent="0.25">
      <c r="A65" s="2">
        <v>536373</v>
      </c>
      <c r="B65" s="2">
        <v>22752</v>
      </c>
      <c r="C65" s="2" t="s">
        <v>18</v>
      </c>
      <c r="D65" s="2">
        <v>2</v>
      </c>
      <c r="E65" s="8">
        <v>40513.376388888886</v>
      </c>
      <c r="F65" s="2">
        <v>7.65</v>
      </c>
      <c r="G65" s="2">
        <v>17850</v>
      </c>
      <c r="H65" s="2" t="s">
        <v>10</v>
      </c>
      <c r="I65" s="2">
        <f>ABS(DF[[#This Row],[Quantity_BEFORE]])</f>
        <v>2</v>
      </c>
      <c r="J65" s="2">
        <f>DF[[#This Row],[QUANTITY]]*DF[[#This Row],[UnitPrice]]</f>
        <v>15.3</v>
      </c>
    </row>
    <row r="66" spans="1:10" x14ac:dyDescent="0.25">
      <c r="A66" s="2">
        <v>536373</v>
      </c>
      <c r="B66" s="2">
        <v>21730</v>
      </c>
      <c r="C66" s="2" t="s">
        <v>19</v>
      </c>
      <c r="D66" s="2">
        <v>6</v>
      </c>
      <c r="E66" s="8">
        <v>40513.376388888886</v>
      </c>
      <c r="F66" s="2">
        <v>4.25</v>
      </c>
      <c r="G66" s="2">
        <v>17850</v>
      </c>
      <c r="H66" s="2" t="s">
        <v>10</v>
      </c>
      <c r="I66" s="2">
        <f>ABS(DF[[#This Row],[Quantity_BEFORE]])</f>
        <v>6</v>
      </c>
      <c r="J66" s="2">
        <f>DF[[#This Row],[QUANTITY]]*DF[[#This Row],[UnitPrice]]</f>
        <v>25.5</v>
      </c>
    </row>
    <row r="67" spans="1:10" x14ac:dyDescent="0.25">
      <c r="A67" s="2">
        <v>536374</v>
      </c>
      <c r="B67" s="2">
        <v>21258</v>
      </c>
      <c r="C67" s="2" t="s">
        <v>72</v>
      </c>
      <c r="D67" s="2">
        <v>32</v>
      </c>
      <c r="E67" s="8">
        <v>40513.381249999999</v>
      </c>
      <c r="F67" s="2">
        <v>10.95</v>
      </c>
      <c r="G67" s="2">
        <v>15100</v>
      </c>
      <c r="H67" s="2" t="s">
        <v>10</v>
      </c>
      <c r="I67" s="2">
        <f>ABS(DF[[#This Row],[Quantity_BEFORE]])</f>
        <v>32</v>
      </c>
      <c r="J67" s="2">
        <f>DF[[#This Row],[QUANTITY]]*DF[[#This Row],[UnitPrice]]</f>
        <v>350.4</v>
      </c>
    </row>
    <row r="68" spans="1:10" x14ac:dyDescent="0.25">
      <c r="A68" s="2">
        <v>536375</v>
      </c>
      <c r="B68" s="2" t="s">
        <v>8</v>
      </c>
      <c r="C68" s="2" t="s">
        <v>9</v>
      </c>
      <c r="D68" s="2">
        <v>6</v>
      </c>
      <c r="E68" s="8">
        <v>40513.397222222222</v>
      </c>
      <c r="F68" s="2">
        <v>2.5499999999999998</v>
      </c>
      <c r="G68" s="2">
        <v>17850</v>
      </c>
      <c r="H68" s="2" t="s">
        <v>10</v>
      </c>
      <c r="I68" s="2">
        <f>ABS(DF[[#This Row],[Quantity_BEFORE]])</f>
        <v>6</v>
      </c>
      <c r="J68" s="2">
        <f>DF[[#This Row],[QUANTITY]]*DF[[#This Row],[UnitPrice]]</f>
        <v>15.299999999999999</v>
      </c>
    </row>
    <row r="69" spans="1:10" x14ac:dyDescent="0.25">
      <c r="A69" s="2">
        <v>536375</v>
      </c>
      <c r="B69" s="2">
        <v>71053</v>
      </c>
      <c r="C69" s="2" t="s">
        <v>11</v>
      </c>
      <c r="D69" s="2">
        <v>6</v>
      </c>
      <c r="E69" s="8">
        <v>40513.397222222222</v>
      </c>
      <c r="F69" s="2">
        <v>3.39</v>
      </c>
      <c r="G69" s="2">
        <v>17850</v>
      </c>
      <c r="H69" s="2" t="s">
        <v>10</v>
      </c>
      <c r="I69" s="2">
        <f>ABS(DF[[#This Row],[Quantity_BEFORE]])</f>
        <v>6</v>
      </c>
      <c r="J69" s="2">
        <f>DF[[#This Row],[QUANTITY]]*DF[[#This Row],[UnitPrice]]</f>
        <v>20.34</v>
      </c>
    </row>
    <row r="70" spans="1:10" x14ac:dyDescent="0.25">
      <c r="A70" s="2">
        <v>536375</v>
      </c>
      <c r="B70" s="2" t="s">
        <v>12</v>
      </c>
      <c r="C70" s="2" t="s">
        <v>13</v>
      </c>
      <c r="D70" s="2">
        <v>8</v>
      </c>
      <c r="E70" s="8">
        <v>40513.397222222222</v>
      </c>
      <c r="F70" s="2">
        <v>2.75</v>
      </c>
      <c r="G70" s="2">
        <v>17850</v>
      </c>
      <c r="H70" s="2" t="s">
        <v>10</v>
      </c>
      <c r="I70" s="2">
        <f>ABS(DF[[#This Row],[Quantity_BEFORE]])</f>
        <v>8</v>
      </c>
      <c r="J70" s="2">
        <f>DF[[#This Row],[QUANTITY]]*DF[[#This Row],[UnitPrice]]</f>
        <v>22</v>
      </c>
    </row>
    <row r="71" spans="1:10" x14ac:dyDescent="0.25">
      <c r="A71" s="2">
        <v>536375</v>
      </c>
      <c r="B71" s="2">
        <v>20679</v>
      </c>
      <c r="C71" s="2" t="s">
        <v>62</v>
      </c>
      <c r="D71" s="2">
        <v>6</v>
      </c>
      <c r="E71" s="8">
        <v>40513.397222222222</v>
      </c>
      <c r="F71" s="2">
        <v>4.95</v>
      </c>
      <c r="G71" s="2">
        <v>17850</v>
      </c>
      <c r="H71" s="2" t="s">
        <v>10</v>
      </c>
      <c r="I71" s="2">
        <f>ABS(DF[[#This Row],[Quantity_BEFORE]])</f>
        <v>6</v>
      </c>
      <c r="J71" s="2">
        <f>DF[[#This Row],[QUANTITY]]*DF[[#This Row],[UnitPrice]]</f>
        <v>29.700000000000003</v>
      </c>
    </row>
    <row r="72" spans="1:10" x14ac:dyDescent="0.25">
      <c r="A72" s="2">
        <v>536375</v>
      </c>
      <c r="B72" s="2">
        <v>37370</v>
      </c>
      <c r="C72" s="2" t="s">
        <v>63</v>
      </c>
      <c r="D72" s="2">
        <v>6</v>
      </c>
      <c r="E72" s="8">
        <v>40513.397222222222</v>
      </c>
      <c r="F72" s="2">
        <v>1.06</v>
      </c>
      <c r="G72" s="2">
        <v>17850</v>
      </c>
      <c r="H72" s="2" t="s">
        <v>10</v>
      </c>
      <c r="I72" s="2">
        <f>ABS(DF[[#This Row],[Quantity_BEFORE]])</f>
        <v>6</v>
      </c>
      <c r="J72" s="2">
        <f>DF[[#This Row],[QUANTITY]]*DF[[#This Row],[UnitPrice]]</f>
        <v>6.36</v>
      </c>
    </row>
    <row r="73" spans="1:10" x14ac:dyDescent="0.25">
      <c r="A73" s="2">
        <v>536375</v>
      </c>
      <c r="B73" s="2">
        <v>21871</v>
      </c>
      <c r="C73" s="2" t="s">
        <v>64</v>
      </c>
      <c r="D73" s="2">
        <v>6</v>
      </c>
      <c r="E73" s="8">
        <v>40513.397222222222</v>
      </c>
      <c r="F73" s="2">
        <v>1.06</v>
      </c>
      <c r="G73" s="2">
        <v>17850</v>
      </c>
      <c r="H73" s="2" t="s">
        <v>10</v>
      </c>
      <c r="I73" s="2">
        <f>ABS(DF[[#This Row],[Quantity_BEFORE]])</f>
        <v>6</v>
      </c>
      <c r="J73" s="2">
        <f>DF[[#This Row],[QUANTITY]]*DF[[#This Row],[UnitPrice]]</f>
        <v>6.36</v>
      </c>
    </row>
    <row r="74" spans="1:10" x14ac:dyDescent="0.25">
      <c r="A74" s="2">
        <v>536375</v>
      </c>
      <c r="B74" s="2">
        <v>21071</v>
      </c>
      <c r="C74" s="2" t="s">
        <v>65</v>
      </c>
      <c r="D74" s="2">
        <v>6</v>
      </c>
      <c r="E74" s="8">
        <v>40513.397222222222</v>
      </c>
      <c r="F74" s="2">
        <v>1.06</v>
      </c>
      <c r="G74" s="2">
        <v>17850</v>
      </c>
      <c r="H74" s="2" t="s">
        <v>10</v>
      </c>
      <c r="I74" s="2">
        <f>ABS(DF[[#This Row],[Quantity_BEFORE]])</f>
        <v>6</v>
      </c>
      <c r="J74" s="2">
        <f>DF[[#This Row],[QUANTITY]]*DF[[#This Row],[UnitPrice]]</f>
        <v>6.36</v>
      </c>
    </row>
    <row r="75" spans="1:10" x14ac:dyDescent="0.25">
      <c r="A75" s="2">
        <v>536375</v>
      </c>
      <c r="B75" s="2">
        <v>21068</v>
      </c>
      <c r="C75" s="2" t="s">
        <v>66</v>
      </c>
      <c r="D75" s="2">
        <v>6</v>
      </c>
      <c r="E75" s="8">
        <v>40513.397222222222</v>
      </c>
      <c r="F75" s="2">
        <v>1.06</v>
      </c>
      <c r="G75" s="2">
        <v>17850</v>
      </c>
      <c r="H75" s="2" t="s">
        <v>10</v>
      </c>
      <c r="I75" s="2">
        <f>ABS(DF[[#This Row],[Quantity_BEFORE]])</f>
        <v>6</v>
      </c>
      <c r="J75" s="2">
        <f>DF[[#This Row],[QUANTITY]]*DF[[#This Row],[UnitPrice]]</f>
        <v>6.36</v>
      </c>
    </row>
    <row r="76" spans="1:10" x14ac:dyDescent="0.25">
      <c r="A76" s="2">
        <v>536375</v>
      </c>
      <c r="B76" s="2">
        <v>82483</v>
      </c>
      <c r="C76" s="2" t="s">
        <v>67</v>
      </c>
      <c r="D76" s="2">
        <v>2</v>
      </c>
      <c r="E76" s="8">
        <v>40513.397222222222</v>
      </c>
      <c r="F76" s="2">
        <v>4.95</v>
      </c>
      <c r="G76" s="2">
        <v>17850</v>
      </c>
      <c r="H76" s="2" t="s">
        <v>10</v>
      </c>
      <c r="I76" s="2">
        <f>ABS(DF[[#This Row],[Quantity_BEFORE]])</f>
        <v>2</v>
      </c>
      <c r="J76" s="2">
        <f>DF[[#This Row],[QUANTITY]]*DF[[#This Row],[UnitPrice]]</f>
        <v>9.9</v>
      </c>
    </row>
    <row r="77" spans="1:10" x14ac:dyDescent="0.25">
      <c r="A77" s="2">
        <v>536375</v>
      </c>
      <c r="B77" s="2">
        <v>82486</v>
      </c>
      <c r="C77" s="2" t="s">
        <v>68</v>
      </c>
      <c r="D77" s="2">
        <v>4</v>
      </c>
      <c r="E77" s="8">
        <v>40513.397222222222</v>
      </c>
      <c r="F77" s="2">
        <v>6.95</v>
      </c>
      <c r="G77" s="2">
        <v>17850</v>
      </c>
      <c r="H77" s="2" t="s">
        <v>10</v>
      </c>
      <c r="I77" s="2">
        <f>ABS(DF[[#This Row],[Quantity_BEFORE]])</f>
        <v>4</v>
      </c>
      <c r="J77" s="2">
        <f>DF[[#This Row],[QUANTITY]]*DF[[#This Row],[UnitPrice]]</f>
        <v>27.8</v>
      </c>
    </row>
    <row r="78" spans="1:10" x14ac:dyDescent="0.25">
      <c r="A78" s="2">
        <v>536375</v>
      </c>
      <c r="B78" s="2">
        <v>82482</v>
      </c>
      <c r="C78" s="2" t="s">
        <v>69</v>
      </c>
      <c r="D78" s="2">
        <v>6</v>
      </c>
      <c r="E78" s="8">
        <v>40513.397222222222</v>
      </c>
      <c r="F78" s="2">
        <v>2.1</v>
      </c>
      <c r="G78" s="2">
        <v>17850</v>
      </c>
      <c r="H78" s="2" t="s">
        <v>10</v>
      </c>
      <c r="I78" s="2">
        <f>ABS(DF[[#This Row],[Quantity_BEFORE]])</f>
        <v>6</v>
      </c>
      <c r="J78" s="2">
        <f>DF[[#This Row],[QUANTITY]]*DF[[#This Row],[UnitPrice]]</f>
        <v>12.600000000000001</v>
      </c>
    </row>
    <row r="79" spans="1:10" x14ac:dyDescent="0.25">
      <c r="A79" s="2">
        <v>536375</v>
      </c>
      <c r="B79" s="2" t="s">
        <v>70</v>
      </c>
      <c r="C79" s="2" t="s">
        <v>71</v>
      </c>
      <c r="D79" s="2">
        <v>6</v>
      </c>
      <c r="E79" s="8">
        <v>40513.397222222222</v>
      </c>
      <c r="F79" s="2">
        <v>2.5499999999999998</v>
      </c>
      <c r="G79" s="2">
        <v>17850</v>
      </c>
      <c r="H79" s="2" t="s">
        <v>10</v>
      </c>
      <c r="I79" s="2">
        <f>ABS(DF[[#This Row],[Quantity_BEFORE]])</f>
        <v>6</v>
      </c>
      <c r="J79" s="2">
        <f>DF[[#This Row],[QUANTITY]]*DF[[#This Row],[UnitPrice]]</f>
        <v>15.299999999999999</v>
      </c>
    </row>
    <row r="80" spans="1:10" x14ac:dyDescent="0.25">
      <c r="A80" s="2">
        <v>536375</v>
      </c>
      <c r="B80" s="2" t="s">
        <v>14</v>
      </c>
      <c r="C80" s="2" t="s">
        <v>15</v>
      </c>
      <c r="D80" s="2">
        <v>6</v>
      </c>
      <c r="E80" s="8">
        <v>40513.397222222222</v>
      </c>
      <c r="F80" s="2">
        <v>3.39</v>
      </c>
      <c r="G80" s="2">
        <v>17850</v>
      </c>
      <c r="H80" s="2" t="s">
        <v>10</v>
      </c>
      <c r="I80" s="2">
        <f>ABS(DF[[#This Row],[Quantity_BEFORE]])</f>
        <v>6</v>
      </c>
      <c r="J80" s="2">
        <f>DF[[#This Row],[QUANTITY]]*DF[[#This Row],[UnitPrice]]</f>
        <v>20.34</v>
      </c>
    </row>
    <row r="81" spans="1:10" x14ac:dyDescent="0.25">
      <c r="A81" s="2">
        <v>536375</v>
      </c>
      <c r="B81" s="2" t="s">
        <v>16</v>
      </c>
      <c r="C81" s="2" t="s">
        <v>17</v>
      </c>
      <c r="D81" s="2">
        <v>6</v>
      </c>
      <c r="E81" s="8">
        <v>40513.397222222222</v>
      </c>
      <c r="F81" s="2">
        <v>3.39</v>
      </c>
      <c r="G81" s="2">
        <v>17850</v>
      </c>
      <c r="H81" s="2" t="s">
        <v>10</v>
      </c>
      <c r="I81" s="2">
        <f>ABS(DF[[#This Row],[Quantity_BEFORE]])</f>
        <v>6</v>
      </c>
      <c r="J81" s="2">
        <f>DF[[#This Row],[QUANTITY]]*DF[[#This Row],[UnitPrice]]</f>
        <v>20.34</v>
      </c>
    </row>
    <row r="82" spans="1:10" x14ac:dyDescent="0.25">
      <c r="A82" s="2">
        <v>536375</v>
      </c>
      <c r="B82" s="2">
        <v>22752</v>
      </c>
      <c r="C82" s="2" t="s">
        <v>18</v>
      </c>
      <c r="D82" s="2">
        <v>2</v>
      </c>
      <c r="E82" s="8">
        <v>40513.397222222222</v>
      </c>
      <c r="F82" s="2">
        <v>7.65</v>
      </c>
      <c r="G82" s="2">
        <v>17850</v>
      </c>
      <c r="H82" s="2" t="s">
        <v>10</v>
      </c>
      <c r="I82" s="2">
        <f>ABS(DF[[#This Row],[Quantity_BEFORE]])</f>
        <v>2</v>
      </c>
      <c r="J82" s="2">
        <f>DF[[#This Row],[QUANTITY]]*DF[[#This Row],[UnitPrice]]</f>
        <v>15.3</v>
      </c>
    </row>
    <row r="83" spans="1:10" x14ac:dyDescent="0.25">
      <c r="A83" s="2">
        <v>536375</v>
      </c>
      <c r="B83" s="2">
        <v>21730</v>
      </c>
      <c r="C83" s="2" t="s">
        <v>19</v>
      </c>
      <c r="D83" s="2">
        <v>6</v>
      </c>
      <c r="E83" s="8">
        <v>40513.397222222222</v>
      </c>
      <c r="F83" s="2">
        <v>4.25</v>
      </c>
      <c r="G83" s="2">
        <v>17850</v>
      </c>
      <c r="H83" s="2" t="s">
        <v>10</v>
      </c>
      <c r="I83" s="2">
        <f>ABS(DF[[#This Row],[Quantity_BEFORE]])</f>
        <v>6</v>
      </c>
      <c r="J83" s="2">
        <f>DF[[#This Row],[QUANTITY]]*DF[[#This Row],[UnitPrice]]</f>
        <v>25.5</v>
      </c>
    </row>
    <row r="84" spans="1:10" x14ac:dyDescent="0.25">
      <c r="A84" s="2">
        <v>536376</v>
      </c>
      <c r="B84" s="2">
        <v>22114</v>
      </c>
      <c r="C84" s="2" t="s">
        <v>73</v>
      </c>
      <c r="D84" s="2">
        <v>48</v>
      </c>
      <c r="E84" s="8">
        <v>40513.397222222222</v>
      </c>
      <c r="F84" s="2">
        <v>3.45</v>
      </c>
      <c r="G84" s="2">
        <v>15291</v>
      </c>
      <c r="H84" s="2" t="s">
        <v>10</v>
      </c>
      <c r="I84" s="2">
        <f>ABS(DF[[#This Row],[Quantity_BEFORE]])</f>
        <v>48</v>
      </c>
      <c r="J84" s="2">
        <f>DF[[#This Row],[QUANTITY]]*DF[[#This Row],[UnitPrice]]</f>
        <v>165.60000000000002</v>
      </c>
    </row>
    <row r="85" spans="1:10" x14ac:dyDescent="0.25">
      <c r="A85" s="2">
        <v>536376</v>
      </c>
      <c r="B85" s="2">
        <v>21733</v>
      </c>
      <c r="C85" s="2" t="s">
        <v>74</v>
      </c>
      <c r="D85" s="2">
        <v>64</v>
      </c>
      <c r="E85" s="8">
        <v>40513.397222222222</v>
      </c>
      <c r="F85" s="2">
        <v>2.5499999999999998</v>
      </c>
      <c r="G85" s="2">
        <v>15291</v>
      </c>
      <c r="H85" s="2" t="s">
        <v>10</v>
      </c>
      <c r="I85" s="2">
        <f>ABS(DF[[#This Row],[Quantity_BEFORE]])</f>
        <v>64</v>
      </c>
      <c r="J85" s="2">
        <f>DF[[#This Row],[QUANTITY]]*DF[[#This Row],[UnitPrice]]</f>
        <v>163.19999999999999</v>
      </c>
    </row>
    <row r="86" spans="1:10" x14ac:dyDescent="0.25">
      <c r="A86" s="2">
        <v>536377</v>
      </c>
      <c r="B86" s="2">
        <v>22632</v>
      </c>
      <c r="C86" s="2" t="s">
        <v>21</v>
      </c>
      <c r="D86" s="2">
        <v>6</v>
      </c>
      <c r="E86" s="8">
        <v>40513.398611111108</v>
      </c>
      <c r="F86" s="2">
        <v>1.85</v>
      </c>
      <c r="G86" s="2">
        <v>17850</v>
      </c>
      <c r="H86" s="2" t="s">
        <v>10</v>
      </c>
      <c r="I86" s="2">
        <f>ABS(DF[[#This Row],[Quantity_BEFORE]])</f>
        <v>6</v>
      </c>
      <c r="J86" s="2">
        <f>DF[[#This Row],[QUANTITY]]*DF[[#This Row],[UnitPrice]]</f>
        <v>11.100000000000001</v>
      </c>
    </row>
    <row r="87" spans="1:10" x14ac:dyDescent="0.25">
      <c r="A87" s="2">
        <v>536377</v>
      </c>
      <c r="B87" s="2">
        <v>22633</v>
      </c>
      <c r="C87" s="2" t="s">
        <v>20</v>
      </c>
      <c r="D87" s="2">
        <v>6</v>
      </c>
      <c r="E87" s="8">
        <v>40513.398611111108</v>
      </c>
      <c r="F87" s="2">
        <v>1.85</v>
      </c>
      <c r="G87" s="2">
        <v>17850</v>
      </c>
      <c r="H87" s="2" t="s">
        <v>10</v>
      </c>
      <c r="I87" s="2">
        <f>ABS(DF[[#This Row],[Quantity_BEFORE]])</f>
        <v>6</v>
      </c>
      <c r="J87" s="2">
        <f>DF[[#This Row],[QUANTITY]]*DF[[#This Row],[UnitPrice]]</f>
        <v>11.100000000000001</v>
      </c>
    </row>
    <row r="88" spans="1:10" x14ac:dyDescent="0.25">
      <c r="A88" s="2">
        <v>536378</v>
      </c>
      <c r="B88" s="2">
        <v>22386</v>
      </c>
      <c r="C88" s="2" t="s">
        <v>75</v>
      </c>
      <c r="D88" s="2">
        <v>10</v>
      </c>
      <c r="E88" s="8">
        <v>40513.400694444441</v>
      </c>
      <c r="F88" s="2">
        <v>1.95</v>
      </c>
      <c r="G88" s="2">
        <v>14688</v>
      </c>
      <c r="H88" s="2" t="s">
        <v>10</v>
      </c>
      <c r="I88" s="2">
        <f>ABS(DF[[#This Row],[Quantity_BEFORE]])</f>
        <v>10</v>
      </c>
      <c r="J88" s="2">
        <f>DF[[#This Row],[QUANTITY]]*DF[[#This Row],[UnitPrice]]</f>
        <v>19.5</v>
      </c>
    </row>
    <row r="89" spans="1:10" x14ac:dyDescent="0.25">
      <c r="A89" s="2">
        <v>536378</v>
      </c>
      <c r="B89" s="2" t="s">
        <v>76</v>
      </c>
      <c r="C89" s="2" t="s">
        <v>77</v>
      </c>
      <c r="D89" s="2">
        <v>10</v>
      </c>
      <c r="E89" s="8">
        <v>40513.400694444441</v>
      </c>
      <c r="F89" s="2">
        <v>1.95</v>
      </c>
      <c r="G89" s="2">
        <v>14688</v>
      </c>
      <c r="H89" s="2" t="s">
        <v>10</v>
      </c>
      <c r="I89" s="2">
        <f>ABS(DF[[#This Row],[Quantity_BEFORE]])</f>
        <v>10</v>
      </c>
      <c r="J89" s="2">
        <f>DF[[#This Row],[QUANTITY]]*DF[[#This Row],[UnitPrice]]</f>
        <v>19.5</v>
      </c>
    </row>
    <row r="90" spans="1:10" x14ac:dyDescent="0.25">
      <c r="A90" s="2">
        <v>536378</v>
      </c>
      <c r="B90" s="2">
        <v>21033</v>
      </c>
      <c r="C90" s="2" t="s">
        <v>78</v>
      </c>
      <c r="D90" s="2">
        <v>10</v>
      </c>
      <c r="E90" s="8">
        <v>40513.400694444441</v>
      </c>
      <c r="F90" s="2">
        <v>2.95</v>
      </c>
      <c r="G90" s="2">
        <v>14688</v>
      </c>
      <c r="H90" s="2" t="s">
        <v>10</v>
      </c>
      <c r="I90" s="2">
        <f>ABS(DF[[#This Row],[Quantity_BEFORE]])</f>
        <v>10</v>
      </c>
      <c r="J90" s="2">
        <f>DF[[#This Row],[QUANTITY]]*DF[[#This Row],[UnitPrice]]</f>
        <v>29.5</v>
      </c>
    </row>
    <row r="91" spans="1:10" x14ac:dyDescent="0.25">
      <c r="A91" s="2">
        <v>536378</v>
      </c>
      <c r="B91" s="2">
        <v>20723</v>
      </c>
      <c r="C91" s="2" t="s">
        <v>79</v>
      </c>
      <c r="D91" s="2">
        <v>10</v>
      </c>
      <c r="E91" s="8">
        <v>40513.400694444441</v>
      </c>
      <c r="F91" s="2">
        <v>0.85</v>
      </c>
      <c r="G91" s="2">
        <v>14688</v>
      </c>
      <c r="H91" s="2" t="s">
        <v>10</v>
      </c>
      <c r="I91" s="2">
        <f>ABS(DF[[#This Row],[Quantity_BEFORE]])</f>
        <v>10</v>
      </c>
      <c r="J91" s="2">
        <f>DF[[#This Row],[QUANTITY]]*DF[[#This Row],[UnitPrice]]</f>
        <v>8.5</v>
      </c>
    </row>
    <row r="92" spans="1:10" x14ac:dyDescent="0.25">
      <c r="A92" s="2">
        <v>536378</v>
      </c>
      <c r="B92" s="2" t="s">
        <v>80</v>
      </c>
      <c r="C92" s="2" t="s">
        <v>81</v>
      </c>
      <c r="D92" s="2">
        <v>12</v>
      </c>
      <c r="E92" s="8">
        <v>40513.400694444441</v>
      </c>
      <c r="F92" s="2">
        <v>3.75</v>
      </c>
      <c r="G92" s="2">
        <v>14688</v>
      </c>
      <c r="H92" s="2" t="s">
        <v>10</v>
      </c>
      <c r="I92" s="2">
        <f>ABS(DF[[#This Row],[Quantity_BEFORE]])</f>
        <v>12</v>
      </c>
      <c r="J92" s="2">
        <f>DF[[#This Row],[QUANTITY]]*DF[[#This Row],[UnitPrice]]</f>
        <v>45</v>
      </c>
    </row>
    <row r="93" spans="1:10" x14ac:dyDescent="0.25">
      <c r="A93" s="2">
        <v>536378</v>
      </c>
      <c r="B93" s="2" t="s">
        <v>82</v>
      </c>
      <c r="C93" s="2" t="s">
        <v>83</v>
      </c>
      <c r="D93" s="2">
        <v>6</v>
      </c>
      <c r="E93" s="8">
        <v>40513.400694444441</v>
      </c>
      <c r="F93" s="2">
        <v>3.75</v>
      </c>
      <c r="G93" s="2">
        <v>14688</v>
      </c>
      <c r="H93" s="2" t="s">
        <v>10</v>
      </c>
      <c r="I93" s="2">
        <f>ABS(DF[[#This Row],[Quantity_BEFORE]])</f>
        <v>6</v>
      </c>
      <c r="J93" s="2">
        <f>DF[[#This Row],[QUANTITY]]*DF[[#This Row],[UnitPrice]]</f>
        <v>22.5</v>
      </c>
    </row>
    <row r="94" spans="1:10" x14ac:dyDescent="0.25">
      <c r="A94" s="2">
        <v>536378</v>
      </c>
      <c r="B94" s="2">
        <v>21094</v>
      </c>
      <c r="C94" s="2" t="s">
        <v>84</v>
      </c>
      <c r="D94" s="2">
        <v>12</v>
      </c>
      <c r="E94" s="8">
        <v>40513.400694444441</v>
      </c>
      <c r="F94" s="2">
        <v>0.85</v>
      </c>
      <c r="G94" s="2">
        <v>14688</v>
      </c>
      <c r="H94" s="2" t="s">
        <v>10</v>
      </c>
      <c r="I94" s="2">
        <f>ABS(DF[[#This Row],[Quantity_BEFORE]])</f>
        <v>12</v>
      </c>
      <c r="J94" s="2">
        <f>DF[[#This Row],[QUANTITY]]*DF[[#This Row],[UnitPrice]]</f>
        <v>10.199999999999999</v>
      </c>
    </row>
    <row r="95" spans="1:10" x14ac:dyDescent="0.25">
      <c r="A95" s="2">
        <v>536378</v>
      </c>
      <c r="B95" s="2">
        <v>20725</v>
      </c>
      <c r="C95" s="2" t="s">
        <v>85</v>
      </c>
      <c r="D95" s="2">
        <v>10</v>
      </c>
      <c r="E95" s="8">
        <v>40513.400694444441</v>
      </c>
      <c r="F95" s="2">
        <v>1.65</v>
      </c>
      <c r="G95" s="2">
        <v>14688</v>
      </c>
      <c r="H95" s="2" t="s">
        <v>10</v>
      </c>
      <c r="I95" s="2">
        <f>ABS(DF[[#This Row],[Quantity_BEFORE]])</f>
        <v>10</v>
      </c>
      <c r="J95" s="2">
        <f>DF[[#This Row],[QUANTITY]]*DF[[#This Row],[UnitPrice]]</f>
        <v>16.5</v>
      </c>
    </row>
    <row r="96" spans="1:10" x14ac:dyDescent="0.25">
      <c r="A96" s="2">
        <v>536378</v>
      </c>
      <c r="B96" s="2">
        <v>21559</v>
      </c>
      <c r="C96" s="2" t="s">
        <v>86</v>
      </c>
      <c r="D96" s="2">
        <v>6</v>
      </c>
      <c r="E96" s="8">
        <v>40513.400694444441</v>
      </c>
      <c r="F96" s="2">
        <v>2.5499999999999998</v>
      </c>
      <c r="G96" s="2">
        <v>14688</v>
      </c>
      <c r="H96" s="2" t="s">
        <v>10</v>
      </c>
      <c r="I96" s="2">
        <f>ABS(DF[[#This Row],[Quantity_BEFORE]])</f>
        <v>6</v>
      </c>
      <c r="J96" s="2">
        <f>DF[[#This Row],[QUANTITY]]*DF[[#This Row],[UnitPrice]]</f>
        <v>15.299999999999999</v>
      </c>
    </row>
    <row r="97" spans="1:10" x14ac:dyDescent="0.25">
      <c r="A97" s="2">
        <v>536378</v>
      </c>
      <c r="B97" s="2">
        <v>22352</v>
      </c>
      <c r="C97" s="2" t="s">
        <v>87</v>
      </c>
      <c r="D97" s="2">
        <v>6</v>
      </c>
      <c r="E97" s="8">
        <v>40513.400694444441</v>
      </c>
      <c r="F97" s="2">
        <v>2.5499999999999998</v>
      </c>
      <c r="G97" s="2">
        <v>14688</v>
      </c>
      <c r="H97" s="2" t="s">
        <v>10</v>
      </c>
      <c r="I97" s="2">
        <f>ABS(DF[[#This Row],[Quantity_BEFORE]])</f>
        <v>6</v>
      </c>
      <c r="J97" s="2">
        <f>DF[[#This Row],[QUANTITY]]*DF[[#This Row],[UnitPrice]]</f>
        <v>15.299999999999999</v>
      </c>
    </row>
    <row r="98" spans="1:10" x14ac:dyDescent="0.25">
      <c r="A98" s="2">
        <v>536378</v>
      </c>
      <c r="B98" s="2">
        <v>21212</v>
      </c>
      <c r="C98" s="2" t="s">
        <v>88</v>
      </c>
      <c r="D98" s="2">
        <v>120</v>
      </c>
      <c r="E98" s="8">
        <v>40513.400694444441</v>
      </c>
      <c r="F98" s="2">
        <v>0.42</v>
      </c>
      <c r="G98" s="2">
        <v>14688</v>
      </c>
      <c r="H98" s="2" t="s">
        <v>10</v>
      </c>
      <c r="I98" s="2">
        <f>ABS(DF[[#This Row],[Quantity_BEFORE]])</f>
        <v>120</v>
      </c>
      <c r="J98" s="2">
        <f>DF[[#This Row],[QUANTITY]]*DF[[#This Row],[UnitPrice]]</f>
        <v>50.4</v>
      </c>
    </row>
    <row r="99" spans="1:10" x14ac:dyDescent="0.25">
      <c r="A99" s="2">
        <v>536378</v>
      </c>
      <c r="B99" s="2">
        <v>21975</v>
      </c>
      <c r="C99" s="2" t="s">
        <v>89</v>
      </c>
      <c r="D99" s="2">
        <v>24</v>
      </c>
      <c r="E99" s="8">
        <v>40513.400694444441</v>
      </c>
      <c r="F99" s="2">
        <v>0.55000000000000004</v>
      </c>
      <c r="G99" s="2">
        <v>14688</v>
      </c>
      <c r="H99" s="2" t="s">
        <v>10</v>
      </c>
      <c r="I99" s="2">
        <f>ABS(DF[[#This Row],[Quantity_BEFORE]])</f>
        <v>24</v>
      </c>
      <c r="J99" s="2">
        <f>DF[[#This Row],[QUANTITY]]*DF[[#This Row],[UnitPrice]]</f>
        <v>13.200000000000001</v>
      </c>
    </row>
    <row r="100" spans="1:10" x14ac:dyDescent="0.25">
      <c r="A100" s="2">
        <v>536378</v>
      </c>
      <c r="B100" s="2">
        <v>21977</v>
      </c>
      <c r="C100" s="2" t="s">
        <v>90</v>
      </c>
      <c r="D100" s="2">
        <v>24</v>
      </c>
      <c r="E100" s="8">
        <v>40513.400694444441</v>
      </c>
      <c r="F100" s="2">
        <v>0.55000000000000004</v>
      </c>
      <c r="G100" s="2">
        <v>14688</v>
      </c>
      <c r="H100" s="2" t="s">
        <v>10</v>
      </c>
      <c r="I100" s="2">
        <f>ABS(DF[[#This Row],[Quantity_BEFORE]])</f>
        <v>24</v>
      </c>
      <c r="J100" s="2">
        <f>DF[[#This Row],[QUANTITY]]*DF[[#This Row],[UnitPrice]]</f>
        <v>13.200000000000001</v>
      </c>
    </row>
    <row r="101" spans="1:10" x14ac:dyDescent="0.25">
      <c r="A101" s="2">
        <v>536378</v>
      </c>
      <c r="B101" s="2">
        <v>84991</v>
      </c>
      <c r="C101" s="2" t="s">
        <v>91</v>
      </c>
      <c r="D101" s="2">
        <v>24</v>
      </c>
      <c r="E101" s="8">
        <v>40513.400694444441</v>
      </c>
      <c r="F101" s="2">
        <v>0.55000000000000004</v>
      </c>
      <c r="G101" s="2">
        <v>14688</v>
      </c>
      <c r="H101" s="2" t="s">
        <v>10</v>
      </c>
      <c r="I101" s="2">
        <f>ABS(DF[[#This Row],[Quantity_BEFORE]])</f>
        <v>24</v>
      </c>
      <c r="J101" s="2">
        <f>DF[[#This Row],[QUANTITY]]*DF[[#This Row],[UnitPrice]]</f>
        <v>13.200000000000001</v>
      </c>
    </row>
    <row r="102" spans="1:10" x14ac:dyDescent="0.25">
      <c r="A102" s="2">
        <v>536378</v>
      </c>
      <c r="B102" s="2" t="s">
        <v>92</v>
      </c>
      <c r="C102" s="2" t="s">
        <v>93</v>
      </c>
      <c r="D102" s="2">
        <v>6</v>
      </c>
      <c r="E102" s="8">
        <v>40513.400694444441</v>
      </c>
      <c r="F102" s="2">
        <v>2.95</v>
      </c>
      <c r="G102" s="2">
        <v>14688</v>
      </c>
      <c r="H102" s="2" t="s">
        <v>10</v>
      </c>
      <c r="I102" s="2">
        <f>ABS(DF[[#This Row],[Quantity_BEFORE]])</f>
        <v>6</v>
      </c>
      <c r="J102" s="2">
        <f>DF[[#This Row],[QUANTITY]]*DF[[#This Row],[UnitPrice]]</f>
        <v>17.700000000000003</v>
      </c>
    </row>
    <row r="103" spans="1:10" x14ac:dyDescent="0.25">
      <c r="A103" s="2">
        <v>536378</v>
      </c>
      <c r="B103" s="2" t="s">
        <v>94</v>
      </c>
      <c r="C103" s="2" t="s">
        <v>95</v>
      </c>
      <c r="D103" s="2">
        <v>48</v>
      </c>
      <c r="E103" s="8">
        <v>40513.400694444441</v>
      </c>
      <c r="F103" s="2">
        <v>1.25</v>
      </c>
      <c r="G103" s="2">
        <v>14688</v>
      </c>
      <c r="H103" s="2" t="s">
        <v>10</v>
      </c>
      <c r="I103" s="2">
        <f>ABS(DF[[#This Row],[Quantity_BEFORE]])</f>
        <v>48</v>
      </c>
      <c r="J103" s="2">
        <f>DF[[#This Row],[QUANTITY]]*DF[[#This Row],[UnitPrice]]</f>
        <v>60</v>
      </c>
    </row>
    <row r="104" spans="1:10" x14ac:dyDescent="0.25">
      <c r="A104" s="2">
        <v>536378</v>
      </c>
      <c r="B104" s="2" t="s">
        <v>96</v>
      </c>
      <c r="C104" s="2" t="s">
        <v>97</v>
      </c>
      <c r="D104" s="2">
        <v>96</v>
      </c>
      <c r="E104" s="8">
        <v>40513.400694444441</v>
      </c>
      <c r="F104" s="2">
        <v>0.38</v>
      </c>
      <c r="G104" s="2">
        <v>14688</v>
      </c>
      <c r="H104" s="2" t="s">
        <v>10</v>
      </c>
      <c r="I104" s="2">
        <f>ABS(DF[[#This Row],[Quantity_BEFORE]])</f>
        <v>96</v>
      </c>
      <c r="J104" s="2">
        <f>DF[[#This Row],[QUANTITY]]*DF[[#This Row],[UnitPrice]]</f>
        <v>36.480000000000004</v>
      </c>
    </row>
    <row r="105" spans="1:10" x14ac:dyDescent="0.25">
      <c r="A105" s="2">
        <v>536378</v>
      </c>
      <c r="B105" s="2">
        <v>21931</v>
      </c>
      <c r="C105" s="2" t="s">
        <v>98</v>
      </c>
      <c r="D105" s="2">
        <v>10</v>
      </c>
      <c r="E105" s="8">
        <v>40513.400694444441</v>
      </c>
      <c r="F105" s="2">
        <v>1.95</v>
      </c>
      <c r="G105" s="2">
        <v>14688</v>
      </c>
      <c r="H105" s="2" t="s">
        <v>10</v>
      </c>
      <c r="I105" s="2">
        <f>ABS(DF[[#This Row],[Quantity_BEFORE]])</f>
        <v>10</v>
      </c>
      <c r="J105" s="2">
        <f>DF[[#This Row],[QUANTITY]]*DF[[#This Row],[UnitPrice]]</f>
        <v>19.5</v>
      </c>
    </row>
    <row r="106" spans="1:10" x14ac:dyDescent="0.25">
      <c r="A106" s="2">
        <v>536378</v>
      </c>
      <c r="B106" s="2">
        <v>21929</v>
      </c>
      <c r="C106" s="2" t="s">
        <v>99</v>
      </c>
      <c r="D106" s="2">
        <v>10</v>
      </c>
      <c r="E106" s="8">
        <v>40513.400694444441</v>
      </c>
      <c r="F106" s="2">
        <v>1.95</v>
      </c>
      <c r="G106" s="2">
        <v>14688</v>
      </c>
      <c r="H106" s="2" t="s">
        <v>10</v>
      </c>
      <c r="I106" s="2">
        <f>ABS(DF[[#This Row],[Quantity_BEFORE]])</f>
        <v>10</v>
      </c>
      <c r="J106" s="2">
        <f>DF[[#This Row],[QUANTITY]]*DF[[#This Row],[UnitPrice]]</f>
        <v>19.5</v>
      </c>
    </row>
    <row r="107" spans="1:10" x14ac:dyDescent="0.25">
      <c r="A107" s="2">
        <v>536380</v>
      </c>
      <c r="B107" s="2">
        <v>22961</v>
      </c>
      <c r="C107" s="2" t="s">
        <v>100</v>
      </c>
      <c r="D107" s="2">
        <v>24</v>
      </c>
      <c r="E107" s="8">
        <v>40513.40347222222</v>
      </c>
      <c r="F107" s="2">
        <v>1.45</v>
      </c>
      <c r="G107" s="2">
        <v>17809</v>
      </c>
      <c r="H107" s="2" t="s">
        <v>10</v>
      </c>
      <c r="I107" s="2">
        <f>ABS(DF[[#This Row],[Quantity_BEFORE]])</f>
        <v>24</v>
      </c>
      <c r="J107" s="2">
        <f>DF[[#This Row],[QUANTITY]]*DF[[#This Row],[UnitPrice]]</f>
        <v>34.799999999999997</v>
      </c>
    </row>
    <row r="108" spans="1:10" x14ac:dyDescent="0.25">
      <c r="A108" s="2">
        <v>536381</v>
      </c>
      <c r="B108" s="2">
        <v>22139</v>
      </c>
      <c r="C108" s="2" t="s">
        <v>101</v>
      </c>
      <c r="D108" s="2">
        <v>23</v>
      </c>
      <c r="E108" s="8">
        <v>40513.40347222222</v>
      </c>
      <c r="F108" s="2">
        <v>4.25</v>
      </c>
      <c r="G108" s="2">
        <v>15311</v>
      </c>
      <c r="H108" s="2" t="s">
        <v>10</v>
      </c>
      <c r="I108" s="2">
        <f>ABS(DF[[#This Row],[Quantity_BEFORE]])</f>
        <v>23</v>
      </c>
      <c r="J108" s="2">
        <f>DF[[#This Row],[QUANTITY]]*DF[[#This Row],[UnitPrice]]</f>
        <v>97.75</v>
      </c>
    </row>
    <row r="109" spans="1:10" x14ac:dyDescent="0.25">
      <c r="A109" s="2">
        <v>536381</v>
      </c>
      <c r="B109" s="2">
        <v>84854</v>
      </c>
      <c r="C109" s="2" t="s">
        <v>102</v>
      </c>
      <c r="D109" s="2">
        <v>5</v>
      </c>
      <c r="E109" s="8">
        <v>40513.40347222222</v>
      </c>
      <c r="F109" s="2">
        <v>4.95</v>
      </c>
      <c r="G109" s="2">
        <v>15311</v>
      </c>
      <c r="H109" s="2" t="s">
        <v>10</v>
      </c>
      <c r="I109" s="2">
        <f>ABS(DF[[#This Row],[Quantity_BEFORE]])</f>
        <v>5</v>
      </c>
      <c r="J109" s="2">
        <f>DF[[#This Row],[QUANTITY]]*DF[[#This Row],[UnitPrice]]</f>
        <v>24.75</v>
      </c>
    </row>
    <row r="110" spans="1:10" x14ac:dyDescent="0.25">
      <c r="A110" s="2">
        <v>536381</v>
      </c>
      <c r="B110" s="2">
        <v>22411</v>
      </c>
      <c r="C110" s="2" t="s">
        <v>103</v>
      </c>
      <c r="D110" s="2">
        <v>10</v>
      </c>
      <c r="E110" s="8">
        <v>40513.40347222222</v>
      </c>
      <c r="F110" s="2">
        <v>1.95</v>
      </c>
      <c r="G110" s="2">
        <v>15311</v>
      </c>
      <c r="H110" s="2" t="s">
        <v>10</v>
      </c>
      <c r="I110" s="2">
        <f>ABS(DF[[#This Row],[Quantity_BEFORE]])</f>
        <v>10</v>
      </c>
      <c r="J110" s="2">
        <f>DF[[#This Row],[QUANTITY]]*DF[[#This Row],[UnitPrice]]</f>
        <v>19.5</v>
      </c>
    </row>
    <row r="111" spans="1:10" x14ac:dyDescent="0.25">
      <c r="A111" s="2">
        <v>536381</v>
      </c>
      <c r="B111" s="2">
        <v>82567</v>
      </c>
      <c r="C111" s="2" t="s">
        <v>104</v>
      </c>
      <c r="D111" s="2">
        <v>2</v>
      </c>
      <c r="E111" s="8">
        <v>40513.40347222222</v>
      </c>
      <c r="F111" s="2">
        <v>2.1</v>
      </c>
      <c r="G111" s="2">
        <v>15311</v>
      </c>
      <c r="H111" s="2" t="s">
        <v>10</v>
      </c>
      <c r="I111" s="2">
        <f>ABS(DF[[#This Row],[Quantity_BEFORE]])</f>
        <v>2</v>
      </c>
      <c r="J111" s="2">
        <f>DF[[#This Row],[QUANTITY]]*DF[[#This Row],[UnitPrice]]</f>
        <v>4.2</v>
      </c>
    </row>
    <row r="112" spans="1:10" x14ac:dyDescent="0.25">
      <c r="A112" s="2">
        <v>536381</v>
      </c>
      <c r="B112" s="2">
        <v>21672</v>
      </c>
      <c r="C112" s="2" t="s">
        <v>105</v>
      </c>
      <c r="D112" s="2">
        <v>6</v>
      </c>
      <c r="E112" s="8">
        <v>40513.40347222222</v>
      </c>
      <c r="F112" s="2">
        <v>1.25</v>
      </c>
      <c r="G112" s="2">
        <v>15311</v>
      </c>
      <c r="H112" s="2" t="s">
        <v>10</v>
      </c>
      <c r="I112" s="2">
        <f>ABS(DF[[#This Row],[Quantity_BEFORE]])</f>
        <v>6</v>
      </c>
      <c r="J112" s="2">
        <f>DF[[#This Row],[QUANTITY]]*DF[[#This Row],[UnitPrice]]</f>
        <v>7.5</v>
      </c>
    </row>
    <row r="113" spans="1:10" x14ac:dyDescent="0.25">
      <c r="A113" s="2">
        <v>536381</v>
      </c>
      <c r="B113" s="2">
        <v>22774</v>
      </c>
      <c r="C113" s="2" t="s">
        <v>106</v>
      </c>
      <c r="D113" s="2">
        <v>24</v>
      </c>
      <c r="E113" s="8">
        <v>40513.40347222222</v>
      </c>
      <c r="F113" s="2">
        <v>1.25</v>
      </c>
      <c r="G113" s="2">
        <v>15311</v>
      </c>
      <c r="H113" s="2" t="s">
        <v>10</v>
      </c>
      <c r="I113" s="2">
        <f>ABS(DF[[#This Row],[Quantity_BEFORE]])</f>
        <v>24</v>
      </c>
      <c r="J113" s="2">
        <f>DF[[#This Row],[QUANTITY]]*DF[[#This Row],[UnitPrice]]</f>
        <v>30</v>
      </c>
    </row>
    <row r="114" spans="1:10" x14ac:dyDescent="0.25">
      <c r="A114" s="2">
        <v>536381</v>
      </c>
      <c r="B114" s="2">
        <v>22771</v>
      </c>
      <c r="C114" s="2" t="s">
        <v>107</v>
      </c>
      <c r="D114" s="2">
        <v>24</v>
      </c>
      <c r="E114" s="8">
        <v>40513.40347222222</v>
      </c>
      <c r="F114" s="2">
        <v>1.25</v>
      </c>
      <c r="G114" s="2">
        <v>15311</v>
      </c>
      <c r="H114" s="2" t="s">
        <v>10</v>
      </c>
      <c r="I114" s="2">
        <f>ABS(DF[[#This Row],[Quantity_BEFORE]])</f>
        <v>24</v>
      </c>
      <c r="J114" s="2">
        <f>DF[[#This Row],[QUANTITY]]*DF[[#This Row],[UnitPrice]]</f>
        <v>30</v>
      </c>
    </row>
    <row r="115" spans="1:10" x14ac:dyDescent="0.25">
      <c r="A115" s="2">
        <v>536381</v>
      </c>
      <c r="B115" s="2">
        <v>71270</v>
      </c>
      <c r="C115" s="2" t="s">
        <v>108</v>
      </c>
      <c r="D115" s="2">
        <v>1</v>
      </c>
      <c r="E115" s="8">
        <v>40513.40347222222</v>
      </c>
      <c r="F115" s="2">
        <v>1.25</v>
      </c>
      <c r="G115" s="2">
        <v>15311</v>
      </c>
      <c r="H115" s="2" t="s">
        <v>10</v>
      </c>
      <c r="I115" s="2">
        <f>ABS(DF[[#This Row],[Quantity_BEFORE]])</f>
        <v>1</v>
      </c>
      <c r="J115" s="2">
        <f>DF[[#This Row],[QUANTITY]]*DF[[#This Row],[UnitPrice]]</f>
        <v>1.25</v>
      </c>
    </row>
    <row r="116" spans="1:10" x14ac:dyDescent="0.25">
      <c r="A116" s="2">
        <v>536381</v>
      </c>
      <c r="B116" s="2">
        <v>22262</v>
      </c>
      <c r="C116" s="2" t="s">
        <v>109</v>
      </c>
      <c r="D116" s="2">
        <v>1</v>
      </c>
      <c r="E116" s="8">
        <v>40513.40347222222</v>
      </c>
      <c r="F116" s="2">
        <v>0.85</v>
      </c>
      <c r="G116" s="2">
        <v>15311</v>
      </c>
      <c r="H116" s="2" t="s">
        <v>10</v>
      </c>
      <c r="I116" s="2">
        <f>ABS(DF[[#This Row],[Quantity_BEFORE]])</f>
        <v>1</v>
      </c>
      <c r="J116" s="2">
        <f>DF[[#This Row],[QUANTITY]]*DF[[#This Row],[UnitPrice]]</f>
        <v>0.85</v>
      </c>
    </row>
    <row r="117" spans="1:10" x14ac:dyDescent="0.25">
      <c r="A117" s="2">
        <v>536381</v>
      </c>
      <c r="B117" s="2">
        <v>22637</v>
      </c>
      <c r="C117" s="2" t="s">
        <v>110</v>
      </c>
      <c r="D117" s="2">
        <v>1</v>
      </c>
      <c r="E117" s="8">
        <v>40513.40347222222</v>
      </c>
      <c r="F117" s="2">
        <v>2.5499999999999998</v>
      </c>
      <c r="G117" s="2">
        <v>15311</v>
      </c>
      <c r="H117" s="2" t="s">
        <v>10</v>
      </c>
      <c r="I117" s="2">
        <f>ABS(DF[[#This Row],[Quantity_BEFORE]])</f>
        <v>1</v>
      </c>
      <c r="J117" s="2">
        <f>DF[[#This Row],[QUANTITY]]*DF[[#This Row],[UnitPrice]]</f>
        <v>2.5499999999999998</v>
      </c>
    </row>
    <row r="118" spans="1:10" x14ac:dyDescent="0.25">
      <c r="A118" s="2">
        <v>536381</v>
      </c>
      <c r="B118" s="2">
        <v>21934</v>
      </c>
      <c r="C118" s="2" t="s">
        <v>111</v>
      </c>
      <c r="D118" s="2">
        <v>10</v>
      </c>
      <c r="E118" s="8">
        <v>40513.40347222222</v>
      </c>
      <c r="F118" s="2">
        <v>1.65</v>
      </c>
      <c r="G118" s="2">
        <v>15311</v>
      </c>
      <c r="H118" s="2" t="s">
        <v>10</v>
      </c>
      <c r="I118" s="2">
        <f>ABS(DF[[#This Row],[Quantity_BEFORE]])</f>
        <v>10</v>
      </c>
      <c r="J118" s="2">
        <f>DF[[#This Row],[QUANTITY]]*DF[[#This Row],[UnitPrice]]</f>
        <v>16.5</v>
      </c>
    </row>
    <row r="119" spans="1:10" x14ac:dyDescent="0.25">
      <c r="A119" s="2">
        <v>536381</v>
      </c>
      <c r="B119" s="2">
        <v>21169</v>
      </c>
      <c r="C119" s="2" t="s">
        <v>112</v>
      </c>
      <c r="D119" s="2">
        <v>3</v>
      </c>
      <c r="E119" s="8">
        <v>40513.40347222222</v>
      </c>
      <c r="F119" s="2">
        <v>1.69</v>
      </c>
      <c r="G119" s="2">
        <v>15311</v>
      </c>
      <c r="H119" s="2" t="s">
        <v>10</v>
      </c>
      <c r="I119" s="2">
        <f>ABS(DF[[#This Row],[Quantity_BEFORE]])</f>
        <v>3</v>
      </c>
      <c r="J119" s="2">
        <f>DF[[#This Row],[QUANTITY]]*DF[[#This Row],[UnitPrice]]</f>
        <v>5.07</v>
      </c>
    </row>
    <row r="120" spans="1:10" x14ac:dyDescent="0.25">
      <c r="A120" s="2">
        <v>536381</v>
      </c>
      <c r="B120" s="2">
        <v>21166</v>
      </c>
      <c r="C120" s="2" t="s">
        <v>113</v>
      </c>
      <c r="D120" s="2">
        <v>1</v>
      </c>
      <c r="E120" s="8">
        <v>40513.40347222222</v>
      </c>
      <c r="F120" s="2">
        <v>1.95</v>
      </c>
      <c r="G120" s="2">
        <v>15311</v>
      </c>
      <c r="H120" s="2" t="s">
        <v>10</v>
      </c>
      <c r="I120" s="2">
        <f>ABS(DF[[#This Row],[Quantity_BEFORE]])</f>
        <v>1</v>
      </c>
      <c r="J120" s="2">
        <f>DF[[#This Row],[QUANTITY]]*DF[[#This Row],[UnitPrice]]</f>
        <v>1.95</v>
      </c>
    </row>
    <row r="121" spans="1:10" x14ac:dyDescent="0.25">
      <c r="A121" s="2">
        <v>536381</v>
      </c>
      <c r="B121" s="2">
        <v>21175</v>
      </c>
      <c r="C121" s="2" t="s">
        <v>114</v>
      </c>
      <c r="D121" s="2">
        <v>2</v>
      </c>
      <c r="E121" s="8">
        <v>40513.40347222222</v>
      </c>
      <c r="F121" s="2">
        <v>2.1</v>
      </c>
      <c r="G121" s="2">
        <v>15311</v>
      </c>
      <c r="H121" s="2" t="s">
        <v>10</v>
      </c>
      <c r="I121" s="2">
        <f>ABS(DF[[#This Row],[Quantity_BEFORE]])</f>
        <v>2</v>
      </c>
      <c r="J121" s="2">
        <f>DF[[#This Row],[QUANTITY]]*DF[[#This Row],[UnitPrice]]</f>
        <v>4.2</v>
      </c>
    </row>
    <row r="122" spans="1:10" x14ac:dyDescent="0.25">
      <c r="A122" s="2">
        <v>536381</v>
      </c>
      <c r="B122" s="2" t="s">
        <v>115</v>
      </c>
      <c r="C122" s="2" t="s">
        <v>116</v>
      </c>
      <c r="D122" s="2">
        <v>1</v>
      </c>
      <c r="E122" s="8">
        <v>40513.40347222222</v>
      </c>
      <c r="F122" s="2">
        <v>2.95</v>
      </c>
      <c r="G122" s="2">
        <v>15311</v>
      </c>
      <c r="H122" s="2" t="s">
        <v>10</v>
      </c>
      <c r="I122" s="2">
        <f>ABS(DF[[#This Row],[Quantity_BEFORE]])</f>
        <v>1</v>
      </c>
      <c r="J122" s="2">
        <f>DF[[#This Row],[QUANTITY]]*DF[[#This Row],[UnitPrice]]</f>
        <v>2.95</v>
      </c>
    </row>
    <row r="123" spans="1:10" x14ac:dyDescent="0.25">
      <c r="A123" s="2">
        <v>536381</v>
      </c>
      <c r="B123" s="2" t="s">
        <v>117</v>
      </c>
      <c r="C123" s="2" t="s">
        <v>118</v>
      </c>
      <c r="D123" s="2">
        <v>1</v>
      </c>
      <c r="E123" s="8">
        <v>40513.40347222222</v>
      </c>
      <c r="F123" s="2">
        <v>2.95</v>
      </c>
      <c r="G123" s="2">
        <v>15311</v>
      </c>
      <c r="H123" s="2" t="s">
        <v>10</v>
      </c>
      <c r="I123" s="2">
        <f>ABS(DF[[#This Row],[Quantity_BEFORE]])</f>
        <v>1</v>
      </c>
      <c r="J123" s="2">
        <f>DF[[#This Row],[QUANTITY]]*DF[[#This Row],[UnitPrice]]</f>
        <v>2.95</v>
      </c>
    </row>
    <row r="124" spans="1:10" x14ac:dyDescent="0.25">
      <c r="A124" s="2">
        <v>536381</v>
      </c>
      <c r="B124" s="2">
        <v>22086</v>
      </c>
      <c r="C124" s="2" t="s">
        <v>61</v>
      </c>
      <c r="D124" s="2">
        <v>4</v>
      </c>
      <c r="E124" s="8">
        <v>40513.40347222222</v>
      </c>
      <c r="F124" s="2">
        <v>2.95</v>
      </c>
      <c r="G124" s="2">
        <v>15311</v>
      </c>
      <c r="H124" s="2" t="s">
        <v>10</v>
      </c>
      <c r="I124" s="2">
        <f>ABS(DF[[#This Row],[Quantity_BEFORE]])</f>
        <v>4</v>
      </c>
      <c r="J124" s="2">
        <f>DF[[#This Row],[QUANTITY]]*DF[[#This Row],[UnitPrice]]</f>
        <v>11.8</v>
      </c>
    </row>
    <row r="125" spans="1:10" x14ac:dyDescent="0.25">
      <c r="A125" s="2">
        <v>536381</v>
      </c>
      <c r="B125" s="2">
        <v>22083</v>
      </c>
      <c r="C125" s="2" t="s">
        <v>119</v>
      </c>
      <c r="D125" s="2">
        <v>1</v>
      </c>
      <c r="E125" s="8">
        <v>40513.40347222222</v>
      </c>
      <c r="F125" s="2">
        <v>2.95</v>
      </c>
      <c r="G125" s="2">
        <v>15311</v>
      </c>
      <c r="H125" s="2" t="s">
        <v>10</v>
      </c>
      <c r="I125" s="2">
        <f>ABS(DF[[#This Row],[Quantity_BEFORE]])</f>
        <v>1</v>
      </c>
      <c r="J125" s="2">
        <f>DF[[#This Row],[QUANTITY]]*DF[[#This Row],[UnitPrice]]</f>
        <v>2.95</v>
      </c>
    </row>
    <row r="126" spans="1:10" x14ac:dyDescent="0.25">
      <c r="A126" s="2">
        <v>536381</v>
      </c>
      <c r="B126" s="2" t="s">
        <v>120</v>
      </c>
      <c r="C126" s="2" t="s">
        <v>121</v>
      </c>
      <c r="D126" s="2">
        <v>6</v>
      </c>
      <c r="E126" s="8">
        <v>40513.40347222222</v>
      </c>
      <c r="F126" s="2">
        <v>0.85</v>
      </c>
      <c r="G126" s="2">
        <v>15311</v>
      </c>
      <c r="H126" s="2" t="s">
        <v>10</v>
      </c>
      <c r="I126" s="2">
        <f>ABS(DF[[#This Row],[Quantity_BEFORE]])</f>
        <v>6</v>
      </c>
      <c r="J126" s="2">
        <f>DF[[#This Row],[QUANTITY]]*DF[[#This Row],[UnitPrice]]</f>
        <v>5.0999999999999996</v>
      </c>
    </row>
    <row r="127" spans="1:10" x14ac:dyDescent="0.25">
      <c r="A127" s="2">
        <v>536381</v>
      </c>
      <c r="B127" s="2">
        <v>71270</v>
      </c>
      <c r="C127" s="2" t="s">
        <v>108</v>
      </c>
      <c r="D127" s="2">
        <v>3</v>
      </c>
      <c r="E127" s="8">
        <v>40513.40347222222</v>
      </c>
      <c r="F127" s="2">
        <v>1.25</v>
      </c>
      <c r="G127" s="2">
        <v>15311</v>
      </c>
      <c r="H127" s="2" t="s">
        <v>10</v>
      </c>
      <c r="I127" s="2">
        <f>ABS(DF[[#This Row],[Quantity_BEFORE]])</f>
        <v>3</v>
      </c>
      <c r="J127" s="2">
        <f>DF[[#This Row],[QUANTITY]]*DF[[#This Row],[UnitPrice]]</f>
        <v>3.75</v>
      </c>
    </row>
    <row r="128" spans="1:10" x14ac:dyDescent="0.25">
      <c r="A128" s="2">
        <v>536381</v>
      </c>
      <c r="B128" s="2">
        <v>47580</v>
      </c>
      <c r="C128" s="2" t="s">
        <v>122</v>
      </c>
      <c r="D128" s="2">
        <v>2</v>
      </c>
      <c r="E128" s="8">
        <v>40513.40347222222</v>
      </c>
      <c r="F128" s="2">
        <v>2.5499999999999998</v>
      </c>
      <c r="G128" s="2">
        <v>15311</v>
      </c>
      <c r="H128" s="2" t="s">
        <v>10</v>
      </c>
      <c r="I128" s="2">
        <f>ABS(DF[[#This Row],[Quantity_BEFORE]])</f>
        <v>2</v>
      </c>
      <c r="J128" s="2">
        <f>DF[[#This Row],[QUANTITY]]*DF[[#This Row],[UnitPrice]]</f>
        <v>5.0999999999999996</v>
      </c>
    </row>
    <row r="129" spans="1:10" x14ac:dyDescent="0.25">
      <c r="A129" s="2">
        <v>536381</v>
      </c>
      <c r="B129" s="2">
        <v>22261</v>
      </c>
      <c r="C129" s="2" t="s">
        <v>123</v>
      </c>
      <c r="D129" s="2">
        <v>1</v>
      </c>
      <c r="E129" s="8">
        <v>40513.40347222222</v>
      </c>
      <c r="F129" s="2">
        <v>0.85</v>
      </c>
      <c r="G129" s="2">
        <v>15311</v>
      </c>
      <c r="H129" s="2" t="s">
        <v>10</v>
      </c>
      <c r="I129" s="2">
        <f>ABS(DF[[#This Row],[Quantity_BEFORE]])</f>
        <v>1</v>
      </c>
      <c r="J129" s="2">
        <f>DF[[#This Row],[QUANTITY]]*DF[[#This Row],[UnitPrice]]</f>
        <v>0.85</v>
      </c>
    </row>
    <row r="130" spans="1:10" x14ac:dyDescent="0.25">
      <c r="A130" s="2">
        <v>536381</v>
      </c>
      <c r="B130" s="2">
        <v>84832</v>
      </c>
      <c r="C130" s="2" t="s">
        <v>124</v>
      </c>
      <c r="D130" s="2">
        <v>1</v>
      </c>
      <c r="E130" s="8">
        <v>40513.40347222222</v>
      </c>
      <c r="F130" s="2">
        <v>0.85</v>
      </c>
      <c r="G130" s="2">
        <v>15311</v>
      </c>
      <c r="H130" s="2" t="s">
        <v>10</v>
      </c>
      <c r="I130" s="2">
        <f>ABS(DF[[#This Row],[Quantity_BEFORE]])</f>
        <v>1</v>
      </c>
      <c r="J130" s="2">
        <f>DF[[#This Row],[QUANTITY]]*DF[[#This Row],[UnitPrice]]</f>
        <v>0.85</v>
      </c>
    </row>
    <row r="131" spans="1:10" x14ac:dyDescent="0.25">
      <c r="A131" s="2">
        <v>536381</v>
      </c>
      <c r="B131" s="2">
        <v>22644</v>
      </c>
      <c r="C131" s="2" t="s">
        <v>125</v>
      </c>
      <c r="D131" s="2">
        <v>1</v>
      </c>
      <c r="E131" s="8">
        <v>40513.40347222222</v>
      </c>
      <c r="F131" s="2">
        <v>1.45</v>
      </c>
      <c r="G131" s="2">
        <v>15311</v>
      </c>
      <c r="H131" s="2" t="s">
        <v>10</v>
      </c>
      <c r="I131" s="2">
        <f>ABS(DF[[#This Row],[Quantity_BEFORE]])</f>
        <v>1</v>
      </c>
      <c r="J131" s="2">
        <f>DF[[#This Row],[QUANTITY]]*DF[[#This Row],[UnitPrice]]</f>
        <v>1.45</v>
      </c>
    </row>
    <row r="132" spans="1:10" x14ac:dyDescent="0.25">
      <c r="A132" s="2">
        <v>536381</v>
      </c>
      <c r="B132" s="2">
        <v>21533</v>
      </c>
      <c r="C132" s="2" t="s">
        <v>126</v>
      </c>
      <c r="D132" s="2">
        <v>1</v>
      </c>
      <c r="E132" s="8">
        <v>40513.40347222222</v>
      </c>
      <c r="F132" s="2">
        <v>4.95</v>
      </c>
      <c r="G132" s="2">
        <v>15311</v>
      </c>
      <c r="H132" s="2" t="s">
        <v>10</v>
      </c>
      <c r="I132" s="2">
        <f>ABS(DF[[#This Row],[Quantity_BEFORE]])</f>
        <v>1</v>
      </c>
      <c r="J132" s="2">
        <f>DF[[#This Row],[QUANTITY]]*DF[[#This Row],[UnitPrice]]</f>
        <v>4.95</v>
      </c>
    </row>
    <row r="133" spans="1:10" x14ac:dyDescent="0.25">
      <c r="A133" s="2">
        <v>536381</v>
      </c>
      <c r="B133" s="2">
        <v>21557</v>
      </c>
      <c r="C133" s="2" t="s">
        <v>127</v>
      </c>
      <c r="D133" s="2">
        <v>2</v>
      </c>
      <c r="E133" s="8">
        <v>40513.40347222222</v>
      </c>
      <c r="F133" s="2">
        <v>2.95</v>
      </c>
      <c r="G133" s="2">
        <v>15311</v>
      </c>
      <c r="H133" s="2" t="s">
        <v>10</v>
      </c>
      <c r="I133" s="2">
        <f>ABS(DF[[#This Row],[Quantity_BEFORE]])</f>
        <v>2</v>
      </c>
      <c r="J133" s="2">
        <f>DF[[#This Row],[QUANTITY]]*DF[[#This Row],[UnitPrice]]</f>
        <v>5.9</v>
      </c>
    </row>
    <row r="134" spans="1:10" x14ac:dyDescent="0.25">
      <c r="A134" s="2">
        <v>536381</v>
      </c>
      <c r="B134" s="2" t="s">
        <v>128</v>
      </c>
      <c r="C134" s="2" t="s">
        <v>129</v>
      </c>
      <c r="D134" s="2">
        <v>2</v>
      </c>
      <c r="E134" s="8">
        <v>40513.40347222222</v>
      </c>
      <c r="F134" s="2">
        <v>5.95</v>
      </c>
      <c r="G134" s="2">
        <v>15311</v>
      </c>
      <c r="H134" s="2" t="s">
        <v>10</v>
      </c>
      <c r="I134" s="2">
        <f>ABS(DF[[#This Row],[Quantity_BEFORE]])</f>
        <v>2</v>
      </c>
      <c r="J134" s="2">
        <f>DF[[#This Row],[QUANTITY]]*DF[[#This Row],[UnitPrice]]</f>
        <v>11.9</v>
      </c>
    </row>
    <row r="135" spans="1:10" x14ac:dyDescent="0.25">
      <c r="A135" s="2">
        <v>536381</v>
      </c>
      <c r="B135" s="2" t="s">
        <v>130</v>
      </c>
      <c r="C135" s="2" t="s">
        <v>131</v>
      </c>
      <c r="D135" s="2">
        <v>2</v>
      </c>
      <c r="E135" s="8">
        <v>40513.40347222222</v>
      </c>
      <c r="F135" s="2">
        <v>5.95</v>
      </c>
      <c r="G135" s="2">
        <v>15311</v>
      </c>
      <c r="H135" s="2" t="s">
        <v>10</v>
      </c>
      <c r="I135" s="2">
        <f>ABS(DF[[#This Row],[Quantity_BEFORE]])</f>
        <v>2</v>
      </c>
      <c r="J135" s="2">
        <f>DF[[#This Row],[QUANTITY]]*DF[[#This Row],[UnitPrice]]</f>
        <v>11.9</v>
      </c>
    </row>
    <row r="136" spans="1:10" x14ac:dyDescent="0.25">
      <c r="A136" s="2">
        <v>536381</v>
      </c>
      <c r="B136" s="2">
        <v>22646</v>
      </c>
      <c r="C136" s="2" t="s">
        <v>132</v>
      </c>
      <c r="D136" s="2">
        <v>4</v>
      </c>
      <c r="E136" s="8">
        <v>40513.40347222222</v>
      </c>
      <c r="F136" s="2">
        <v>1.45</v>
      </c>
      <c r="G136" s="2">
        <v>15311</v>
      </c>
      <c r="H136" s="2" t="s">
        <v>10</v>
      </c>
      <c r="I136" s="2">
        <f>ABS(DF[[#This Row],[Quantity_BEFORE]])</f>
        <v>4</v>
      </c>
      <c r="J136" s="2">
        <f>DF[[#This Row],[QUANTITY]]*DF[[#This Row],[UnitPrice]]</f>
        <v>5.8</v>
      </c>
    </row>
    <row r="137" spans="1:10" x14ac:dyDescent="0.25">
      <c r="A137" s="2">
        <v>536381</v>
      </c>
      <c r="B137" s="2">
        <v>22176</v>
      </c>
      <c r="C137" s="2" t="s">
        <v>133</v>
      </c>
      <c r="D137" s="2">
        <v>1</v>
      </c>
      <c r="E137" s="8">
        <v>40513.40347222222</v>
      </c>
      <c r="F137" s="2">
        <v>2.95</v>
      </c>
      <c r="G137" s="2">
        <v>15311</v>
      </c>
      <c r="H137" s="2" t="s">
        <v>10</v>
      </c>
      <c r="I137" s="2">
        <f>ABS(DF[[#This Row],[Quantity_BEFORE]])</f>
        <v>1</v>
      </c>
      <c r="J137" s="2">
        <f>DF[[#This Row],[QUANTITY]]*DF[[#This Row],[UnitPrice]]</f>
        <v>2.95</v>
      </c>
    </row>
    <row r="138" spans="1:10" x14ac:dyDescent="0.25">
      <c r="A138" s="2">
        <v>536381</v>
      </c>
      <c r="B138" s="2">
        <v>22438</v>
      </c>
      <c r="C138" s="2" t="s">
        <v>134</v>
      </c>
      <c r="D138" s="2">
        <v>1</v>
      </c>
      <c r="E138" s="8">
        <v>40513.40347222222</v>
      </c>
      <c r="F138" s="2">
        <v>1.95</v>
      </c>
      <c r="G138" s="2">
        <v>15311</v>
      </c>
      <c r="H138" s="2" t="s">
        <v>10</v>
      </c>
      <c r="I138" s="2">
        <f>ABS(DF[[#This Row],[Quantity_BEFORE]])</f>
        <v>1</v>
      </c>
      <c r="J138" s="2">
        <f>DF[[#This Row],[QUANTITY]]*DF[[#This Row],[UnitPrice]]</f>
        <v>1.95</v>
      </c>
    </row>
    <row r="139" spans="1:10" x14ac:dyDescent="0.25">
      <c r="A139" s="2">
        <v>536381</v>
      </c>
      <c r="B139" s="2">
        <v>21731</v>
      </c>
      <c r="C139" s="2" t="s">
        <v>53</v>
      </c>
      <c r="D139" s="2">
        <v>2</v>
      </c>
      <c r="E139" s="8">
        <v>40513.40347222222</v>
      </c>
      <c r="F139" s="2">
        <v>1.65</v>
      </c>
      <c r="G139" s="2">
        <v>15311</v>
      </c>
      <c r="H139" s="2" t="s">
        <v>10</v>
      </c>
      <c r="I139" s="2">
        <f>ABS(DF[[#This Row],[Quantity_BEFORE]])</f>
        <v>2</v>
      </c>
      <c r="J139" s="2">
        <f>DF[[#This Row],[QUANTITY]]*DF[[#This Row],[UnitPrice]]</f>
        <v>3.3</v>
      </c>
    </row>
    <row r="140" spans="1:10" x14ac:dyDescent="0.25">
      <c r="A140" s="2">
        <v>536381</v>
      </c>
      <c r="B140" s="2">
        <v>22778</v>
      </c>
      <c r="C140" s="2" t="s">
        <v>135</v>
      </c>
      <c r="D140" s="2">
        <v>3</v>
      </c>
      <c r="E140" s="8">
        <v>40513.40347222222</v>
      </c>
      <c r="F140" s="2">
        <v>3.95</v>
      </c>
      <c r="G140" s="2">
        <v>15311</v>
      </c>
      <c r="H140" s="2" t="s">
        <v>10</v>
      </c>
      <c r="I140" s="2">
        <f>ABS(DF[[#This Row],[Quantity_BEFORE]])</f>
        <v>3</v>
      </c>
      <c r="J140" s="2">
        <f>DF[[#This Row],[QUANTITY]]*DF[[#This Row],[UnitPrice]]</f>
        <v>11.850000000000001</v>
      </c>
    </row>
    <row r="141" spans="1:10" x14ac:dyDescent="0.25">
      <c r="A141" s="2">
        <v>536381</v>
      </c>
      <c r="B141" s="2">
        <v>22719</v>
      </c>
      <c r="C141" s="2" t="s">
        <v>136</v>
      </c>
      <c r="D141" s="2">
        <v>36</v>
      </c>
      <c r="E141" s="8">
        <v>40513.40347222222</v>
      </c>
      <c r="F141" s="2">
        <v>1.06</v>
      </c>
      <c r="G141" s="2">
        <v>15311</v>
      </c>
      <c r="H141" s="2" t="s">
        <v>10</v>
      </c>
      <c r="I141" s="2">
        <f>ABS(DF[[#This Row],[Quantity_BEFORE]])</f>
        <v>36</v>
      </c>
      <c r="J141" s="2">
        <f>DF[[#This Row],[QUANTITY]]*DF[[#This Row],[UnitPrice]]</f>
        <v>38.160000000000004</v>
      </c>
    </row>
    <row r="142" spans="1:10" x14ac:dyDescent="0.25">
      <c r="A142" s="2">
        <v>536381</v>
      </c>
      <c r="B142" s="2">
        <v>21523</v>
      </c>
      <c r="C142" s="2" t="s">
        <v>137</v>
      </c>
      <c r="D142" s="2">
        <v>10</v>
      </c>
      <c r="E142" s="8">
        <v>40513.40347222222</v>
      </c>
      <c r="F142" s="2">
        <v>6.75</v>
      </c>
      <c r="G142" s="2">
        <v>15311</v>
      </c>
      <c r="H142" s="2" t="s">
        <v>10</v>
      </c>
      <c r="I142" s="2">
        <f>ABS(DF[[#This Row],[Quantity_BEFORE]])</f>
        <v>10</v>
      </c>
      <c r="J142" s="2">
        <f>DF[[#This Row],[QUANTITY]]*DF[[#This Row],[UnitPrice]]</f>
        <v>67.5</v>
      </c>
    </row>
    <row r="143" spans="1:10" x14ac:dyDescent="0.25">
      <c r="A143" s="2" t="s">
        <v>138</v>
      </c>
      <c r="B143" s="2" t="s">
        <v>139</v>
      </c>
      <c r="C143" s="2" t="s">
        <v>140</v>
      </c>
      <c r="D143" s="2">
        <v>-1</v>
      </c>
      <c r="E143" s="8">
        <v>40513.40347222222</v>
      </c>
      <c r="F143" s="2">
        <v>27.5</v>
      </c>
      <c r="G143" s="2">
        <v>14527</v>
      </c>
      <c r="H143" s="2" t="s">
        <v>10</v>
      </c>
      <c r="I143" s="2">
        <f>ABS(DF[[#This Row],[Quantity_BEFORE]])</f>
        <v>1</v>
      </c>
      <c r="J143" s="2">
        <f>DF[[#This Row],[QUANTITY]]*DF[[#This Row],[UnitPrice]]</f>
        <v>27.5</v>
      </c>
    </row>
    <row r="144" spans="1:10" x14ac:dyDescent="0.25">
      <c r="A144" s="2">
        <v>536382</v>
      </c>
      <c r="B144" s="2">
        <v>10002</v>
      </c>
      <c r="C144" s="2" t="s">
        <v>45</v>
      </c>
      <c r="D144" s="2">
        <v>12</v>
      </c>
      <c r="E144" s="8">
        <v>40513.40625</v>
      </c>
      <c r="F144" s="2">
        <v>0.85</v>
      </c>
      <c r="G144" s="2">
        <v>16098</v>
      </c>
      <c r="H144" s="2" t="s">
        <v>10</v>
      </c>
      <c r="I144" s="2">
        <f>ABS(DF[[#This Row],[Quantity_BEFORE]])</f>
        <v>12</v>
      </c>
      <c r="J144" s="2">
        <f>DF[[#This Row],[QUANTITY]]*DF[[#This Row],[UnitPrice]]</f>
        <v>10.199999999999999</v>
      </c>
    </row>
    <row r="145" spans="1:10" x14ac:dyDescent="0.25">
      <c r="A145" s="2">
        <v>536382</v>
      </c>
      <c r="B145" s="2">
        <v>21912</v>
      </c>
      <c r="C145" s="2" t="s">
        <v>141</v>
      </c>
      <c r="D145" s="2">
        <v>8</v>
      </c>
      <c r="E145" s="8">
        <v>40513.40625</v>
      </c>
      <c r="F145" s="2">
        <v>3.75</v>
      </c>
      <c r="G145" s="2">
        <v>16098</v>
      </c>
      <c r="H145" s="2" t="s">
        <v>10</v>
      </c>
      <c r="I145" s="2">
        <f>ABS(DF[[#This Row],[Quantity_BEFORE]])</f>
        <v>8</v>
      </c>
      <c r="J145" s="2">
        <f>DF[[#This Row],[QUANTITY]]*DF[[#This Row],[UnitPrice]]</f>
        <v>30</v>
      </c>
    </row>
    <row r="146" spans="1:10" x14ac:dyDescent="0.25">
      <c r="A146" s="2">
        <v>536382</v>
      </c>
      <c r="B146" s="2">
        <v>21832</v>
      </c>
      <c r="C146" s="2" t="s">
        <v>142</v>
      </c>
      <c r="D146" s="2">
        <v>12</v>
      </c>
      <c r="E146" s="8">
        <v>40513.40625</v>
      </c>
      <c r="F146" s="2">
        <v>1.65</v>
      </c>
      <c r="G146" s="2">
        <v>16098</v>
      </c>
      <c r="H146" s="2" t="s">
        <v>10</v>
      </c>
      <c r="I146" s="2">
        <f>ABS(DF[[#This Row],[Quantity_BEFORE]])</f>
        <v>12</v>
      </c>
      <c r="J146" s="2">
        <f>DF[[#This Row],[QUANTITY]]*DF[[#This Row],[UnitPrice]]</f>
        <v>19.799999999999997</v>
      </c>
    </row>
    <row r="147" spans="1:10" x14ac:dyDescent="0.25">
      <c r="A147" s="2">
        <v>536382</v>
      </c>
      <c r="B147" s="2">
        <v>22411</v>
      </c>
      <c r="C147" s="2" t="s">
        <v>103</v>
      </c>
      <c r="D147" s="2">
        <v>10</v>
      </c>
      <c r="E147" s="8">
        <v>40513.40625</v>
      </c>
      <c r="F147" s="2">
        <v>1.95</v>
      </c>
      <c r="G147" s="2">
        <v>16098</v>
      </c>
      <c r="H147" s="2" t="s">
        <v>10</v>
      </c>
      <c r="I147" s="2">
        <f>ABS(DF[[#This Row],[Quantity_BEFORE]])</f>
        <v>10</v>
      </c>
      <c r="J147" s="2">
        <f>DF[[#This Row],[QUANTITY]]*DF[[#This Row],[UnitPrice]]</f>
        <v>19.5</v>
      </c>
    </row>
    <row r="148" spans="1:10" x14ac:dyDescent="0.25">
      <c r="A148" s="2">
        <v>536382</v>
      </c>
      <c r="B148" s="2">
        <v>22379</v>
      </c>
      <c r="C148" s="2" t="s">
        <v>143</v>
      </c>
      <c r="D148" s="2">
        <v>10</v>
      </c>
      <c r="E148" s="8">
        <v>40513.40625</v>
      </c>
      <c r="F148" s="2">
        <v>2.1</v>
      </c>
      <c r="G148" s="2">
        <v>16098</v>
      </c>
      <c r="H148" s="2" t="s">
        <v>10</v>
      </c>
      <c r="I148" s="2">
        <f>ABS(DF[[#This Row],[Quantity_BEFORE]])</f>
        <v>10</v>
      </c>
      <c r="J148" s="2">
        <f>DF[[#This Row],[QUANTITY]]*DF[[#This Row],[UnitPrice]]</f>
        <v>21</v>
      </c>
    </row>
    <row r="149" spans="1:10" x14ac:dyDescent="0.25">
      <c r="A149" s="2">
        <v>536382</v>
      </c>
      <c r="B149" s="2">
        <v>22381</v>
      </c>
      <c r="C149" s="2" t="s">
        <v>144</v>
      </c>
      <c r="D149" s="2">
        <v>50</v>
      </c>
      <c r="E149" s="8">
        <v>40513.40625</v>
      </c>
      <c r="F149" s="2">
        <v>1.85</v>
      </c>
      <c r="G149" s="2">
        <v>16098</v>
      </c>
      <c r="H149" s="2" t="s">
        <v>10</v>
      </c>
      <c r="I149" s="2">
        <f>ABS(DF[[#This Row],[Quantity_BEFORE]])</f>
        <v>50</v>
      </c>
      <c r="J149" s="2">
        <f>DF[[#This Row],[QUANTITY]]*DF[[#This Row],[UnitPrice]]</f>
        <v>92.5</v>
      </c>
    </row>
    <row r="150" spans="1:10" x14ac:dyDescent="0.25">
      <c r="A150" s="2">
        <v>536382</v>
      </c>
      <c r="B150" s="2">
        <v>22798</v>
      </c>
      <c r="C150" s="2" t="s">
        <v>145</v>
      </c>
      <c r="D150" s="2">
        <v>8</v>
      </c>
      <c r="E150" s="8">
        <v>40513.40625</v>
      </c>
      <c r="F150" s="2">
        <v>2.95</v>
      </c>
      <c r="G150" s="2">
        <v>16098</v>
      </c>
      <c r="H150" s="2" t="s">
        <v>10</v>
      </c>
      <c r="I150" s="2">
        <f>ABS(DF[[#This Row],[Quantity_BEFORE]])</f>
        <v>8</v>
      </c>
      <c r="J150" s="2">
        <f>DF[[#This Row],[QUANTITY]]*DF[[#This Row],[UnitPrice]]</f>
        <v>23.6</v>
      </c>
    </row>
    <row r="151" spans="1:10" x14ac:dyDescent="0.25">
      <c r="A151" s="2">
        <v>536382</v>
      </c>
      <c r="B151" s="2">
        <v>22726</v>
      </c>
      <c r="C151" s="2" t="s">
        <v>42</v>
      </c>
      <c r="D151" s="2">
        <v>4</v>
      </c>
      <c r="E151" s="8">
        <v>40513.40625</v>
      </c>
      <c r="F151" s="2">
        <v>3.75</v>
      </c>
      <c r="G151" s="2">
        <v>16098</v>
      </c>
      <c r="H151" s="2" t="s">
        <v>10</v>
      </c>
      <c r="I151" s="2">
        <f>ABS(DF[[#This Row],[Quantity_BEFORE]])</f>
        <v>4</v>
      </c>
      <c r="J151" s="2">
        <f>DF[[#This Row],[QUANTITY]]*DF[[#This Row],[UnitPrice]]</f>
        <v>15</v>
      </c>
    </row>
    <row r="152" spans="1:10" x14ac:dyDescent="0.25">
      <c r="A152" s="2">
        <v>536382</v>
      </c>
      <c r="B152" s="2">
        <v>22926</v>
      </c>
      <c r="C152" s="2" t="s">
        <v>146</v>
      </c>
      <c r="D152" s="2">
        <v>12</v>
      </c>
      <c r="E152" s="8">
        <v>40513.40625</v>
      </c>
      <c r="F152" s="2">
        <v>5.95</v>
      </c>
      <c r="G152" s="2">
        <v>16098</v>
      </c>
      <c r="H152" s="2" t="s">
        <v>10</v>
      </c>
      <c r="I152" s="2">
        <f>ABS(DF[[#This Row],[Quantity_BEFORE]])</f>
        <v>12</v>
      </c>
      <c r="J152" s="2">
        <f>DF[[#This Row],[QUANTITY]]*DF[[#This Row],[UnitPrice]]</f>
        <v>71.400000000000006</v>
      </c>
    </row>
    <row r="153" spans="1:10" x14ac:dyDescent="0.25">
      <c r="A153" s="2">
        <v>536382</v>
      </c>
      <c r="B153" s="2">
        <v>22839</v>
      </c>
      <c r="C153" s="2" t="s">
        <v>147</v>
      </c>
      <c r="D153" s="2">
        <v>2</v>
      </c>
      <c r="E153" s="8">
        <v>40513.40625</v>
      </c>
      <c r="F153" s="2">
        <v>14.95</v>
      </c>
      <c r="G153" s="2">
        <v>16098</v>
      </c>
      <c r="H153" s="2" t="s">
        <v>10</v>
      </c>
      <c r="I153" s="2">
        <f>ABS(DF[[#This Row],[Quantity_BEFORE]])</f>
        <v>2</v>
      </c>
      <c r="J153" s="2">
        <f>DF[[#This Row],[QUANTITY]]*DF[[#This Row],[UnitPrice]]</f>
        <v>29.9</v>
      </c>
    </row>
    <row r="154" spans="1:10" x14ac:dyDescent="0.25">
      <c r="A154" s="2">
        <v>536382</v>
      </c>
      <c r="B154" s="2">
        <v>22838</v>
      </c>
      <c r="C154" s="2" t="s">
        <v>148</v>
      </c>
      <c r="D154" s="2">
        <v>2</v>
      </c>
      <c r="E154" s="8">
        <v>40513.40625</v>
      </c>
      <c r="F154" s="2">
        <v>14.95</v>
      </c>
      <c r="G154" s="2">
        <v>16098</v>
      </c>
      <c r="H154" s="2" t="s">
        <v>10</v>
      </c>
      <c r="I154" s="2">
        <f>ABS(DF[[#This Row],[Quantity_BEFORE]])</f>
        <v>2</v>
      </c>
      <c r="J154" s="2">
        <f>DF[[#This Row],[QUANTITY]]*DF[[#This Row],[UnitPrice]]</f>
        <v>29.9</v>
      </c>
    </row>
    <row r="155" spans="1:10" x14ac:dyDescent="0.25">
      <c r="A155" s="2">
        <v>536382</v>
      </c>
      <c r="B155" s="2">
        <v>22783</v>
      </c>
      <c r="C155" s="2" t="s">
        <v>149</v>
      </c>
      <c r="D155" s="2">
        <v>4</v>
      </c>
      <c r="E155" s="8">
        <v>40513.40625</v>
      </c>
      <c r="F155" s="2">
        <v>16.95</v>
      </c>
      <c r="G155" s="2">
        <v>16098</v>
      </c>
      <c r="H155" s="2" t="s">
        <v>10</v>
      </c>
      <c r="I155" s="2">
        <f>ABS(DF[[#This Row],[Quantity_BEFORE]])</f>
        <v>4</v>
      </c>
      <c r="J155" s="2">
        <f>DF[[#This Row],[QUANTITY]]*DF[[#This Row],[UnitPrice]]</f>
        <v>67.8</v>
      </c>
    </row>
    <row r="156" spans="1:10" x14ac:dyDescent="0.25">
      <c r="A156" s="2" t="s">
        <v>150</v>
      </c>
      <c r="B156" s="2" t="s">
        <v>151</v>
      </c>
      <c r="C156" s="2" t="s">
        <v>152</v>
      </c>
      <c r="D156" s="2">
        <v>-1</v>
      </c>
      <c r="E156" s="8">
        <v>40513.40902777778</v>
      </c>
      <c r="F156" s="2">
        <v>4.6500000000000004</v>
      </c>
      <c r="G156" s="2">
        <v>15311</v>
      </c>
      <c r="H156" s="2" t="s">
        <v>10</v>
      </c>
      <c r="I156" s="2">
        <f>ABS(DF[[#This Row],[Quantity_BEFORE]])</f>
        <v>1</v>
      </c>
      <c r="J156" s="2">
        <f>DF[[#This Row],[QUANTITY]]*DF[[#This Row],[UnitPrice]]</f>
        <v>4.6500000000000004</v>
      </c>
    </row>
    <row r="157" spans="1:10" x14ac:dyDescent="0.25">
      <c r="A157" s="2">
        <v>536384</v>
      </c>
      <c r="B157" s="2">
        <v>82484</v>
      </c>
      <c r="C157" s="2" t="s">
        <v>153</v>
      </c>
      <c r="D157" s="2">
        <v>3</v>
      </c>
      <c r="E157" s="8">
        <v>40513.411805555559</v>
      </c>
      <c r="F157" s="2">
        <v>6.45</v>
      </c>
      <c r="G157" s="2">
        <v>18074</v>
      </c>
      <c r="H157" s="2" t="s">
        <v>10</v>
      </c>
      <c r="I157" s="2">
        <f>ABS(DF[[#This Row],[Quantity_BEFORE]])</f>
        <v>3</v>
      </c>
      <c r="J157" s="2">
        <f>DF[[#This Row],[QUANTITY]]*DF[[#This Row],[UnitPrice]]</f>
        <v>19.350000000000001</v>
      </c>
    </row>
    <row r="158" spans="1:10" x14ac:dyDescent="0.25">
      <c r="A158" s="2">
        <v>536384</v>
      </c>
      <c r="B158" s="2">
        <v>84755</v>
      </c>
      <c r="C158" s="2" t="s">
        <v>154</v>
      </c>
      <c r="D158" s="2">
        <v>48</v>
      </c>
      <c r="E158" s="8">
        <v>40513.411805555559</v>
      </c>
      <c r="F158" s="2">
        <v>0.65</v>
      </c>
      <c r="G158" s="2">
        <v>18074</v>
      </c>
      <c r="H158" s="2" t="s">
        <v>10</v>
      </c>
      <c r="I158" s="2">
        <f>ABS(DF[[#This Row],[Quantity_BEFORE]])</f>
        <v>48</v>
      </c>
      <c r="J158" s="2">
        <f>DF[[#This Row],[QUANTITY]]*DF[[#This Row],[UnitPrice]]</f>
        <v>31.200000000000003</v>
      </c>
    </row>
    <row r="159" spans="1:10" x14ac:dyDescent="0.25">
      <c r="A159" s="2">
        <v>536384</v>
      </c>
      <c r="B159" s="2">
        <v>22464</v>
      </c>
      <c r="C159" s="2" t="s">
        <v>155</v>
      </c>
      <c r="D159" s="2">
        <v>12</v>
      </c>
      <c r="E159" s="8">
        <v>40513.411805555559</v>
      </c>
      <c r="F159" s="2">
        <v>1.65</v>
      </c>
      <c r="G159" s="2">
        <v>18074</v>
      </c>
      <c r="H159" s="2" t="s">
        <v>10</v>
      </c>
      <c r="I159" s="2">
        <f>ABS(DF[[#This Row],[Quantity_BEFORE]])</f>
        <v>12</v>
      </c>
      <c r="J159" s="2">
        <f>DF[[#This Row],[QUANTITY]]*DF[[#This Row],[UnitPrice]]</f>
        <v>19.799999999999997</v>
      </c>
    </row>
    <row r="160" spans="1:10" x14ac:dyDescent="0.25">
      <c r="A160" s="2">
        <v>536384</v>
      </c>
      <c r="B160" s="2">
        <v>21324</v>
      </c>
      <c r="C160" s="2" t="s">
        <v>156</v>
      </c>
      <c r="D160" s="2">
        <v>6</v>
      </c>
      <c r="E160" s="8">
        <v>40513.411805555559</v>
      </c>
      <c r="F160" s="2">
        <v>2.95</v>
      </c>
      <c r="G160" s="2">
        <v>18074</v>
      </c>
      <c r="H160" s="2" t="s">
        <v>10</v>
      </c>
      <c r="I160" s="2">
        <f>ABS(DF[[#This Row],[Quantity_BEFORE]])</f>
        <v>6</v>
      </c>
      <c r="J160" s="2">
        <f>DF[[#This Row],[QUANTITY]]*DF[[#This Row],[UnitPrice]]</f>
        <v>17.700000000000003</v>
      </c>
    </row>
    <row r="161" spans="1:10" x14ac:dyDescent="0.25">
      <c r="A161" s="2">
        <v>536384</v>
      </c>
      <c r="B161" s="2">
        <v>22457</v>
      </c>
      <c r="C161" s="2" t="s">
        <v>157</v>
      </c>
      <c r="D161" s="2">
        <v>12</v>
      </c>
      <c r="E161" s="8">
        <v>40513.411805555559</v>
      </c>
      <c r="F161" s="2">
        <v>2.95</v>
      </c>
      <c r="G161" s="2">
        <v>18074</v>
      </c>
      <c r="H161" s="2" t="s">
        <v>10</v>
      </c>
      <c r="I161" s="2">
        <f>ABS(DF[[#This Row],[Quantity_BEFORE]])</f>
        <v>12</v>
      </c>
      <c r="J161" s="2">
        <f>DF[[#This Row],[QUANTITY]]*DF[[#This Row],[UnitPrice]]</f>
        <v>35.400000000000006</v>
      </c>
    </row>
    <row r="162" spans="1:10" x14ac:dyDescent="0.25">
      <c r="A162" s="2">
        <v>536384</v>
      </c>
      <c r="B162" s="2">
        <v>22469</v>
      </c>
      <c r="C162" s="2" t="s">
        <v>158</v>
      </c>
      <c r="D162" s="2">
        <v>40</v>
      </c>
      <c r="E162" s="8">
        <v>40513.411805555559</v>
      </c>
      <c r="F162" s="2">
        <v>1.45</v>
      </c>
      <c r="G162" s="2">
        <v>18074</v>
      </c>
      <c r="H162" s="2" t="s">
        <v>10</v>
      </c>
      <c r="I162" s="2">
        <f>ABS(DF[[#This Row],[Quantity_BEFORE]])</f>
        <v>40</v>
      </c>
      <c r="J162" s="2">
        <f>DF[[#This Row],[QUANTITY]]*DF[[#This Row],[UnitPrice]]</f>
        <v>58</v>
      </c>
    </row>
    <row r="163" spans="1:10" x14ac:dyDescent="0.25">
      <c r="A163" s="2">
        <v>536384</v>
      </c>
      <c r="B163" s="2">
        <v>22470</v>
      </c>
      <c r="C163" s="2" t="s">
        <v>159</v>
      </c>
      <c r="D163" s="2">
        <v>40</v>
      </c>
      <c r="E163" s="8">
        <v>40513.411805555559</v>
      </c>
      <c r="F163" s="2">
        <v>2.5499999999999998</v>
      </c>
      <c r="G163" s="2">
        <v>18074</v>
      </c>
      <c r="H163" s="2" t="s">
        <v>10</v>
      </c>
      <c r="I163" s="2">
        <f>ABS(DF[[#This Row],[Quantity_BEFORE]])</f>
        <v>40</v>
      </c>
      <c r="J163" s="2">
        <f>DF[[#This Row],[QUANTITY]]*DF[[#This Row],[UnitPrice]]</f>
        <v>102</v>
      </c>
    </row>
    <row r="164" spans="1:10" x14ac:dyDescent="0.25">
      <c r="A164" s="2">
        <v>536384</v>
      </c>
      <c r="B164" s="2">
        <v>22224</v>
      </c>
      <c r="C164" s="2" t="s">
        <v>160</v>
      </c>
      <c r="D164" s="2">
        <v>6</v>
      </c>
      <c r="E164" s="8">
        <v>40513.411805555559</v>
      </c>
      <c r="F164" s="2">
        <v>2.95</v>
      </c>
      <c r="G164" s="2">
        <v>18074</v>
      </c>
      <c r="H164" s="2" t="s">
        <v>10</v>
      </c>
      <c r="I164" s="2">
        <f>ABS(DF[[#This Row],[Quantity_BEFORE]])</f>
        <v>6</v>
      </c>
      <c r="J164" s="2">
        <f>DF[[#This Row],[QUANTITY]]*DF[[#This Row],[UnitPrice]]</f>
        <v>17.700000000000003</v>
      </c>
    </row>
    <row r="165" spans="1:10" x14ac:dyDescent="0.25">
      <c r="A165" s="2">
        <v>536384</v>
      </c>
      <c r="B165" s="2">
        <v>21340</v>
      </c>
      <c r="C165" s="2" t="s">
        <v>161</v>
      </c>
      <c r="D165" s="2">
        <v>2</v>
      </c>
      <c r="E165" s="8">
        <v>40513.411805555559</v>
      </c>
      <c r="F165" s="2">
        <v>12.75</v>
      </c>
      <c r="G165" s="2">
        <v>18074</v>
      </c>
      <c r="H165" s="2" t="s">
        <v>10</v>
      </c>
      <c r="I165" s="2">
        <f>ABS(DF[[#This Row],[Quantity_BEFORE]])</f>
        <v>2</v>
      </c>
      <c r="J165" s="2">
        <f>DF[[#This Row],[QUANTITY]]*DF[[#This Row],[UnitPrice]]</f>
        <v>25.5</v>
      </c>
    </row>
    <row r="166" spans="1:10" x14ac:dyDescent="0.25">
      <c r="A166" s="2">
        <v>536384</v>
      </c>
      <c r="B166" s="2">
        <v>22189</v>
      </c>
      <c r="C166" s="2" t="s">
        <v>162</v>
      </c>
      <c r="D166" s="2">
        <v>4</v>
      </c>
      <c r="E166" s="8">
        <v>40513.411805555559</v>
      </c>
      <c r="F166" s="2">
        <v>3.95</v>
      </c>
      <c r="G166" s="2">
        <v>18074</v>
      </c>
      <c r="H166" s="2" t="s">
        <v>10</v>
      </c>
      <c r="I166" s="2">
        <f>ABS(DF[[#This Row],[Quantity_BEFORE]])</f>
        <v>4</v>
      </c>
      <c r="J166" s="2">
        <f>DF[[#This Row],[QUANTITY]]*DF[[#This Row],[UnitPrice]]</f>
        <v>15.8</v>
      </c>
    </row>
    <row r="167" spans="1:10" x14ac:dyDescent="0.25">
      <c r="A167" s="2">
        <v>536384</v>
      </c>
      <c r="B167" s="2">
        <v>22427</v>
      </c>
      <c r="C167" s="2" t="s">
        <v>163</v>
      </c>
      <c r="D167" s="2">
        <v>3</v>
      </c>
      <c r="E167" s="8">
        <v>40513.411805555559</v>
      </c>
      <c r="F167" s="2">
        <v>5.95</v>
      </c>
      <c r="G167" s="2">
        <v>18074</v>
      </c>
      <c r="H167" s="2" t="s">
        <v>10</v>
      </c>
      <c r="I167" s="2">
        <f>ABS(DF[[#This Row],[Quantity_BEFORE]])</f>
        <v>3</v>
      </c>
      <c r="J167" s="2">
        <f>DF[[#This Row],[QUANTITY]]*DF[[#This Row],[UnitPrice]]</f>
        <v>17.850000000000001</v>
      </c>
    </row>
    <row r="168" spans="1:10" x14ac:dyDescent="0.25">
      <c r="A168" s="2">
        <v>536384</v>
      </c>
      <c r="B168" s="2">
        <v>22428</v>
      </c>
      <c r="C168" s="2" t="s">
        <v>164</v>
      </c>
      <c r="D168" s="2">
        <v>6</v>
      </c>
      <c r="E168" s="8">
        <v>40513.411805555559</v>
      </c>
      <c r="F168" s="2">
        <v>6.95</v>
      </c>
      <c r="G168" s="2">
        <v>18074</v>
      </c>
      <c r="H168" s="2" t="s">
        <v>10</v>
      </c>
      <c r="I168" s="2">
        <f>ABS(DF[[#This Row],[Quantity_BEFORE]])</f>
        <v>6</v>
      </c>
      <c r="J168" s="2">
        <f>DF[[#This Row],[QUANTITY]]*DF[[#This Row],[UnitPrice]]</f>
        <v>41.7</v>
      </c>
    </row>
    <row r="169" spans="1:10" x14ac:dyDescent="0.25">
      <c r="A169" s="2">
        <v>536384</v>
      </c>
      <c r="B169" s="2">
        <v>22424</v>
      </c>
      <c r="C169" s="2" t="s">
        <v>165</v>
      </c>
      <c r="D169" s="2">
        <v>8</v>
      </c>
      <c r="E169" s="8">
        <v>40513.411805555559</v>
      </c>
      <c r="F169" s="2">
        <v>10.95</v>
      </c>
      <c r="G169" s="2">
        <v>18074</v>
      </c>
      <c r="H169" s="2" t="s">
        <v>10</v>
      </c>
      <c r="I169" s="2">
        <f>ABS(DF[[#This Row],[Quantity_BEFORE]])</f>
        <v>8</v>
      </c>
      <c r="J169" s="2">
        <f>DF[[#This Row],[QUANTITY]]*DF[[#This Row],[UnitPrice]]</f>
        <v>87.6</v>
      </c>
    </row>
    <row r="170" spans="1:10" x14ac:dyDescent="0.25">
      <c r="A170" s="2">
        <v>536385</v>
      </c>
      <c r="B170" s="2">
        <v>22783</v>
      </c>
      <c r="C170" s="2" t="s">
        <v>149</v>
      </c>
      <c r="D170" s="2">
        <v>1</v>
      </c>
      <c r="E170" s="8">
        <v>40513.413888888892</v>
      </c>
      <c r="F170" s="2">
        <v>19.95</v>
      </c>
      <c r="G170" s="2">
        <v>17420</v>
      </c>
      <c r="H170" s="2" t="s">
        <v>10</v>
      </c>
      <c r="I170" s="2">
        <f>ABS(DF[[#This Row],[Quantity_BEFORE]])</f>
        <v>1</v>
      </c>
      <c r="J170" s="2">
        <f>DF[[#This Row],[QUANTITY]]*DF[[#This Row],[UnitPrice]]</f>
        <v>19.95</v>
      </c>
    </row>
    <row r="171" spans="1:10" x14ac:dyDescent="0.25">
      <c r="A171" s="2">
        <v>536385</v>
      </c>
      <c r="B171" s="2">
        <v>22961</v>
      </c>
      <c r="C171" s="2" t="s">
        <v>100</v>
      </c>
      <c r="D171" s="2">
        <v>12</v>
      </c>
      <c r="E171" s="8">
        <v>40513.413888888892</v>
      </c>
      <c r="F171" s="2">
        <v>1.45</v>
      </c>
      <c r="G171" s="2">
        <v>17420</v>
      </c>
      <c r="H171" s="2" t="s">
        <v>10</v>
      </c>
      <c r="I171" s="2">
        <f>ABS(DF[[#This Row],[Quantity_BEFORE]])</f>
        <v>12</v>
      </c>
      <c r="J171" s="2">
        <f>DF[[#This Row],[QUANTITY]]*DF[[#This Row],[UnitPrice]]</f>
        <v>17.399999999999999</v>
      </c>
    </row>
    <row r="172" spans="1:10" x14ac:dyDescent="0.25">
      <c r="A172" s="2">
        <v>536385</v>
      </c>
      <c r="B172" s="2">
        <v>22960</v>
      </c>
      <c r="C172" s="2" t="s">
        <v>34</v>
      </c>
      <c r="D172" s="2">
        <v>6</v>
      </c>
      <c r="E172" s="8">
        <v>40513.413888888892</v>
      </c>
      <c r="F172" s="2">
        <v>4.25</v>
      </c>
      <c r="G172" s="2">
        <v>17420</v>
      </c>
      <c r="H172" s="2" t="s">
        <v>10</v>
      </c>
      <c r="I172" s="2">
        <f>ABS(DF[[#This Row],[Quantity_BEFORE]])</f>
        <v>6</v>
      </c>
      <c r="J172" s="2">
        <f>DF[[#This Row],[QUANTITY]]*DF[[#This Row],[UnitPrice]]</f>
        <v>25.5</v>
      </c>
    </row>
    <row r="173" spans="1:10" x14ac:dyDescent="0.25">
      <c r="A173" s="2">
        <v>536385</v>
      </c>
      <c r="B173" s="2">
        <v>22663</v>
      </c>
      <c r="C173" s="2" t="s">
        <v>166</v>
      </c>
      <c r="D173" s="2">
        <v>10</v>
      </c>
      <c r="E173" s="8">
        <v>40513.413888888892</v>
      </c>
      <c r="F173" s="2">
        <v>1.95</v>
      </c>
      <c r="G173" s="2">
        <v>17420</v>
      </c>
      <c r="H173" s="2" t="s">
        <v>10</v>
      </c>
      <c r="I173" s="2">
        <f>ABS(DF[[#This Row],[Quantity_BEFORE]])</f>
        <v>10</v>
      </c>
      <c r="J173" s="2">
        <f>DF[[#This Row],[QUANTITY]]*DF[[#This Row],[UnitPrice]]</f>
        <v>19.5</v>
      </c>
    </row>
    <row r="174" spans="1:10" x14ac:dyDescent="0.25">
      <c r="A174" s="2">
        <v>536385</v>
      </c>
      <c r="B174" s="2" t="s">
        <v>167</v>
      </c>
      <c r="C174" s="2" t="s">
        <v>168</v>
      </c>
      <c r="D174" s="2">
        <v>12</v>
      </c>
      <c r="E174" s="8">
        <v>40513.413888888892</v>
      </c>
      <c r="F174" s="2">
        <v>1.25</v>
      </c>
      <c r="G174" s="2">
        <v>17420</v>
      </c>
      <c r="H174" s="2" t="s">
        <v>10</v>
      </c>
      <c r="I174" s="2">
        <f>ABS(DF[[#This Row],[Quantity_BEFORE]])</f>
        <v>12</v>
      </c>
      <c r="J174" s="2">
        <f>DF[[#This Row],[QUANTITY]]*DF[[#This Row],[UnitPrice]]</f>
        <v>15</v>
      </c>
    </row>
    <row r="175" spans="1:10" x14ac:dyDescent="0.25">
      <c r="A175" s="2">
        <v>536385</v>
      </c>
      <c r="B175" s="2">
        <v>22168</v>
      </c>
      <c r="C175" s="2" t="s">
        <v>169</v>
      </c>
      <c r="D175" s="2">
        <v>2</v>
      </c>
      <c r="E175" s="8">
        <v>40513.413888888892</v>
      </c>
      <c r="F175" s="2">
        <v>8.5</v>
      </c>
      <c r="G175" s="2">
        <v>17420</v>
      </c>
      <c r="H175" s="2" t="s">
        <v>10</v>
      </c>
      <c r="I175" s="2">
        <f>ABS(DF[[#This Row],[Quantity_BEFORE]])</f>
        <v>2</v>
      </c>
      <c r="J175" s="2">
        <f>DF[[#This Row],[QUANTITY]]*DF[[#This Row],[UnitPrice]]</f>
        <v>17</v>
      </c>
    </row>
    <row r="176" spans="1:10" x14ac:dyDescent="0.25">
      <c r="A176" s="2">
        <v>536385</v>
      </c>
      <c r="B176" s="2">
        <v>22662</v>
      </c>
      <c r="C176" s="2" t="s">
        <v>170</v>
      </c>
      <c r="D176" s="2">
        <v>10</v>
      </c>
      <c r="E176" s="8">
        <v>40513.413888888892</v>
      </c>
      <c r="F176" s="2">
        <v>1.65</v>
      </c>
      <c r="G176" s="2">
        <v>17420</v>
      </c>
      <c r="H176" s="2" t="s">
        <v>10</v>
      </c>
      <c r="I176" s="2">
        <f>ABS(DF[[#This Row],[Quantity_BEFORE]])</f>
        <v>10</v>
      </c>
      <c r="J176" s="2">
        <f>DF[[#This Row],[QUANTITY]]*DF[[#This Row],[UnitPrice]]</f>
        <v>16.5</v>
      </c>
    </row>
    <row r="177" spans="1:10" x14ac:dyDescent="0.25">
      <c r="A177" s="2">
        <v>536386</v>
      </c>
      <c r="B177" s="2">
        <v>84880</v>
      </c>
      <c r="C177" s="2" t="s">
        <v>171</v>
      </c>
      <c r="D177" s="2">
        <v>36</v>
      </c>
      <c r="E177" s="8">
        <v>40513.414583333331</v>
      </c>
      <c r="F177" s="2">
        <v>4.95</v>
      </c>
      <c r="G177" s="2">
        <v>16029</v>
      </c>
      <c r="H177" s="2" t="s">
        <v>10</v>
      </c>
      <c r="I177" s="2">
        <f>ABS(DF[[#This Row],[Quantity_BEFORE]])</f>
        <v>36</v>
      </c>
      <c r="J177" s="2">
        <f>DF[[#This Row],[QUANTITY]]*DF[[#This Row],[UnitPrice]]</f>
        <v>178.20000000000002</v>
      </c>
    </row>
    <row r="178" spans="1:10" x14ac:dyDescent="0.25">
      <c r="A178" s="2">
        <v>536386</v>
      </c>
      <c r="B178" s="2" t="s">
        <v>76</v>
      </c>
      <c r="C178" s="2" t="s">
        <v>77</v>
      </c>
      <c r="D178" s="2">
        <v>100</v>
      </c>
      <c r="E178" s="8">
        <v>40513.414583333331</v>
      </c>
      <c r="F178" s="2">
        <v>1.65</v>
      </c>
      <c r="G178" s="2">
        <v>16029</v>
      </c>
      <c r="H178" s="2" t="s">
        <v>10</v>
      </c>
      <c r="I178" s="2">
        <f>ABS(DF[[#This Row],[Quantity_BEFORE]])</f>
        <v>100</v>
      </c>
      <c r="J178" s="2">
        <f>DF[[#This Row],[QUANTITY]]*DF[[#This Row],[UnitPrice]]</f>
        <v>165</v>
      </c>
    </row>
    <row r="179" spans="1:10" x14ac:dyDescent="0.25">
      <c r="A179" s="2">
        <v>536386</v>
      </c>
      <c r="B179" s="2" t="s">
        <v>172</v>
      </c>
      <c r="C179" s="2" t="s">
        <v>173</v>
      </c>
      <c r="D179" s="2">
        <v>100</v>
      </c>
      <c r="E179" s="8">
        <v>40513.414583333331</v>
      </c>
      <c r="F179" s="2">
        <v>1.65</v>
      </c>
      <c r="G179" s="2">
        <v>16029</v>
      </c>
      <c r="H179" s="2" t="s">
        <v>10</v>
      </c>
      <c r="I179" s="2">
        <f>ABS(DF[[#This Row],[Quantity_BEFORE]])</f>
        <v>100</v>
      </c>
      <c r="J179" s="2">
        <f>DF[[#This Row],[QUANTITY]]*DF[[#This Row],[UnitPrice]]</f>
        <v>165</v>
      </c>
    </row>
    <row r="180" spans="1:10" x14ac:dyDescent="0.25">
      <c r="A180" s="2">
        <v>536387</v>
      </c>
      <c r="B180" s="2">
        <v>79321</v>
      </c>
      <c r="C180" s="2" t="s">
        <v>174</v>
      </c>
      <c r="D180" s="2">
        <v>192</v>
      </c>
      <c r="E180" s="8">
        <v>40513.415277777778</v>
      </c>
      <c r="F180" s="2">
        <v>3.82</v>
      </c>
      <c r="G180" s="2">
        <v>16029</v>
      </c>
      <c r="H180" s="2" t="s">
        <v>10</v>
      </c>
      <c r="I180" s="2">
        <f>ABS(DF[[#This Row],[Quantity_BEFORE]])</f>
        <v>192</v>
      </c>
      <c r="J180" s="2">
        <f>DF[[#This Row],[QUANTITY]]*DF[[#This Row],[UnitPrice]]</f>
        <v>733.43999999999994</v>
      </c>
    </row>
    <row r="181" spans="1:10" x14ac:dyDescent="0.25">
      <c r="A181" s="2">
        <v>536387</v>
      </c>
      <c r="B181" s="2">
        <v>22780</v>
      </c>
      <c r="C181" s="2" t="s">
        <v>175</v>
      </c>
      <c r="D181" s="2">
        <v>192</v>
      </c>
      <c r="E181" s="8">
        <v>40513.415277777778</v>
      </c>
      <c r="F181" s="2">
        <v>3.37</v>
      </c>
      <c r="G181" s="2">
        <v>16029</v>
      </c>
      <c r="H181" s="2" t="s">
        <v>10</v>
      </c>
      <c r="I181" s="2">
        <f>ABS(DF[[#This Row],[Quantity_BEFORE]])</f>
        <v>192</v>
      </c>
      <c r="J181" s="2">
        <f>DF[[#This Row],[QUANTITY]]*DF[[#This Row],[UnitPrice]]</f>
        <v>647.04</v>
      </c>
    </row>
    <row r="182" spans="1:10" x14ac:dyDescent="0.25">
      <c r="A182" s="2">
        <v>536387</v>
      </c>
      <c r="B182" s="2">
        <v>22779</v>
      </c>
      <c r="C182" s="2" t="s">
        <v>176</v>
      </c>
      <c r="D182" s="2">
        <v>192</v>
      </c>
      <c r="E182" s="8">
        <v>40513.415277777778</v>
      </c>
      <c r="F182" s="2">
        <v>3.37</v>
      </c>
      <c r="G182" s="2">
        <v>16029</v>
      </c>
      <c r="H182" s="2" t="s">
        <v>10</v>
      </c>
      <c r="I182" s="2">
        <f>ABS(DF[[#This Row],[Quantity_BEFORE]])</f>
        <v>192</v>
      </c>
      <c r="J182" s="2">
        <f>DF[[#This Row],[QUANTITY]]*DF[[#This Row],[UnitPrice]]</f>
        <v>647.04</v>
      </c>
    </row>
    <row r="183" spans="1:10" x14ac:dyDescent="0.25">
      <c r="A183" s="2">
        <v>536387</v>
      </c>
      <c r="B183" s="2">
        <v>22466</v>
      </c>
      <c r="C183" s="2" t="s">
        <v>177</v>
      </c>
      <c r="D183" s="2">
        <v>432</v>
      </c>
      <c r="E183" s="8">
        <v>40513.415277777778</v>
      </c>
      <c r="F183" s="2">
        <v>1.45</v>
      </c>
      <c r="G183" s="2">
        <v>16029</v>
      </c>
      <c r="H183" s="2" t="s">
        <v>10</v>
      </c>
      <c r="I183" s="2">
        <f>ABS(DF[[#This Row],[Quantity_BEFORE]])</f>
        <v>432</v>
      </c>
      <c r="J183" s="2">
        <f>DF[[#This Row],[QUANTITY]]*DF[[#This Row],[UnitPrice]]</f>
        <v>626.4</v>
      </c>
    </row>
    <row r="184" spans="1:10" x14ac:dyDescent="0.25">
      <c r="A184" s="2">
        <v>536387</v>
      </c>
      <c r="B184" s="2">
        <v>21731</v>
      </c>
      <c r="C184" s="2" t="s">
        <v>53</v>
      </c>
      <c r="D184" s="2">
        <v>432</v>
      </c>
      <c r="E184" s="8">
        <v>40513.415277777778</v>
      </c>
      <c r="F184" s="2">
        <v>1.25</v>
      </c>
      <c r="G184" s="2">
        <v>16029</v>
      </c>
      <c r="H184" s="2" t="s">
        <v>10</v>
      </c>
      <c r="I184" s="2">
        <f>ABS(DF[[#This Row],[Quantity_BEFORE]])</f>
        <v>432</v>
      </c>
      <c r="J184" s="2">
        <f>DF[[#This Row],[QUANTITY]]*DF[[#This Row],[UnitPrice]]</f>
        <v>540</v>
      </c>
    </row>
    <row r="185" spans="1:10" x14ac:dyDescent="0.25">
      <c r="A185" s="2">
        <v>536388</v>
      </c>
      <c r="B185" s="2">
        <v>21754</v>
      </c>
      <c r="C185" s="2" t="s">
        <v>30</v>
      </c>
      <c r="D185" s="2">
        <v>3</v>
      </c>
      <c r="E185" s="8">
        <v>40513.415972222225</v>
      </c>
      <c r="F185" s="2">
        <v>5.95</v>
      </c>
      <c r="G185" s="2">
        <v>16250</v>
      </c>
      <c r="H185" s="2" t="s">
        <v>10</v>
      </c>
      <c r="I185" s="2">
        <f>ABS(DF[[#This Row],[Quantity_BEFORE]])</f>
        <v>3</v>
      </c>
      <c r="J185" s="2">
        <f>DF[[#This Row],[QUANTITY]]*DF[[#This Row],[UnitPrice]]</f>
        <v>17.850000000000001</v>
      </c>
    </row>
    <row r="186" spans="1:10" x14ac:dyDescent="0.25">
      <c r="A186" s="2">
        <v>536388</v>
      </c>
      <c r="B186" s="2">
        <v>21755</v>
      </c>
      <c r="C186" s="2" t="s">
        <v>31</v>
      </c>
      <c r="D186" s="2">
        <v>3</v>
      </c>
      <c r="E186" s="8">
        <v>40513.415972222225</v>
      </c>
      <c r="F186" s="2">
        <v>5.95</v>
      </c>
      <c r="G186" s="2">
        <v>16250</v>
      </c>
      <c r="H186" s="2" t="s">
        <v>10</v>
      </c>
      <c r="I186" s="2">
        <f>ABS(DF[[#This Row],[Quantity_BEFORE]])</f>
        <v>3</v>
      </c>
      <c r="J186" s="2">
        <f>DF[[#This Row],[QUANTITY]]*DF[[#This Row],[UnitPrice]]</f>
        <v>17.850000000000001</v>
      </c>
    </row>
    <row r="187" spans="1:10" x14ac:dyDescent="0.25">
      <c r="A187" s="2">
        <v>536388</v>
      </c>
      <c r="B187" s="2">
        <v>21523</v>
      </c>
      <c r="C187" s="2" t="s">
        <v>137</v>
      </c>
      <c r="D187" s="2">
        <v>2</v>
      </c>
      <c r="E187" s="8">
        <v>40513.415972222225</v>
      </c>
      <c r="F187" s="2">
        <v>7.95</v>
      </c>
      <c r="G187" s="2">
        <v>16250</v>
      </c>
      <c r="H187" s="2" t="s">
        <v>10</v>
      </c>
      <c r="I187" s="2">
        <f>ABS(DF[[#This Row],[Quantity_BEFORE]])</f>
        <v>2</v>
      </c>
      <c r="J187" s="2">
        <f>DF[[#This Row],[QUANTITY]]*DF[[#This Row],[UnitPrice]]</f>
        <v>15.9</v>
      </c>
    </row>
    <row r="188" spans="1:10" x14ac:dyDescent="0.25">
      <c r="A188" s="2">
        <v>536388</v>
      </c>
      <c r="B188" s="2">
        <v>21363</v>
      </c>
      <c r="C188" s="2" t="s">
        <v>178</v>
      </c>
      <c r="D188" s="2">
        <v>3</v>
      </c>
      <c r="E188" s="8">
        <v>40513.415972222225</v>
      </c>
      <c r="F188" s="2">
        <v>4.95</v>
      </c>
      <c r="G188" s="2">
        <v>16250</v>
      </c>
      <c r="H188" s="2" t="s">
        <v>10</v>
      </c>
      <c r="I188" s="2">
        <f>ABS(DF[[#This Row],[Quantity_BEFORE]])</f>
        <v>3</v>
      </c>
      <c r="J188" s="2">
        <f>DF[[#This Row],[QUANTITY]]*DF[[#This Row],[UnitPrice]]</f>
        <v>14.850000000000001</v>
      </c>
    </row>
    <row r="189" spans="1:10" x14ac:dyDescent="0.25">
      <c r="A189" s="2">
        <v>536388</v>
      </c>
      <c r="B189" s="2">
        <v>21411</v>
      </c>
      <c r="C189" s="2" t="s">
        <v>179</v>
      </c>
      <c r="D189" s="2">
        <v>3</v>
      </c>
      <c r="E189" s="8">
        <v>40513.415972222225</v>
      </c>
      <c r="F189" s="2">
        <v>4.25</v>
      </c>
      <c r="G189" s="2">
        <v>16250</v>
      </c>
      <c r="H189" s="2" t="s">
        <v>10</v>
      </c>
      <c r="I189" s="2">
        <f>ABS(DF[[#This Row],[Quantity_BEFORE]])</f>
        <v>3</v>
      </c>
      <c r="J189" s="2">
        <f>DF[[#This Row],[QUANTITY]]*DF[[#This Row],[UnitPrice]]</f>
        <v>12.75</v>
      </c>
    </row>
    <row r="190" spans="1:10" x14ac:dyDescent="0.25">
      <c r="A190" s="2">
        <v>536388</v>
      </c>
      <c r="B190" s="2">
        <v>22318</v>
      </c>
      <c r="C190" s="2" t="s">
        <v>180</v>
      </c>
      <c r="D190" s="2">
        <v>6</v>
      </c>
      <c r="E190" s="8">
        <v>40513.415972222225</v>
      </c>
      <c r="F190" s="2">
        <v>2.95</v>
      </c>
      <c r="G190" s="2">
        <v>16250</v>
      </c>
      <c r="H190" s="2" t="s">
        <v>10</v>
      </c>
      <c r="I190" s="2">
        <f>ABS(DF[[#This Row],[Quantity_BEFORE]])</f>
        <v>6</v>
      </c>
      <c r="J190" s="2">
        <f>DF[[#This Row],[QUANTITY]]*DF[[#This Row],[UnitPrice]]</f>
        <v>17.700000000000003</v>
      </c>
    </row>
    <row r="191" spans="1:10" x14ac:dyDescent="0.25">
      <c r="A191" s="2">
        <v>536388</v>
      </c>
      <c r="B191" s="2">
        <v>22464</v>
      </c>
      <c r="C191" s="2" t="s">
        <v>155</v>
      </c>
      <c r="D191" s="2">
        <v>12</v>
      </c>
      <c r="E191" s="8">
        <v>40513.415972222225</v>
      </c>
      <c r="F191" s="2">
        <v>1.65</v>
      </c>
      <c r="G191" s="2">
        <v>16250</v>
      </c>
      <c r="H191" s="2" t="s">
        <v>10</v>
      </c>
      <c r="I191" s="2">
        <f>ABS(DF[[#This Row],[Quantity_BEFORE]])</f>
        <v>12</v>
      </c>
      <c r="J191" s="2">
        <f>DF[[#This Row],[QUANTITY]]*DF[[#This Row],[UnitPrice]]</f>
        <v>19.799999999999997</v>
      </c>
    </row>
    <row r="192" spans="1:10" x14ac:dyDescent="0.25">
      <c r="A192" s="2">
        <v>536388</v>
      </c>
      <c r="B192" s="2">
        <v>22915</v>
      </c>
      <c r="C192" s="2" t="s">
        <v>181</v>
      </c>
      <c r="D192" s="2">
        <v>12</v>
      </c>
      <c r="E192" s="8">
        <v>40513.415972222225</v>
      </c>
      <c r="F192" s="2">
        <v>0.42</v>
      </c>
      <c r="G192" s="2">
        <v>16250</v>
      </c>
      <c r="H192" s="2" t="s">
        <v>10</v>
      </c>
      <c r="I192" s="2">
        <f>ABS(DF[[#This Row],[Quantity_BEFORE]])</f>
        <v>12</v>
      </c>
      <c r="J192" s="2">
        <f>DF[[#This Row],[QUANTITY]]*DF[[#This Row],[UnitPrice]]</f>
        <v>5.04</v>
      </c>
    </row>
    <row r="193" spans="1:10" x14ac:dyDescent="0.25">
      <c r="A193" s="2">
        <v>536388</v>
      </c>
      <c r="B193" s="2">
        <v>22922</v>
      </c>
      <c r="C193" s="2" t="s">
        <v>182</v>
      </c>
      <c r="D193" s="2">
        <v>12</v>
      </c>
      <c r="E193" s="8">
        <v>40513.415972222225</v>
      </c>
      <c r="F193" s="2">
        <v>0.85</v>
      </c>
      <c r="G193" s="2">
        <v>16250</v>
      </c>
      <c r="H193" s="2" t="s">
        <v>10</v>
      </c>
      <c r="I193" s="2">
        <f>ABS(DF[[#This Row],[Quantity_BEFORE]])</f>
        <v>12</v>
      </c>
      <c r="J193" s="2">
        <f>DF[[#This Row],[QUANTITY]]*DF[[#This Row],[UnitPrice]]</f>
        <v>10.199999999999999</v>
      </c>
    </row>
    <row r="194" spans="1:10" x14ac:dyDescent="0.25">
      <c r="A194" s="2">
        <v>536388</v>
      </c>
      <c r="B194" s="2">
        <v>22969</v>
      </c>
      <c r="C194" s="2" t="s">
        <v>183</v>
      </c>
      <c r="D194" s="2">
        <v>12</v>
      </c>
      <c r="E194" s="8">
        <v>40513.415972222225</v>
      </c>
      <c r="F194" s="2">
        <v>1.45</v>
      </c>
      <c r="G194" s="2">
        <v>16250</v>
      </c>
      <c r="H194" s="2" t="s">
        <v>10</v>
      </c>
      <c r="I194" s="2">
        <f>ABS(DF[[#This Row],[Quantity_BEFORE]])</f>
        <v>12</v>
      </c>
      <c r="J194" s="2">
        <f>DF[[#This Row],[QUANTITY]]*DF[[#This Row],[UnitPrice]]</f>
        <v>17.399999999999999</v>
      </c>
    </row>
    <row r="195" spans="1:10" x14ac:dyDescent="0.25">
      <c r="A195" s="2">
        <v>536388</v>
      </c>
      <c r="B195" s="2">
        <v>22923</v>
      </c>
      <c r="C195" s="2" t="s">
        <v>184</v>
      </c>
      <c r="D195" s="2">
        <v>12</v>
      </c>
      <c r="E195" s="8">
        <v>40513.415972222225</v>
      </c>
      <c r="F195" s="2">
        <v>0.85</v>
      </c>
      <c r="G195" s="2">
        <v>16250</v>
      </c>
      <c r="H195" s="2" t="s">
        <v>10</v>
      </c>
      <c r="I195" s="2">
        <f>ABS(DF[[#This Row],[Quantity_BEFORE]])</f>
        <v>12</v>
      </c>
      <c r="J195" s="2">
        <f>DF[[#This Row],[QUANTITY]]*DF[[#This Row],[UnitPrice]]</f>
        <v>10.199999999999999</v>
      </c>
    </row>
    <row r="196" spans="1:10" x14ac:dyDescent="0.25">
      <c r="A196" s="2">
        <v>536388</v>
      </c>
      <c r="B196" s="2">
        <v>21115</v>
      </c>
      <c r="C196" s="2" t="s">
        <v>185</v>
      </c>
      <c r="D196" s="2">
        <v>4</v>
      </c>
      <c r="E196" s="8">
        <v>40513.415972222225</v>
      </c>
      <c r="F196" s="2">
        <v>6.75</v>
      </c>
      <c r="G196" s="2">
        <v>16250</v>
      </c>
      <c r="H196" s="2" t="s">
        <v>10</v>
      </c>
      <c r="I196" s="2">
        <f>ABS(DF[[#This Row],[Quantity_BEFORE]])</f>
        <v>4</v>
      </c>
      <c r="J196" s="2">
        <f>DF[[#This Row],[QUANTITY]]*DF[[#This Row],[UnitPrice]]</f>
        <v>27</v>
      </c>
    </row>
    <row r="197" spans="1:10" x14ac:dyDescent="0.25">
      <c r="A197" s="2">
        <v>536388</v>
      </c>
      <c r="B197" s="2">
        <v>22469</v>
      </c>
      <c r="C197" s="2" t="s">
        <v>158</v>
      </c>
      <c r="D197" s="2">
        <v>12</v>
      </c>
      <c r="E197" s="8">
        <v>40513.415972222225</v>
      </c>
      <c r="F197" s="2">
        <v>1.65</v>
      </c>
      <c r="G197" s="2">
        <v>16250</v>
      </c>
      <c r="H197" s="2" t="s">
        <v>10</v>
      </c>
      <c r="I197" s="2">
        <f>ABS(DF[[#This Row],[Quantity_BEFORE]])</f>
        <v>12</v>
      </c>
      <c r="J197" s="2">
        <f>DF[[#This Row],[QUANTITY]]*DF[[#This Row],[UnitPrice]]</f>
        <v>19.799999999999997</v>
      </c>
    </row>
    <row r="198" spans="1:10" x14ac:dyDescent="0.25">
      <c r="A198" s="2">
        <v>536388</v>
      </c>
      <c r="B198" s="2">
        <v>22242</v>
      </c>
      <c r="C198" s="2" t="s">
        <v>186</v>
      </c>
      <c r="D198" s="2">
        <v>12</v>
      </c>
      <c r="E198" s="8">
        <v>40513.415972222225</v>
      </c>
      <c r="F198" s="2">
        <v>1.65</v>
      </c>
      <c r="G198" s="2">
        <v>16250</v>
      </c>
      <c r="H198" s="2" t="s">
        <v>10</v>
      </c>
      <c r="I198" s="2">
        <f>ABS(DF[[#This Row],[Quantity_BEFORE]])</f>
        <v>12</v>
      </c>
      <c r="J198" s="2">
        <f>DF[[#This Row],[QUANTITY]]*DF[[#This Row],[UnitPrice]]</f>
        <v>19.799999999999997</v>
      </c>
    </row>
    <row r="199" spans="1:10" x14ac:dyDescent="0.25">
      <c r="A199" s="2">
        <v>536389</v>
      </c>
      <c r="B199" s="2">
        <v>22941</v>
      </c>
      <c r="C199" s="2" t="s">
        <v>187</v>
      </c>
      <c r="D199" s="2">
        <v>6</v>
      </c>
      <c r="E199" s="8">
        <v>40513.418749999997</v>
      </c>
      <c r="F199" s="2">
        <v>8.5</v>
      </c>
      <c r="G199" s="2">
        <v>12431</v>
      </c>
      <c r="H199" s="2" t="s">
        <v>188</v>
      </c>
      <c r="I199" s="2">
        <f>ABS(DF[[#This Row],[Quantity_BEFORE]])</f>
        <v>6</v>
      </c>
      <c r="J199" s="2">
        <f>DF[[#This Row],[QUANTITY]]*DF[[#This Row],[UnitPrice]]</f>
        <v>51</v>
      </c>
    </row>
    <row r="200" spans="1:10" x14ac:dyDescent="0.25">
      <c r="A200" s="2">
        <v>536389</v>
      </c>
      <c r="B200" s="2">
        <v>21622</v>
      </c>
      <c r="C200" s="2" t="s">
        <v>189</v>
      </c>
      <c r="D200" s="2">
        <v>8</v>
      </c>
      <c r="E200" s="8">
        <v>40513.418749999997</v>
      </c>
      <c r="F200" s="2">
        <v>4.95</v>
      </c>
      <c r="G200" s="2">
        <v>12431</v>
      </c>
      <c r="H200" s="2" t="s">
        <v>188</v>
      </c>
      <c r="I200" s="2">
        <f>ABS(DF[[#This Row],[Quantity_BEFORE]])</f>
        <v>8</v>
      </c>
      <c r="J200" s="2">
        <f>DF[[#This Row],[QUANTITY]]*DF[[#This Row],[UnitPrice]]</f>
        <v>39.6</v>
      </c>
    </row>
    <row r="201" spans="1:10" x14ac:dyDescent="0.25">
      <c r="A201" s="2">
        <v>536389</v>
      </c>
      <c r="B201" s="2">
        <v>21791</v>
      </c>
      <c r="C201" s="2" t="s">
        <v>46</v>
      </c>
      <c r="D201" s="2">
        <v>12</v>
      </c>
      <c r="E201" s="8">
        <v>40513.418749999997</v>
      </c>
      <c r="F201" s="2">
        <v>1.25</v>
      </c>
      <c r="G201" s="2">
        <v>12431</v>
      </c>
      <c r="H201" s="2" t="s">
        <v>188</v>
      </c>
      <c r="I201" s="2">
        <f>ABS(DF[[#This Row],[Quantity_BEFORE]])</f>
        <v>12</v>
      </c>
      <c r="J201" s="2">
        <f>DF[[#This Row],[QUANTITY]]*DF[[#This Row],[UnitPrice]]</f>
        <v>15</v>
      </c>
    </row>
    <row r="202" spans="1:10" x14ac:dyDescent="0.25">
      <c r="A202" s="2">
        <v>536389</v>
      </c>
      <c r="B202" s="2" t="s">
        <v>151</v>
      </c>
      <c r="C202" s="2" t="s">
        <v>152</v>
      </c>
      <c r="D202" s="2">
        <v>6</v>
      </c>
      <c r="E202" s="8">
        <v>40513.418749999997</v>
      </c>
      <c r="F202" s="2">
        <v>5.45</v>
      </c>
      <c r="G202" s="2">
        <v>12431</v>
      </c>
      <c r="H202" s="2" t="s">
        <v>188</v>
      </c>
      <c r="I202" s="2">
        <f>ABS(DF[[#This Row],[Quantity_BEFORE]])</f>
        <v>6</v>
      </c>
      <c r="J202" s="2">
        <f>DF[[#This Row],[QUANTITY]]*DF[[#This Row],[UnitPrice]]</f>
        <v>32.700000000000003</v>
      </c>
    </row>
    <row r="203" spans="1:10" x14ac:dyDescent="0.25">
      <c r="A203" s="2">
        <v>536389</v>
      </c>
      <c r="B203" s="2" t="s">
        <v>190</v>
      </c>
      <c r="C203" s="2" t="s">
        <v>191</v>
      </c>
      <c r="D203" s="2">
        <v>4</v>
      </c>
      <c r="E203" s="8">
        <v>40513.418749999997</v>
      </c>
      <c r="F203" s="2">
        <v>6.35</v>
      </c>
      <c r="G203" s="2">
        <v>12431</v>
      </c>
      <c r="H203" s="2" t="s">
        <v>188</v>
      </c>
      <c r="I203" s="2">
        <f>ABS(DF[[#This Row],[Quantity_BEFORE]])</f>
        <v>4</v>
      </c>
      <c r="J203" s="2">
        <f>DF[[#This Row],[QUANTITY]]*DF[[#This Row],[UnitPrice]]</f>
        <v>25.4</v>
      </c>
    </row>
    <row r="204" spans="1:10" x14ac:dyDescent="0.25">
      <c r="A204" s="2">
        <v>536389</v>
      </c>
      <c r="B204" s="2" t="s">
        <v>192</v>
      </c>
      <c r="C204" s="2" t="s">
        <v>193</v>
      </c>
      <c r="D204" s="2">
        <v>6</v>
      </c>
      <c r="E204" s="8">
        <v>40513.418749999997</v>
      </c>
      <c r="F204" s="2">
        <v>5.95</v>
      </c>
      <c r="G204" s="2">
        <v>12431</v>
      </c>
      <c r="H204" s="2" t="s">
        <v>188</v>
      </c>
      <c r="I204" s="2">
        <f>ABS(DF[[#This Row],[Quantity_BEFORE]])</f>
        <v>6</v>
      </c>
      <c r="J204" s="2">
        <f>DF[[#This Row],[QUANTITY]]*DF[[#This Row],[UnitPrice]]</f>
        <v>35.700000000000003</v>
      </c>
    </row>
    <row r="205" spans="1:10" x14ac:dyDescent="0.25">
      <c r="A205" s="2">
        <v>536389</v>
      </c>
      <c r="B205" s="2" t="s">
        <v>194</v>
      </c>
      <c r="C205" s="2" t="s">
        <v>195</v>
      </c>
      <c r="D205" s="2">
        <v>3</v>
      </c>
      <c r="E205" s="8">
        <v>40513.418749999997</v>
      </c>
      <c r="F205" s="2">
        <v>5.95</v>
      </c>
      <c r="G205" s="2">
        <v>12431</v>
      </c>
      <c r="H205" s="2" t="s">
        <v>188</v>
      </c>
      <c r="I205" s="2">
        <f>ABS(DF[[#This Row],[Quantity_BEFORE]])</f>
        <v>3</v>
      </c>
      <c r="J205" s="2">
        <f>DF[[#This Row],[QUANTITY]]*DF[[#This Row],[UnitPrice]]</f>
        <v>17.850000000000001</v>
      </c>
    </row>
    <row r="206" spans="1:10" x14ac:dyDescent="0.25">
      <c r="A206" s="2">
        <v>536389</v>
      </c>
      <c r="B206" s="2">
        <v>22193</v>
      </c>
      <c r="C206" s="2" t="s">
        <v>196</v>
      </c>
      <c r="D206" s="2">
        <v>2</v>
      </c>
      <c r="E206" s="8">
        <v>40513.418749999997</v>
      </c>
      <c r="F206" s="2">
        <v>8.5</v>
      </c>
      <c r="G206" s="2">
        <v>12431</v>
      </c>
      <c r="H206" s="2" t="s">
        <v>188</v>
      </c>
      <c r="I206" s="2">
        <f>ABS(DF[[#This Row],[Quantity_BEFORE]])</f>
        <v>2</v>
      </c>
      <c r="J206" s="2">
        <f>DF[[#This Row],[QUANTITY]]*DF[[#This Row],[UnitPrice]]</f>
        <v>17</v>
      </c>
    </row>
    <row r="207" spans="1:10" x14ac:dyDescent="0.25">
      <c r="A207" s="2">
        <v>536389</v>
      </c>
      <c r="B207" s="2">
        <v>22726</v>
      </c>
      <c r="C207" s="2" t="s">
        <v>42</v>
      </c>
      <c r="D207" s="2">
        <v>4</v>
      </c>
      <c r="E207" s="8">
        <v>40513.418749999997</v>
      </c>
      <c r="F207" s="2">
        <v>3.75</v>
      </c>
      <c r="G207" s="2">
        <v>12431</v>
      </c>
      <c r="H207" s="2" t="s">
        <v>188</v>
      </c>
      <c r="I207" s="2">
        <f>ABS(DF[[#This Row],[Quantity_BEFORE]])</f>
        <v>4</v>
      </c>
      <c r="J207" s="2">
        <f>DF[[#This Row],[QUANTITY]]*DF[[#This Row],[UnitPrice]]</f>
        <v>15</v>
      </c>
    </row>
    <row r="208" spans="1:10" x14ac:dyDescent="0.25">
      <c r="A208" s="2">
        <v>536389</v>
      </c>
      <c r="B208" s="2">
        <v>22727</v>
      </c>
      <c r="C208" s="2" t="s">
        <v>41</v>
      </c>
      <c r="D208" s="2">
        <v>4</v>
      </c>
      <c r="E208" s="8">
        <v>40513.418749999997</v>
      </c>
      <c r="F208" s="2">
        <v>3.75</v>
      </c>
      <c r="G208" s="2">
        <v>12431</v>
      </c>
      <c r="H208" s="2" t="s">
        <v>188</v>
      </c>
      <c r="I208" s="2">
        <f>ABS(DF[[#This Row],[Quantity_BEFORE]])</f>
        <v>4</v>
      </c>
      <c r="J208" s="2">
        <f>DF[[#This Row],[QUANTITY]]*DF[[#This Row],[UnitPrice]]</f>
        <v>15</v>
      </c>
    </row>
    <row r="209" spans="1:10" x14ac:dyDescent="0.25">
      <c r="A209" s="2">
        <v>536389</v>
      </c>
      <c r="B209" s="2">
        <v>22192</v>
      </c>
      <c r="C209" s="2" t="s">
        <v>197</v>
      </c>
      <c r="D209" s="2">
        <v>2</v>
      </c>
      <c r="E209" s="8">
        <v>40513.418749999997</v>
      </c>
      <c r="F209" s="2">
        <v>8.5</v>
      </c>
      <c r="G209" s="2">
        <v>12431</v>
      </c>
      <c r="H209" s="2" t="s">
        <v>188</v>
      </c>
      <c r="I209" s="2">
        <f>ABS(DF[[#This Row],[Quantity_BEFORE]])</f>
        <v>2</v>
      </c>
      <c r="J209" s="2">
        <f>DF[[#This Row],[QUANTITY]]*DF[[#This Row],[UnitPrice]]</f>
        <v>17</v>
      </c>
    </row>
    <row r="210" spans="1:10" x14ac:dyDescent="0.25">
      <c r="A210" s="2">
        <v>536389</v>
      </c>
      <c r="B210" s="2">
        <v>22191</v>
      </c>
      <c r="C210" s="2" t="s">
        <v>198</v>
      </c>
      <c r="D210" s="2">
        <v>2</v>
      </c>
      <c r="E210" s="8">
        <v>40513.418749999997</v>
      </c>
      <c r="F210" s="2">
        <v>8.5</v>
      </c>
      <c r="G210" s="2">
        <v>12431</v>
      </c>
      <c r="H210" s="2" t="s">
        <v>188</v>
      </c>
      <c r="I210" s="2">
        <f>ABS(DF[[#This Row],[Quantity_BEFORE]])</f>
        <v>2</v>
      </c>
      <c r="J210" s="2">
        <f>DF[[#This Row],[QUANTITY]]*DF[[#This Row],[UnitPrice]]</f>
        <v>17</v>
      </c>
    </row>
    <row r="211" spans="1:10" x14ac:dyDescent="0.25">
      <c r="A211" s="2">
        <v>536389</v>
      </c>
      <c r="B211" s="2">
        <v>22195</v>
      </c>
      <c r="C211" s="2" t="s">
        <v>199</v>
      </c>
      <c r="D211" s="2">
        <v>24</v>
      </c>
      <c r="E211" s="8">
        <v>40513.418749999997</v>
      </c>
      <c r="F211" s="2">
        <v>1.65</v>
      </c>
      <c r="G211" s="2">
        <v>12431</v>
      </c>
      <c r="H211" s="2" t="s">
        <v>188</v>
      </c>
      <c r="I211" s="2">
        <f>ABS(DF[[#This Row],[Quantity_BEFORE]])</f>
        <v>24</v>
      </c>
      <c r="J211" s="2">
        <f>DF[[#This Row],[QUANTITY]]*DF[[#This Row],[UnitPrice]]</f>
        <v>39.599999999999994</v>
      </c>
    </row>
    <row r="212" spans="1:10" x14ac:dyDescent="0.25">
      <c r="A212" s="2">
        <v>536389</v>
      </c>
      <c r="B212" s="2">
        <v>22196</v>
      </c>
      <c r="C212" s="2" t="s">
        <v>200</v>
      </c>
      <c r="D212" s="2">
        <v>24</v>
      </c>
      <c r="E212" s="8">
        <v>40513.418749999997</v>
      </c>
      <c r="F212" s="2">
        <v>0.85</v>
      </c>
      <c r="G212" s="2">
        <v>12431</v>
      </c>
      <c r="H212" s="2" t="s">
        <v>188</v>
      </c>
      <c r="I212" s="2">
        <f>ABS(DF[[#This Row],[Quantity_BEFORE]])</f>
        <v>24</v>
      </c>
      <c r="J212" s="2">
        <f>DF[[#This Row],[QUANTITY]]*DF[[#This Row],[UnitPrice]]</f>
        <v>20.399999999999999</v>
      </c>
    </row>
    <row r="213" spans="1:10" x14ac:dyDescent="0.25">
      <c r="A213" s="2">
        <v>536390</v>
      </c>
      <c r="B213" s="2">
        <v>22941</v>
      </c>
      <c r="C213" s="2" t="s">
        <v>187</v>
      </c>
      <c r="D213" s="2">
        <v>2</v>
      </c>
      <c r="E213" s="8">
        <v>40513.429861111108</v>
      </c>
      <c r="F213" s="2">
        <v>8.5</v>
      </c>
      <c r="G213" s="2">
        <v>17511</v>
      </c>
      <c r="H213" s="2" t="s">
        <v>10</v>
      </c>
      <c r="I213" s="2">
        <f>ABS(DF[[#This Row],[Quantity_BEFORE]])</f>
        <v>2</v>
      </c>
      <c r="J213" s="2">
        <f>DF[[#This Row],[QUANTITY]]*DF[[#This Row],[UnitPrice]]</f>
        <v>17</v>
      </c>
    </row>
    <row r="214" spans="1:10" x14ac:dyDescent="0.25">
      <c r="A214" s="2">
        <v>536390</v>
      </c>
      <c r="B214" s="2">
        <v>22960</v>
      </c>
      <c r="C214" s="2" t="s">
        <v>34</v>
      </c>
      <c r="D214" s="2">
        <v>12</v>
      </c>
      <c r="E214" s="8">
        <v>40513.429861111108</v>
      </c>
      <c r="F214" s="2">
        <v>3.75</v>
      </c>
      <c r="G214" s="2">
        <v>17511</v>
      </c>
      <c r="H214" s="2" t="s">
        <v>10</v>
      </c>
      <c r="I214" s="2">
        <f>ABS(DF[[#This Row],[Quantity_BEFORE]])</f>
        <v>12</v>
      </c>
      <c r="J214" s="2">
        <f>DF[[#This Row],[QUANTITY]]*DF[[#This Row],[UnitPrice]]</f>
        <v>45</v>
      </c>
    </row>
    <row r="215" spans="1:10" x14ac:dyDescent="0.25">
      <c r="A215" s="2">
        <v>536390</v>
      </c>
      <c r="B215" s="2">
        <v>22961</v>
      </c>
      <c r="C215" s="2" t="s">
        <v>100</v>
      </c>
      <c r="D215" s="2">
        <v>12</v>
      </c>
      <c r="E215" s="8">
        <v>40513.429861111108</v>
      </c>
      <c r="F215" s="2">
        <v>1.45</v>
      </c>
      <c r="G215" s="2">
        <v>17511</v>
      </c>
      <c r="H215" s="2" t="s">
        <v>10</v>
      </c>
      <c r="I215" s="2">
        <f>ABS(DF[[#This Row],[Quantity_BEFORE]])</f>
        <v>12</v>
      </c>
      <c r="J215" s="2">
        <f>DF[[#This Row],[QUANTITY]]*DF[[#This Row],[UnitPrice]]</f>
        <v>17.399999999999999</v>
      </c>
    </row>
    <row r="216" spans="1:10" x14ac:dyDescent="0.25">
      <c r="A216" s="2">
        <v>536390</v>
      </c>
      <c r="B216" s="2">
        <v>22962</v>
      </c>
      <c r="C216" s="2" t="s">
        <v>201</v>
      </c>
      <c r="D216" s="2">
        <v>48</v>
      </c>
      <c r="E216" s="8">
        <v>40513.429861111108</v>
      </c>
      <c r="F216" s="2">
        <v>0.72</v>
      </c>
      <c r="G216" s="2">
        <v>17511</v>
      </c>
      <c r="H216" s="2" t="s">
        <v>10</v>
      </c>
      <c r="I216" s="2">
        <f>ABS(DF[[#This Row],[Quantity_BEFORE]])</f>
        <v>48</v>
      </c>
      <c r="J216" s="2">
        <f>DF[[#This Row],[QUANTITY]]*DF[[#This Row],[UnitPrice]]</f>
        <v>34.56</v>
      </c>
    </row>
    <row r="217" spans="1:10" x14ac:dyDescent="0.25">
      <c r="A217" s="2">
        <v>536390</v>
      </c>
      <c r="B217" s="2">
        <v>22963</v>
      </c>
      <c r="C217" s="2" t="s">
        <v>202</v>
      </c>
      <c r="D217" s="2">
        <v>48</v>
      </c>
      <c r="E217" s="8">
        <v>40513.429861111108</v>
      </c>
      <c r="F217" s="2">
        <v>0.72</v>
      </c>
      <c r="G217" s="2">
        <v>17511</v>
      </c>
      <c r="H217" s="2" t="s">
        <v>10</v>
      </c>
      <c r="I217" s="2">
        <f>ABS(DF[[#This Row],[Quantity_BEFORE]])</f>
        <v>48</v>
      </c>
      <c r="J217" s="2">
        <f>DF[[#This Row],[QUANTITY]]*DF[[#This Row],[UnitPrice]]</f>
        <v>34.56</v>
      </c>
    </row>
    <row r="218" spans="1:10" x14ac:dyDescent="0.25">
      <c r="A218" s="2">
        <v>536390</v>
      </c>
      <c r="B218" s="2">
        <v>22968</v>
      </c>
      <c r="C218" s="2" t="s">
        <v>203</v>
      </c>
      <c r="D218" s="2">
        <v>8</v>
      </c>
      <c r="E218" s="8">
        <v>40513.429861111108</v>
      </c>
      <c r="F218" s="2">
        <v>8.5</v>
      </c>
      <c r="G218" s="2">
        <v>17511</v>
      </c>
      <c r="H218" s="2" t="s">
        <v>10</v>
      </c>
      <c r="I218" s="2">
        <f>ABS(DF[[#This Row],[Quantity_BEFORE]])</f>
        <v>8</v>
      </c>
      <c r="J218" s="2">
        <f>DF[[#This Row],[QUANTITY]]*DF[[#This Row],[UnitPrice]]</f>
        <v>68</v>
      </c>
    </row>
    <row r="219" spans="1:10" x14ac:dyDescent="0.25">
      <c r="A219" s="2">
        <v>536390</v>
      </c>
      <c r="B219" s="2" t="s">
        <v>204</v>
      </c>
      <c r="C219" s="2" t="s">
        <v>205</v>
      </c>
      <c r="D219" s="2">
        <v>144</v>
      </c>
      <c r="E219" s="8">
        <v>40513.429861111108</v>
      </c>
      <c r="F219" s="2">
        <v>0.64</v>
      </c>
      <c r="G219" s="2">
        <v>17511</v>
      </c>
      <c r="H219" s="2" t="s">
        <v>10</v>
      </c>
      <c r="I219" s="2">
        <f>ABS(DF[[#This Row],[Quantity_BEFORE]])</f>
        <v>144</v>
      </c>
      <c r="J219" s="2">
        <f>DF[[#This Row],[QUANTITY]]*DF[[#This Row],[UnitPrice]]</f>
        <v>92.16</v>
      </c>
    </row>
    <row r="220" spans="1:10" x14ac:dyDescent="0.25">
      <c r="A220" s="2">
        <v>536390</v>
      </c>
      <c r="B220" s="2">
        <v>22910</v>
      </c>
      <c r="C220" s="2" t="s">
        <v>206</v>
      </c>
      <c r="D220" s="2">
        <v>40</v>
      </c>
      <c r="E220" s="8">
        <v>40513.429861111108</v>
      </c>
      <c r="F220" s="2">
        <v>2.5499999999999998</v>
      </c>
      <c r="G220" s="2">
        <v>17511</v>
      </c>
      <c r="H220" s="2" t="s">
        <v>10</v>
      </c>
      <c r="I220" s="2">
        <f>ABS(DF[[#This Row],[Quantity_BEFORE]])</f>
        <v>40</v>
      </c>
      <c r="J220" s="2">
        <f>DF[[#This Row],[QUANTITY]]*DF[[#This Row],[UnitPrice]]</f>
        <v>102</v>
      </c>
    </row>
    <row r="221" spans="1:10" x14ac:dyDescent="0.25">
      <c r="A221" s="2">
        <v>536390</v>
      </c>
      <c r="B221" s="2">
        <v>20668</v>
      </c>
      <c r="C221" s="2" t="s">
        <v>207</v>
      </c>
      <c r="D221" s="2">
        <v>288</v>
      </c>
      <c r="E221" s="8">
        <v>40513.429861111108</v>
      </c>
      <c r="F221" s="2">
        <v>0.1</v>
      </c>
      <c r="G221" s="2">
        <v>17511</v>
      </c>
      <c r="H221" s="2" t="s">
        <v>10</v>
      </c>
      <c r="I221" s="2">
        <f>ABS(DF[[#This Row],[Quantity_BEFORE]])</f>
        <v>288</v>
      </c>
      <c r="J221" s="2">
        <f>DF[[#This Row],[QUANTITY]]*DF[[#This Row],[UnitPrice]]</f>
        <v>28.8</v>
      </c>
    </row>
    <row r="222" spans="1:10" x14ac:dyDescent="0.25">
      <c r="A222" s="2">
        <v>536390</v>
      </c>
      <c r="B222" s="2" t="s">
        <v>8</v>
      </c>
      <c r="C222" s="2" t="s">
        <v>9</v>
      </c>
      <c r="D222" s="2">
        <v>64</v>
      </c>
      <c r="E222" s="8">
        <v>40513.429861111108</v>
      </c>
      <c r="F222" s="2">
        <v>2.5499999999999998</v>
      </c>
      <c r="G222" s="2">
        <v>17511</v>
      </c>
      <c r="H222" s="2" t="s">
        <v>10</v>
      </c>
      <c r="I222" s="2">
        <f>ABS(DF[[#This Row],[Quantity_BEFORE]])</f>
        <v>64</v>
      </c>
      <c r="J222" s="2">
        <f>DF[[#This Row],[QUANTITY]]*DF[[#This Row],[UnitPrice]]</f>
        <v>163.19999999999999</v>
      </c>
    </row>
    <row r="223" spans="1:10" x14ac:dyDescent="0.25">
      <c r="A223" s="2">
        <v>536390</v>
      </c>
      <c r="B223" s="2">
        <v>22197</v>
      </c>
      <c r="C223" s="2" t="s">
        <v>208</v>
      </c>
      <c r="D223" s="2">
        <v>100</v>
      </c>
      <c r="E223" s="8">
        <v>40513.429861111108</v>
      </c>
      <c r="F223" s="2">
        <v>0.72</v>
      </c>
      <c r="G223" s="2">
        <v>17511</v>
      </c>
      <c r="H223" s="2" t="s">
        <v>10</v>
      </c>
      <c r="I223" s="2">
        <f>ABS(DF[[#This Row],[Quantity_BEFORE]])</f>
        <v>100</v>
      </c>
      <c r="J223" s="2">
        <f>DF[[#This Row],[QUANTITY]]*DF[[#This Row],[UnitPrice]]</f>
        <v>72</v>
      </c>
    </row>
    <row r="224" spans="1:10" x14ac:dyDescent="0.25">
      <c r="A224" s="2">
        <v>536390</v>
      </c>
      <c r="B224" s="2">
        <v>22198</v>
      </c>
      <c r="C224" s="2" t="s">
        <v>209</v>
      </c>
      <c r="D224" s="2">
        <v>50</v>
      </c>
      <c r="E224" s="8">
        <v>40513.429861111108</v>
      </c>
      <c r="F224" s="2">
        <v>1.45</v>
      </c>
      <c r="G224" s="2">
        <v>17511</v>
      </c>
      <c r="H224" s="2" t="s">
        <v>10</v>
      </c>
      <c r="I224" s="2">
        <f>ABS(DF[[#This Row],[Quantity_BEFORE]])</f>
        <v>50</v>
      </c>
      <c r="J224" s="2">
        <f>DF[[#This Row],[QUANTITY]]*DF[[#This Row],[UnitPrice]]</f>
        <v>72.5</v>
      </c>
    </row>
    <row r="225" spans="1:10" x14ac:dyDescent="0.25">
      <c r="A225" s="2">
        <v>536390</v>
      </c>
      <c r="B225" s="2">
        <v>21533</v>
      </c>
      <c r="C225" s="2" t="s">
        <v>126</v>
      </c>
      <c r="D225" s="2">
        <v>12</v>
      </c>
      <c r="E225" s="8">
        <v>40513.429861111108</v>
      </c>
      <c r="F225" s="2">
        <v>4.25</v>
      </c>
      <c r="G225" s="2">
        <v>17511</v>
      </c>
      <c r="H225" s="2" t="s">
        <v>10</v>
      </c>
      <c r="I225" s="2">
        <f>ABS(DF[[#This Row],[Quantity_BEFORE]])</f>
        <v>12</v>
      </c>
      <c r="J225" s="2">
        <f>DF[[#This Row],[QUANTITY]]*DF[[#This Row],[UnitPrice]]</f>
        <v>51</v>
      </c>
    </row>
    <row r="226" spans="1:10" x14ac:dyDescent="0.25">
      <c r="A226" s="2">
        <v>536390</v>
      </c>
      <c r="B226" s="2">
        <v>21080</v>
      </c>
      <c r="C226" s="2" t="s">
        <v>210</v>
      </c>
      <c r="D226" s="2">
        <v>96</v>
      </c>
      <c r="E226" s="8">
        <v>40513.429861111108</v>
      </c>
      <c r="F226" s="2">
        <v>0.64</v>
      </c>
      <c r="G226" s="2">
        <v>17511</v>
      </c>
      <c r="H226" s="2" t="s">
        <v>10</v>
      </c>
      <c r="I226" s="2">
        <f>ABS(DF[[#This Row],[Quantity_BEFORE]])</f>
        <v>96</v>
      </c>
      <c r="J226" s="2">
        <f>DF[[#This Row],[QUANTITY]]*DF[[#This Row],[UnitPrice]]</f>
        <v>61.44</v>
      </c>
    </row>
    <row r="227" spans="1:10" x14ac:dyDescent="0.25">
      <c r="A227" s="2">
        <v>536390</v>
      </c>
      <c r="B227" s="2">
        <v>21094</v>
      </c>
      <c r="C227" s="2" t="s">
        <v>84</v>
      </c>
      <c r="D227" s="2">
        <v>96</v>
      </c>
      <c r="E227" s="8">
        <v>40513.429861111108</v>
      </c>
      <c r="F227" s="2">
        <v>0.64</v>
      </c>
      <c r="G227" s="2">
        <v>17511</v>
      </c>
      <c r="H227" s="2" t="s">
        <v>10</v>
      </c>
      <c r="I227" s="2">
        <f>ABS(DF[[#This Row],[Quantity_BEFORE]])</f>
        <v>96</v>
      </c>
      <c r="J227" s="2">
        <f>DF[[#This Row],[QUANTITY]]*DF[[#This Row],[UnitPrice]]</f>
        <v>61.44</v>
      </c>
    </row>
    <row r="228" spans="1:10" x14ac:dyDescent="0.25">
      <c r="A228" s="2">
        <v>536390</v>
      </c>
      <c r="B228" s="2">
        <v>21086</v>
      </c>
      <c r="C228" s="2" t="s">
        <v>211</v>
      </c>
      <c r="D228" s="2">
        <v>48</v>
      </c>
      <c r="E228" s="8">
        <v>40513.429861111108</v>
      </c>
      <c r="F228" s="2">
        <v>0.65</v>
      </c>
      <c r="G228" s="2">
        <v>17511</v>
      </c>
      <c r="H228" s="2" t="s">
        <v>10</v>
      </c>
      <c r="I228" s="2">
        <f>ABS(DF[[#This Row],[Quantity_BEFORE]])</f>
        <v>48</v>
      </c>
      <c r="J228" s="2">
        <f>DF[[#This Row],[QUANTITY]]*DF[[#This Row],[UnitPrice]]</f>
        <v>31.200000000000003</v>
      </c>
    </row>
    <row r="229" spans="1:10" x14ac:dyDescent="0.25">
      <c r="A229" s="2">
        <v>536390</v>
      </c>
      <c r="B229" s="2">
        <v>21786</v>
      </c>
      <c r="C229" s="2" t="s">
        <v>212</v>
      </c>
      <c r="D229" s="2">
        <v>144</v>
      </c>
      <c r="E229" s="8">
        <v>40513.429861111108</v>
      </c>
      <c r="F229" s="2">
        <v>0.32</v>
      </c>
      <c r="G229" s="2">
        <v>17511</v>
      </c>
      <c r="H229" s="2" t="s">
        <v>10</v>
      </c>
      <c r="I229" s="2">
        <f>ABS(DF[[#This Row],[Quantity_BEFORE]])</f>
        <v>144</v>
      </c>
      <c r="J229" s="2">
        <f>DF[[#This Row],[QUANTITY]]*DF[[#This Row],[UnitPrice]]</f>
        <v>46.08</v>
      </c>
    </row>
    <row r="230" spans="1:10" x14ac:dyDescent="0.25">
      <c r="A230" s="2">
        <v>536390</v>
      </c>
      <c r="B230" s="2">
        <v>22654</v>
      </c>
      <c r="C230" s="2" t="s">
        <v>213</v>
      </c>
      <c r="D230" s="2">
        <v>40</v>
      </c>
      <c r="E230" s="8">
        <v>40513.429861111108</v>
      </c>
      <c r="F230" s="2">
        <v>4.95</v>
      </c>
      <c r="G230" s="2">
        <v>17511</v>
      </c>
      <c r="H230" s="2" t="s">
        <v>10</v>
      </c>
      <c r="I230" s="2">
        <f>ABS(DF[[#This Row],[Quantity_BEFORE]])</f>
        <v>40</v>
      </c>
      <c r="J230" s="2">
        <f>DF[[#This Row],[QUANTITY]]*DF[[#This Row],[UnitPrice]]</f>
        <v>198</v>
      </c>
    </row>
    <row r="231" spans="1:10" x14ac:dyDescent="0.25">
      <c r="A231" s="2">
        <v>536390</v>
      </c>
      <c r="B231" s="2">
        <v>21485</v>
      </c>
      <c r="C231" s="2" t="s">
        <v>214</v>
      </c>
      <c r="D231" s="2">
        <v>24</v>
      </c>
      <c r="E231" s="8">
        <v>40513.429861111108</v>
      </c>
      <c r="F231" s="2">
        <v>4.25</v>
      </c>
      <c r="G231" s="2">
        <v>17511</v>
      </c>
      <c r="H231" s="2" t="s">
        <v>10</v>
      </c>
      <c r="I231" s="2">
        <f>ABS(DF[[#This Row],[Quantity_BEFORE]])</f>
        <v>24</v>
      </c>
      <c r="J231" s="2">
        <f>DF[[#This Row],[QUANTITY]]*DF[[#This Row],[UnitPrice]]</f>
        <v>102</v>
      </c>
    </row>
    <row r="232" spans="1:10" x14ac:dyDescent="0.25">
      <c r="A232" s="2">
        <v>536390</v>
      </c>
      <c r="B232" s="2" t="s">
        <v>14</v>
      </c>
      <c r="C232" s="2" t="s">
        <v>15</v>
      </c>
      <c r="D232" s="2">
        <v>24</v>
      </c>
      <c r="E232" s="8">
        <v>40513.429861111108</v>
      </c>
      <c r="F232" s="2">
        <v>3.39</v>
      </c>
      <c r="G232" s="2">
        <v>17511</v>
      </c>
      <c r="H232" s="2" t="s">
        <v>10</v>
      </c>
      <c r="I232" s="2">
        <f>ABS(DF[[#This Row],[Quantity_BEFORE]])</f>
        <v>24</v>
      </c>
      <c r="J232" s="2">
        <f>DF[[#This Row],[QUANTITY]]*DF[[#This Row],[UnitPrice]]</f>
        <v>81.36</v>
      </c>
    </row>
    <row r="233" spans="1:10" x14ac:dyDescent="0.25">
      <c r="A233" s="2">
        <v>536390</v>
      </c>
      <c r="B233" s="2" t="s">
        <v>215</v>
      </c>
      <c r="C233" s="2" t="s">
        <v>216</v>
      </c>
      <c r="D233" s="2">
        <v>24</v>
      </c>
      <c r="E233" s="8">
        <v>40513.429861111108</v>
      </c>
      <c r="F233" s="2">
        <v>3.75</v>
      </c>
      <c r="G233" s="2">
        <v>17511</v>
      </c>
      <c r="H233" s="2" t="s">
        <v>10</v>
      </c>
      <c r="I233" s="2">
        <f>ABS(DF[[#This Row],[Quantity_BEFORE]])</f>
        <v>24</v>
      </c>
      <c r="J233" s="2">
        <f>DF[[#This Row],[QUANTITY]]*DF[[#This Row],[UnitPrice]]</f>
        <v>90</v>
      </c>
    </row>
    <row r="234" spans="1:10" x14ac:dyDescent="0.25">
      <c r="A234" s="2">
        <v>536390</v>
      </c>
      <c r="B234" s="2">
        <v>22174</v>
      </c>
      <c r="C234" s="2" t="s">
        <v>217</v>
      </c>
      <c r="D234" s="2">
        <v>48</v>
      </c>
      <c r="E234" s="8">
        <v>40513.429861111108</v>
      </c>
      <c r="F234" s="2">
        <v>1.48</v>
      </c>
      <c r="G234" s="2">
        <v>17511</v>
      </c>
      <c r="H234" s="2" t="s">
        <v>10</v>
      </c>
      <c r="I234" s="2">
        <f>ABS(DF[[#This Row],[Quantity_BEFORE]])</f>
        <v>48</v>
      </c>
      <c r="J234" s="2">
        <f>DF[[#This Row],[QUANTITY]]*DF[[#This Row],[UnitPrice]]</f>
        <v>71.039999999999992</v>
      </c>
    </row>
    <row r="235" spans="1:10" x14ac:dyDescent="0.25">
      <c r="A235" s="2">
        <v>536390</v>
      </c>
      <c r="B235" s="2">
        <v>22969</v>
      </c>
      <c r="C235" s="2" t="s">
        <v>183</v>
      </c>
      <c r="D235" s="2">
        <v>96</v>
      </c>
      <c r="E235" s="8">
        <v>40513.429861111108</v>
      </c>
      <c r="F235" s="2">
        <v>1.25</v>
      </c>
      <c r="G235" s="2">
        <v>17511</v>
      </c>
      <c r="H235" s="2" t="s">
        <v>10</v>
      </c>
      <c r="I235" s="2">
        <f>ABS(DF[[#This Row],[Quantity_BEFORE]])</f>
        <v>96</v>
      </c>
      <c r="J235" s="2">
        <f>DF[[#This Row],[QUANTITY]]*DF[[#This Row],[UnitPrice]]</f>
        <v>120</v>
      </c>
    </row>
    <row r="236" spans="1:10" x14ac:dyDescent="0.25">
      <c r="A236" s="2">
        <v>536390</v>
      </c>
      <c r="B236" s="2" t="s">
        <v>172</v>
      </c>
      <c r="C236" s="2" t="s">
        <v>173</v>
      </c>
      <c r="D236" s="2">
        <v>100</v>
      </c>
      <c r="E236" s="8">
        <v>40513.429861111108</v>
      </c>
      <c r="F236" s="2">
        <v>1.65</v>
      </c>
      <c r="G236" s="2">
        <v>17511</v>
      </c>
      <c r="H236" s="2" t="s">
        <v>10</v>
      </c>
      <c r="I236" s="2">
        <f>ABS(DF[[#This Row],[Quantity_BEFORE]])</f>
        <v>100</v>
      </c>
      <c r="J236" s="2">
        <f>DF[[#This Row],[QUANTITY]]*DF[[#This Row],[UnitPrice]]</f>
        <v>165</v>
      </c>
    </row>
    <row r="237" spans="1:10" x14ac:dyDescent="0.25">
      <c r="A237" s="2" t="s">
        <v>218</v>
      </c>
      <c r="B237" s="2">
        <v>22556</v>
      </c>
      <c r="C237" s="2" t="s">
        <v>219</v>
      </c>
      <c r="D237" s="2">
        <v>-12</v>
      </c>
      <c r="E237" s="8">
        <v>40513.433333333334</v>
      </c>
      <c r="F237" s="2">
        <v>1.65</v>
      </c>
      <c r="G237" s="2">
        <v>17548</v>
      </c>
      <c r="H237" s="2" t="s">
        <v>10</v>
      </c>
      <c r="I237" s="2">
        <f>ABS(DF[[#This Row],[Quantity_BEFORE]])</f>
        <v>12</v>
      </c>
      <c r="J237" s="2">
        <f>DF[[#This Row],[QUANTITY]]*DF[[#This Row],[UnitPrice]]</f>
        <v>19.799999999999997</v>
      </c>
    </row>
    <row r="238" spans="1:10" x14ac:dyDescent="0.25">
      <c r="A238" s="2" t="s">
        <v>218</v>
      </c>
      <c r="B238" s="2">
        <v>21984</v>
      </c>
      <c r="C238" s="2" t="s">
        <v>220</v>
      </c>
      <c r="D238" s="2">
        <v>-24</v>
      </c>
      <c r="E238" s="8">
        <v>40513.433333333334</v>
      </c>
      <c r="F238" s="2">
        <v>0.28999999999999998</v>
      </c>
      <c r="G238" s="2">
        <v>17548</v>
      </c>
      <c r="H238" s="2" t="s">
        <v>10</v>
      </c>
      <c r="I238" s="2">
        <f>ABS(DF[[#This Row],[Quantity_BEFORE]])</f>
        <v>24</v>
      </c>
      <c r="J238" s="2">
        <f>DF[[#This Row],[QUANTITY]]*DF[[#This Row],[UnitPrice]]</f>
        <v>6.9599999999999991</v>
      </c>
    </row>
    <row r="239" spans="1:10" x14ac:dyDescent="0.25">
      <c r="A239" s="2" t="s">
        <v>218</v>
      </c>
      <c r="B239" s="2">
        <v>21983</v>
      </c>
      <c r="C239" s="2" t="s">
        <v>221</v>
      </c>
      <c r="D239" s="2">
        <v>-24</v>
      </c>
      <c r="E239" s="8">
        <v>40513.433333333334</v>
      </c>
      <c r="F239" s="2">
        <v>0.28999999999999998</v>
      </c>
      <c r="G239" s="2">
        <v>17548</v>
      </c>
      <c r="H239" s="2" t="s">
        <v>10</v>
      </c>
      <c r="I239" s="2">
        <f>ABS(DF[[#This Row],[Quantity_BEFORE]])</f>
        <v>24</v>
      </c>
      <c r="J239" s="2">
        <f>DF[[#This Row],[QUANTITY]]*DF[[#This Row],[UnitPrice]]</f>
        <v>6.9599999999999991</v>
      </c>
    </row>
    <row r="240" spans="1:10" x14ac:dyDescent="0.25">
      <c r="A240" s="2" t="s">
        <v>218</v>
      </c>
      <c r="B240" s="2">
        <v>21980</v>
      </c>
      <c r="C240" s="2" t="s">
        <v>222</v>
      </c>
      <c r="D240" s="2">
        <v>-24</v>
      </c>
      <c r="E240" s="8">
        <v>40513.433333333334</v>
      </c>
      <c r="F240" s="2">
        <v>0.28999999999999998</v>
      </c>
      <c r="G240" s="2">
        <v>17548</v>
      </c>
      <c r="H240" s="2" t="s">
        <v>10</v>
      </c>
      <c r="I240" s="2">
        <f>ABS(DF[[#This Row],[Quantity_BEFORE]])</f>
        <v>24</v>
      </c>
      <c r="J240" s="2">
        <f>DF[[#This Row],[QUANTITY]]*DF[[#This Row],[UnitPrice]]</f>
        <v>6.9599999999999991</v>
      </c>
    </row>
    <row r="241" spans="1:10" x14ac:dyDescent="0.25">
      <c r="A241" s="2" t="s">
        <v>218</v>
      </c>
      <c r="B241" s="2">
        <v>21484</v>
      </c>
      <c r="C241" s="2" t="s">
        <v>223</v>
      </c>
      <c r="D241" s="2">
        <v>-12</v>
      </c>
      <c r="E241" s="8">
        <v>40513.433333333334</v>
      </c>
      <c r="F241" s="2">
        <v>3.45</v>
      </c>
      <c r="G241" s="2">
        <v>17548</v>
      </c>
      <c r="H241" s="2" t="s">
        <v>10</v>
      </c>
      <c r="I241" s="2">
        <f>ABS(DF[[#This Row],[Quantity_BEFORE]])</f>
        <v>12</v>
      </c>
      <c r="J241" s="2">
        <f>DF[[#This Row],[QUANTITY]]*DF[[#This Row],[UnitPrice]]</f>
        <v>41.400000000000006</v>
      </c>
    </row>
    <row r="242" spans="1:10" x14ac:dyDescent="0.25">
      <c r="A242" s="2" t="s">
        <v>218</v>
      </c>
      <c r="B242" s="2">
        <v>22557</v>
      </c>
      <c r="C242" s="2" t="s">
        <v>224</v>
      </c>
      <c r="D242" s="2">
        <v>-12</v>
      </c>
      <c r="E242" s="8">
        <v>40513.433333333334</v>
      </c>
      <c r="F242" s="2">
        <v>1.65</v>
      </c>
      <c r="G242" s="2">
        <v>17548</v>
      </c>
      <c r="H242" s="2" t="s">
        <v>10</v>
      </c>
      <c r="I242" s="2">
        <f>ABS(DF[[#This Row],[Quantity_BEFORE]])</f>
        <v>12</v>
      </c>
      <c r="J242" s="2">
        <f>DF[[#This Row],[QUANTITY]]*DF[[#This Row],[UnitPrice]]</f>
        <v>19.799999999999997</v>
      </c>
    </row>
    <row r="243" spans="1:10" x14ac:dyDescent="0.25">
      <c r="A243" s="2" t="s">
        <v>218</v>
      </c>
      <c r="B243" s="2">
        <v>22553</v>
      </c>
      <c r="C243" s="2" t="s">
        <v>225</v>
      </c>
      <c r="D243" s="2">
        <v>-24</v>
      </c>
      <c r="E243" s="8">
        <v>40513.433333333334</v>
      </c>
      <c r="F243" s="2">
        <v>1.65</v>
      </c>
      <c r="G243" s="2">
        <v>17548</v>
      </c>
      <c r="H243" s="2" t="s">
        <v>10</v>
      </c>
      <c r="I243" s="2">
        <f>ABS(DF[[#This Row],[Quantity_BEFORE]])</f>
        <v>24</v>
      </c>
      <c r="J243" s="2">
        <f>DF[[#This Row],[QUANTITY]]*DF[[#This Row],[UnitPrice]]</f>
        <v>39.599999999999994</v>
      </c>
    </row>
    <row r="244" spans="1:10" x14ac:dyDescent="0.25">
      <c r="A244" s="2">
        <v>536392</v>
      </c>
      <c r="B244" s="2">
        <v>22150</v>
      </c>
      <c r="C244" s="2" t="s">
        <v>226</v>
      </c>
      <c r="D244" s="2">
        <v>6</v>
      </c>
      <c r="E244" s="8">
        <v>40513.436805555553</v>
      </c>
      <c r="F244" s="2">
        <v>1.95</v>
      </c>
      <c r="G244" s="2">
        <v>13705</v>
      </c>
      <c r="H244" s="2" t="s">
        <v>10</v>
      </c>
      <c r="I244" s="2">
        <f>ABS(DF[[#This Row],[Quantity_BEFORE]])</f>
        <v>6</v>
      </c>
      <c r="J244" s="2">
        <f>DF[[#This Row],[QUANTITY]]*DF[[#This Row],[UnitPrice]]</f>
        <v>11.7</v>
      </c>
    </row>
    <row r="245" spans="1:10" x14ac:dyDescent="0.25">
      <c r="A245" s="2">
        <v>536392</v>
      </c>
      <c r="B245" s="2">
        <v>22619</v>
      </c>
      <c r="C245" s="2" t="s">
        <v>227</v>
      </c>
      <c r="D245" s="2">
        <v>4</v>
      </c>
      <c r="E245" s="8">
        <v>40513.436805555553</v>
      </c>
      <c r="F245" s="2">
        <v>3.75</v>
      </c>
      <c r="G245" s="2">
        <v>13705</v>
      </c>
      <c r="H245" s="2" t="s">
        <v>10</v>
      </c>
      <c r="I245" s="2">
        <f>ABS(DF[[#This Row],[Quantity_BEFORE]])</f>
        <v>4</v>
      </c>
      <c r="J245" s="2">
        <f>DF[[#This Row],[QUANTITY]]*DF[[#This Row],[UnitPrice]]</f>
        <v>15</v>
      </c>
    </row>
    <row r="246" spans="1:10" x14ac:dyDescent="0.25">
      <c r="A246" s="2">
        <v>536392</v>
      </c>
      <c r="B246" s="2">
        <v>21891</v>
      </c>
      <c r="C246" s="2" t="s">
        <v>228</v>
      </c>
      <c r="D246" s="2">
        <v>12</v>
      </c>
      <c r="E246" s="8">
        <v>40513.436805555553</v>
      </c>
      <c r="F246" s="2">
        <v>1.25</v>
      </c>
      <c r="G246" s="2">
        <v>13705</v>
      </c>
      <c r="H246" s="2" t="s">
        <v>10</v>
      </c>
      <c r="I246" s="2">
        <f>ABS(DF[[#This Row],[Quantity_BEFORE]])</f>
        <v>12</v>
      </c>
      <c r="J246" s="2">
        <f>DF[[#This Row],[QUANTITY]]*DF[[#This Row],[UnitPrice]]</f>
        <v>15</v>
      </c>
    </row>
    <row r="247" spans="1:10" x14ac:dyDescent="0.25">
      <c r="A247" s="2">
        <v>536392</v>
      </c>
      <c r="B247" s="2">
        <v>21889</v>
      </c>
      <c r="C247" s="2" t="s">
        <v>229</v>
      </c>
      <c r="D247" s="2">
        <v>12</v>
      </c>
      <c r="E247" s="8">
        <v>40513.436805555553</v>
      </c>
      <c r="F247" s="2">
        <v>1.25</v>
      </c>
      <c r="G247" s="2">
        <v>13705</v>
      </c>
      <c r="H247" s="2" t="s">
        <v>10</v>
      </c>
      <c r="I247" s="2">
        <f>ABS(DF[[#This Row],[Quantity_BEFORE]])</f>
        <v>12</v>
      </c>
      <c r="J247" s="2">
        <f>DF[[#This Row],[QUANTITY]]*DF[[#This Row],[UnitPrice]]</f>
        <v>15</v>
      </c>
    </row>
    <row r="248" spans="1:10" x14ac:dyDescent="0.25">
      <c r="A248" s="2">
        <v>536392</v>
      </c>
      <c r="B248" s="2">
        <v>22827</v>
      </c>
      <c r="C248" s="2" t="s">
        <v>230</v>
      </c>
      <c r="D248" s="2">
        <v>1</v>
      </c>
      <c r="E248" s="8">
        <v>40513.436805555553</v>
      </c>
      <c r="F248" s="2">
        <v>165</v>
      </c>
      <c r="G248" s="2">
        <v>13705</v>
      </c>
      <c r="H248" s="2" t="s">
        <v>10</v>
      </c>
      <c r="I248" s="2">
        <f>ABS(DF[[#This Row],[Quantity_BEFORE]])</f>
        <v>1</v>
      </c>
      <c r="J248" s="2">
        <f>DF[[#This Row],[QUANTITY]]*DF[[#This Row],[UnitPrice]]</f>
        <v>165</v>
      </c>
    </row>
    <row r="249" spans="1:10" x14ac:dyDescent="0.25">
      <c r="A249" s="2">
        <v>536392</v>
      </c>
      <c r="B249" s="2">
        <v>22127</v>
      </c>
      <c r="C249" s="2" t="s">
        <v>231</v>
      </c>
      <c r="D249" s="2">
        <v>12</v>
      </c>
      <c r="E249" s="8">
        <v>40513.436805555553</v>
      </c>
      <c r="F249" s="2">
        <v>1.25</v>
      </c>
      <c r="G249" s="2">
        <v>13705</v>
      </c>
      <c r="H249" s="2" t="s">
        <v>10</v>
      </c>
      <c r="I249" s="2">
        <f>ABS(DF[[#This Row],[Quantity_BEFORE]])</f>
        <v>12</v>
      </c>
      <c r="J249" s="2">
        <f>DF[[#This Row],[QUANTITY]]*DF[[#This Row],[UnitPrice]]</f>
        <v>15</v>
      </c>
    </row>
    <row r="250" spans="1:10" x14ac:dyDescent="0.25">
      <c r="A250" s="2">
        <v>536392</v>
      </c>
      <c r="B250" s="2">
        <v>22128</v>
      </c>
      <c r="C250" s="2" t="s">
        <v>232</v>
      </c>
      <c r="D250" s="2">
        <v>12</v>
      </c>
      <c r="E250" s="8">
        <v>40513.436805555553</v>
      </c>
      <c r="F250" s="2">
        <v>1.25</v>
      </c>
      <c r="G250" s="2">
        <v>13705</v>
      </c>
      <c r="H250" s="2" t="s">
        <v>10</v>
      </c>
      <c r="I250" s="2">
        <f>ABS(DF[[#This Row],[Quantity_BEFORE]])</f>
        <v>12</v>
      </c>
      <c r="J250" s="2">
        <f>DF[[#This Row],[QUANTITY]]*DF[[#This Row],[UnitPrice]]</f>
        <v>15</v>
      </c>
    </row>
    <row r="251" spans="1:10" x14ac:dyDescent="0.25">
      <c r="A251" s="2">
        <v>536392</v>
      </c>
      <c r="B251" s="2">
        <v>22502</v>
      </c>
      <c r="C251" s="2" t="s">
        <v>233</v>
      </c>
      <c r="D251" s="2">
        <v>4</v>
      </c>
      <c r="E251" s="8">
        <v>40513.436805555553</v>
      </c>
      <c r="F251" s="2">
        <v>5.95</v>
      </c>
      <c r="G251" s="2">
        <v>13705</v>
      </c>
      <c r="H251" s="2" t="s">
        <v>10</v>
      </c>
      <c r="I251" s="2">
        <f>ABS(DF[[#This Row],[Quantity_BEFORE]])</f>
        <v>4</v>
      </c>
      <c r="J251" s="2">
        <f>DF[[#This Row],[QUANTITY]]*DF[[#This Row],[UnitPrice]]</f>
        <v>23.8</v>
      </c>
    </row>
    <row r="252" spans="1:10" x14ac:dyDescent="0.25">
      <c r="A252" s="2">
        <v>536392</v>
      </c>
      <c r="B252" s="2">
        <v>84879</v>
      </c>
      <c r="C252" s="2" t="s">
        <v>22</v>
      </c>
      <c r="D252" s="2">
        <v>16</v>
      </c>
      <c r="E252" s="8">
        <v>40513.436805555553</v>
      </c>
      <c r="F252" s="2">
        <v>1.69</v>
      </c>
      <c r="G252" s="2">
        <v>13705</v>
      </c>
      <c r="H252" s="2" t="s">
        <v>10</v>
      </c>
      <c r="I252" s="2">
        <f>ABS(DF[[#This Row],[Quantity_BEFORE]])</f>
        <v>16</v>
      </c>
      <c r="J252" s="2">
        <f>DF[[#This Row],[QUANTITY]]*DF[[#This Row],[UnitPrice]]</f>
        <v>27.04</v>
      </c>
    </row>
    <row r="253" spans="1:10" x14ac:dyDescent="0.25">
      <c r="A253" s="2">
        <v>536392</v>
      </c>
      <c r="B253" s="2">
        <v>22338</v>
      </c>
      <c r="C253" s="2" t="s">
        <v>234</v>
      </c>
      <c r="D253" s="2">
        <v>24</v>
      </c>
      <c r="E253" s="8">
        <v>40513.436805555553</v>
      </c>
      <c r="F253" s="2">
        <v>0.65</v>
      </c>
      <c r="G253" s="2">
        <v>13705</v>
      </c>
      <c r="H253" s="2" t="s">
        <v>10</v>
      </c>
      <c r="I253" s="2">
        <f>ABS(DF[[#This Row],[Quantity_BEFORE]])</f>
        <v>24</v>
      </c>
      <c r="J253" s="2">
        <f>DF[[#This Row],[QUANTITY]]*DF[[#This Row],[UnitPrice]]</f>
        <v>15.600000000000001</v>
      </c>
    </row>
    <row r="254" spans="1:10" x14ac:dyDescent="0.25">
      <c r="A254" s="2">
        <v>536393</v>
      </c>
      <c r="B254" s="2">
        <v>22180</v>
      </c>
      <c r="C254" s="2" t="s">
        <v>235</v>
      </c>
      <c r="D254" s="2">
        <v>8</v>
      </c>
      <c r="E254" s="8">
        <v>40513.442361111112</v>
      </c>
      <c r="F254" s="2">
        <v>9.9499999999999993</v>
      </c>
      <c r="G254" s="2">
        <v>13747</v>
      </c>
      <c r="H254" s="2" t="s">
        <v>10</v>
      </c>
      <c r="I254" s="2">
        <f>ABS(DF[[#This Row],[Quantity_BEFORE]])</f>
        <v>8</v>
      </c>
      <c r="J254" s="2">
        <f>DF[[#This Row],[QUANTITY]]*DF[[#This Row],[UnitPrice]]</f>
        <v>79.599999999999994</v>
      </c>
    </row>
    <row r="255" spans="1:10" x14ac:dyDescent="0.25">
      <c r="A255" s="2">
        <v>536394</v>
      </c>
      <c r="B255" s="2">
        <v>21506</v>
      </c>
      <c r="C255" s="2" t="s">
        <v>236</v>
      </c>
      <c r="D255" s="2">
        <v>24</v>
      </c>
      <c r="E255" s="8">
        <v>40513.443749999999</v>
      </c>
      <c r="F255" s="2">
        <v>0.42</v>
      </c>
      <c r="G255" s="2">
        <v>13408</v>
      </c>
      <c r="H255" s="2" t="s">
        <v>10</v>
      </c>
      <c r="I255" s="2">
        <f>ABS(DF[[#This Row],[Quantity_BEFORE]])</f>
        <v>24</v>
      </c>
      <c r="J255" s="2">
        <f>DF[[#This Row],[QUANTITY]]*DF[[#This Row],[UnitPrice]]</f>
        <v>10.08</v>
      </c>
    </row>
    <row r="256" spans="1:10" x14ac:dyDescent="0.25">
      <c r="A256" s="2">
        <v>536394</v>
      </c>
      <c r="B256" s="2">
        <v>22633</v>
      </c>
      <c r="C256" s="2" t="s">
        <v>20</v>
      </c>
      <c r="D256" s="2">
        <v>96</v>
      </c>
      <c r="E256" s="8">
        <v>40513.443749999999</v>
      </c>
      <c r="F256" s="2">
        <v>1.85</v>
      </c>
      <c r="G256" s="2">
        <v>13408</v>
      </c>
      <c r="H256" s="2" t="s">
        <v>10</v>
      </c>
      <c r="I256" s="2">
        <f>ABS(DF[[#This Row],[Quantity_BEFORE]])</f>
        <v>96</v>
      </c>
      <c r="J256" s="2">
        <f>DF[[#This Row],[QUANTITY]]*DF[[#This Row],[UnitPrice]]</f>
        <v>177.60000000000002</v>
      </c>
    </row>
    <row r="257" spans="1:10" x14ac:dyDescent="0.25">
      <c r="A257" s="2">
        <v>536394</v>
      </c>
      <c r="B257" s="2">
        <v>22866</v>
      </c>
      <c r="C257" s="2" t="s">
        <v>237</v>
      </c>
      <c r="D257" s="2">
        <v>96</v>
      </c>
      <c r="E257" s="8">
        <v>40513.443749999999</v>
      </c>
      <c r="F257" s="2">
        <v>1.85</v>
      </c>
      <c r="G257" s="2">
        <v>13408</v>
      </c>
      <c r="H257" s="2" t="s">
        <v>10</v>
      </c>
      <c r="I257" s="2">
        <f>ABS(DF[[#This Row],[Quantity_BEFORE]])</f>
        <v>96</v>
      </c>
      <c r="J257" s="2">
        <f>DF[[#This Row],[QUANTITY]]*DF[[#This Row],[UnitPrice]]</f>
        <v>177.60000000000002</v>
      </c>
    </row>
    <row r="258" spans="1:10" x14ac:dyDescent="0.25">
      <c r="A258" s="2">
        <v>536394</v>
      </c>
      <c r="B258" s="2">
        <v>22865</v>
      </c>
      <c r="C258" s="2" t="s">
        <v>238</v>
      </c>
      <c r="D258" s="2">
        <v>96</v>
      </c>
      <c r="E258" s="8">
        <v>40513.443749999999</v>
      </c>
      <c r="F258" s="2">
        <v>1.85</v>
      </c>
      <c r="G258" s="2">
        <v>13408</v>
      </c>
      <c r="H258" s="2" t="s">
        <v>10</v>
      </c>
      <c r="I258" s="2">
        <f>ABS(DF[[#This Row],[Quantity_BEFORE]])</f>
        <v>96</v>
      </c>
      <c r="J258" s="2">
        <f>DF[[#This Row],[QUANTITY]]*DF[[#This Row],[UnitPrice]]</f>
        <v>177.60000000000002</v>
      </c>
    </row>
    <row r="259" spans="1:10" x14ac:dyDescent="0.25">
      <c r="A259" s="2">
        <v>536394</v>
      </c>
      <c r="B259" s="2">
        <v>22632</v>
      </c>
      <c r="C259" s="2" t="s">
        <v>239</v>
      </c>
      <c r="D259" s="2">
        <v>96</v>
      </c>
      <c r="E259" s="8">
        <v>40513.443749999999</v>
      </c>
      <c r="F259" s="2">
        <v>1.85</v>
      </c>
      <c r="G259" s="2">
        <v>13408</v>
      </c>
      <c r="H259" s="2" t="s">
        <v>10</v>
      </c>
      <c r="I259" s="2">
        <f>ABS(DF[[#This Row],[Quantity_BEFORE]])</f>
        <v>96</v>
      </c>
      <c r="J259" s="2">
        <f>DF[[#This Row],[QUANTITY]]*DF[[#This Row],[UnitPrice]]</f>
        <v>177.60000000000002</v>
      </c>
    </row>
    <row r="260" spans="1:10" x14ac:dyDescent="0.25">
      <c r="A260" s="2">
        <v>536394</v>
      </c>
      <c r="B260" s="2">
        <v>21485</v>
      </c>
      <c r="C260" s="2" t="s">
        <v>214</v>
      </c>
      <c r="D260" s="2">
        <v>12</v>
      </c>
      <c r="E260" s="8">
        <v>40513.443749999999</v>
      </c>
      <c r="F260" s="2">
        <v>4.95</v>
      </c>
      <c r="G260" s="2">
        <v>13408</v>
      </c>
      <c r="H260" s="2" t="s">
        <v>10</v>
      </c>
      <c r="I260" s="2">
        <f>ABS(DF[[#This Row],[Quantity_BEFORE]])</f>
        <v>12</v>
      </c>
      <c r="J260" s="2">
        <f>DF[[#This Row],[QUANTITY]]*DF[[#This Row],[UnitPrice]]</f>
        <v>59.400000000000006</v>
      </c>
    </row>
    <row r="261" spans="1:10" x14ac:dyDescent="0.25">
      <c r="A261" s="2">
        <v>536394</v>
      </c>
      <c r="B261" s="2">
        <v>22349</v>
      </c>
      <c r="C261" s="2" t="s">
        <v>240</v>
      </c>
      <c r="D261" s="2">
        <v>12</v>
      </c>
      <c r="E261" s="8">
        <v>40513.443749999999</v>
      </c>
      <c r="F261" s="2">
        <v>3.75</v>
      </c>
      <c r="G261" s="2">
        <v>13408</v>
      </c>
      <c r="H261" s="2" t="s">
        <v>10</v>
      </c>
      <c r="I261" s="2">
        <f>ABS(DF[[#This Row],[Quantity_BEFORE]])</f>
        <v>12</v>
      </c>
      <c r="J261" s="2">
        <f>DF[[#This Row],[QUANTITY]]*DF[[#This Row],[UnitPrice]]</f>
        <v>45</v>
      </c>
    </row>
    <row r="262" spans="1:10" x14ac:dyDescent="0.25">
      <c r="A262" s="2">
        <v>536394</v>
      </c>
      <c r="B262" s="2">
        <v>22558</v>
      </c>
      <c r="C262" s="2" t="s">
        <v>241</v>
      </c>
      <c r="D262" s="2">
        <v>48</v>
      </c>
      <c r="E262" s="8">
        <v>40513.443749999999</v>
      </c>
      <c r="F262" s="2">
        <v>1.25</v>
      </c>
      <c r="G262" s="2">
        <v>13408</v>
      </c>
      <c r="H262" s="2" t="s">
        <v>10</v>
      </c>
      <c r="I262" s="2">
        <f>ABS(DF[[#This Row],[Quantity_BEFORE]])</f>
        <v>48</v>
      </c>
      <c r="J262" s="2">
        <f>DF[[#This Row],[QUANTITY]]*DF[[#This Row],[UnitPrice]]</f>
        <v>60</v>
      </c>
    </row>
    <row r="263" spans="1:10" x14ac:dyDescent="0.25">
      <c r="A263" s="2">
        <v>536394</v>
      </c>
      <c r="B263" s="2">
        <v>85152</v>
      </c>
      <c r="C263" s="2" t="s">
        <v>242</v>
      </c>
      <c r="D263" s="2">
        <v>12</v>
      </c>
      <c r="E263" s="8">
        <v>40513.443749999999</v>
      </c>
      <c r="F263" s="2">
        <v>2.1</v>
      </c>
      <c r="G263" s="2">
        <v>13408</v>
      </c>
      <c r="H263" s="2" t="s">
        <v>10</v>
      </c>
      <c r="I263" s="2">
        <f>ABS(DF[[#This Row],[Quantity_BEFORE]])</f>
        <v>12</v>
      </c>
      <c r="J263" s="2">
        <f>DF[[#This Row],[QUANTITY]]*DF[[#This Row],[UnitPrice]]</f>
        <v>25.200000000000003</v>
      </c>
    </row>
    <row r="264" spans="1:10" x14ac:dyDescent="0.25">
      <c r="A264" s="2">
        <v>536394</v>
      </c>
      <c r="B264" s="2" t="s">
        <v>8</v>
      </c>
      <c r="C264" s="2" t="s">
        <v>9</v>
      </c>
      <c r="D264" s="2">
        <v>32</v>
      </c>
      <c r="E264" s="8">
        <v>40513.443749999999</v>
      </c>
      <c r="F264" s="2">
        <v>2.5499999999999998</v>
      </c>
      <c r="G264" s="2">
        <v>13408</v>
      </c>
      <c r="H264" s="2" t="s">
        <v>10</v>
      </c>
      <c r="I264" s="2">
        <f>ABS(DF[[#This Row],[Quantity_BEFORE]])</f>
        <v>32</v>
      </c>
      <c r="J264" s="2">
        <f>DF[[#This Row],[QUANTITY]]*DF[[#This Row],[UnitPrice]]</f>
        <v>81.599999999999994</v>
      </c>
    </row>
    <row r="265" spans="1:10" x14ac:dyDescent="0.25">
      <c r="A265" s="2">
        <v>536394</v>
      </c>
      <c r="B265" s="2">
        <v>22652</v>
      </c>
      <c r="C265" s="2" t="s">
        <v>243</v>
      </c>
      <c r="D265" s="2">
        <v>20</v>
      </c>
      <c r="E265" s="8">
        <v>40513.443749999999</v>
      </c>
      <c r="F265" s="2">
        <v>1.65</v>
      </c>
      <c r="G265" s="2">
        <v>13408</v>
      </c>
      <c r="H265" s="2" t="s">
        <v>10</v>
      </c>
      <c r="I265" s="2">
        <f>ABS(DF[[#This Row],[Quantity_BEFORE]])</f>
        <v>20</v>
      </c>
      <c r="J265" s="2">
        <f>DF[[#This Row],[QUANTITY]]*DF[[#This Row],[UnitPrice]]</f>
        <v>33</v>
      </c>
    </row>
    <row r="266" spans="1:10" x14ac:dyDescent="0.25">
      <c r="A266" s="2">
        <v>536395</v>
      </c>
      <c r="B266" s="2">
        <v>22188</v>
      </c>
      <c r="C266" s="2" t="s">
        <v>244</v>
      </c>
      <c r="D266" s="2">
        <v>8</v>
      </c>
      <c r="E266" s="8">
        <v>40513.449305555558</v>
      </c>
      <c r="F266" s="2">
        <v>3.95</v>
      </c>
      <c r="G266" s="2">
        <v>13767</v>
      </c>
      <c r="H266" s="2" t="s">
        <v>10</v>
      </c>
      <c r="I266" s="2">
        <f>ABS(DF[[#This Row],[Quantity_BEFORE]])</f>
        <v>8</v>
      </c>
      <c r="J266" s="2">
        <f>DF[[#This Row],[QUANTITY]]*DF[[#This Row],[UnitPrice]]</f>
        <v>31.6</v>
      </c>
    </row>
    <row r="267" spans="1:10" x14ac:dyDescent="0.25">
      <c r="A267" s="2">
        <v>536395</v>
      </c>
      <c r="B267" s="2">
        <v>84879</v>
      </c>
      <c r="C267" s="2" t="s">
        <v>22</v>
      </c>
      <c r="D267" s="2">
        <v>32</v>
      </c>
      <c r="E267" s="8">
        <v>40513.449305555558</v>
      </c>
      <c r="F267" s="2">
        <v>1.69</v>
      </c>
      <c r="G267" s="2">
        <v>13767</v>
      </c>
      <c r="H267" s="2" t="s">
        <v>10</v>
      </c>
      <c r="I267" s="2">
        <f>ABS(DF[[#This Row],[Quantity_BEFORE]])</f>
        <v>32</v>
      </c>
      <c r="J267" s="2">
        <f>DF[[#This Row],[QUANTITY]]*DF[[#This Row],[UnitPrice]]</f>
        <v>54.08</v>
      </c>
    </row>
    <row r="268" spans="1:10" x14ac:dyDescent="0.25">
      <c r="A268" s="2">
        <v>536395</v>
      </c>
      <c r="B268" s="2">
        <v>21977</v>
      </c>
      <c r="C268" s="2" t="s">
        <v>90</v>
      </c>
      <c r="D268" s="2">
        <v>24</v>
      </c>
      <c r="E268" s="8">
        <v>40513.449305555558</v>
      </c>
      <c r="F268" s="2">
        <v>0.55000000000000004</v>
      </c>
      <c r="G268" s="2">
        <v>13767</v>
      </c>
      <c r="H268" s="2" t="s">
        <v>10</v>
      </c>
      <c r="I268" s="2">
        <f>ABS(DF[[#This Row],[Quantity_BEFORE]])</f>
        <v>24</v>
      </c>
      <c r="J268" s="2">
        <f>DF[[#This Row],[QUANTITY]]*DF[[#This Row],[UnitPrice]]</f>
        <v>13.200000000000001</v>
      </c>
    </row>
    <row r="269" spans="1:10" x14ac:dyDescent="0.25">
      <c r="A269" s="2">
        <v>536395</v>
      </c>
      <c r="B269" s="2">
        <v>84991</v>
      </c>
      <c r="C269" s="2" t="s">
        <v>91</v>
      </c>
      <c r="D269" s="2">
        <v>24</v>
      </c>
      <c r="E269" s="8">
        <v>40513.449305555558</v>
      </c>
      <c r="F269" s="2">
        <v>0.55000000000000004</v>
      </c>
      <c r="G269" s="2">
        <v>13767</v>
      </c>
      <c r="H269" s="2" t="s">
        <v>10</v>
      </c>
      <c r="I269" s="2">
        <f>ABS(DF[[#This Row],[Quantity_BEFORE]])</f>
        <v>24</v>
      </c>
      <c r="J269" s="2">
        <f>DF[[#This Row],[QUANTITY]]*DF[[#This Row],[UnitPrice]]</f>
        <v>13.200000000000001</v>
      </c>
    </row>
    <row r="270" spans="1:10" x14ac:dyDescent="0.25">
      <c r="A270" s="2">
        <v>536395</v>
      </c>
      <c r="B270" s="2">
        <v>21212</v>
      </c>
      <c r="C270" s="2" t="s">
        <v>88</v>
      </c>
      <c r="D270" s="2">
        <v>24</v>
      </c>
      <c r="E270" s="8">
        <v>40513.449305555558</v>
      </c>
      <c r="F270" s="2">
        <v>0.55000000000000004</v>
      </c>
      <c r="G270" s="2">
        <v>13767</v>
      </c>
      <c r="H270" s="2" t="s">
        <v>10</v>
      </c>
      <c r="I270" s="2">
        <f>ABS(DF[[#This Row],[Quantity_BEFORE]])</f>
        <v>24</v>
      </c>
      <c r="J270" s="2">
        <f>DF[[#This Row],[QUANTITY]]*DF[[#This Row],[UnitPrice]]</f>
        <v>13.200000000000001</v>
      </c>
    </row>
    <row r="271" spans="1:10" x14ac:dyDescent="0.25">
      <c r="A271" s="2">
        <v>536395</v>
      </c>
      <c r="B271" s="2">
        <v>21484</v>
      </c>
      <c r="C271" s="2" t="s">
        <v>223</v>
      </c>
      <c r="D271" s="2">
        <v>8</v>
      </c>
      <c r="E271" s="8">
        <v>40513.449305555558</v>
      </c>
      <c r="F271" s="2">
        <v>3.45</v>
      </c>
      <c r="G271" s="2">
        <v>13767</v>
      </c>
      <c r="H271" s="2" t="s">
        <v>10</v>
      </c>
      <c r="I271" s="2">
        <f>ABS(DF[[#This Row],[Quantity_BEFORE]])</f>
        <v>8</v>
      </c>
      <c r="J271" s="2">
        <f>DF[[#This Row],[QUANTITY]]*DF[[#This Row],[UnitPrice]]</f>
        <v>27.6</v>
      </c>
    </row>
    <row r="272" spans="1:10" x14ac:dyDescent="0.25">
      <c r="A272" s="2">
        <v>536395</v>
      </c>
      <c r="B272" s="2">
        <v>21314</v>
      </c>
      <c r="C272" s="2" t="s">
        <v>245</v>
      </c>
      <c r="D272" s="2">
        <v>8</v>
      </c>
      <c r="E272" s="8">
        <v>40513.449305555558</v>
      </c>
      <c r="F272" s="2">
        <v>2.1</v>
      </c>
      <c r="G272" s="2">
        <v>13767</v>
      </c>
      <c r="H272" s="2" t="s">
        <v>10</v>
      </c>
      <c r="I272" s="2">
        <f>ABS(DF[[#This Row],[Quantity_BEFORE]])</f>
        <v>8</v>
      </c>
      <c r="J272" s="2">
        <f>DF[[#This Row],[QUANTITY]]*DF[[#This Row],[UnitPrice]]</f>
        <v>16.8</v>
      </c>
    </row>
    <row r="273" spans="1:10" x14ac:dyDescent="0.25">
      <c r="A273" s="2">
        <v>536395</v>
      </c>
      <c r="B273" s="2">
        <v>22730</v>
      </c>
      <c r="C273" s="2" t="s">
        <v>246</v>
      </c>
      <c r="D273" s="2">
        <v>4</v>
      </c>
      <c r="E273" s="8">
        <v>40513.449305555558</v>
      </c>
      <c r="F273" s="2">
        <v>3.75</v>
      </c>
      <c r="G273" s="2">
        <v>13767</v>
      </c>
      <c r="H273" s="2" t="s">
        <v>10</v>
      </c>
      <c r="I273" s="2">
        <f>ABS(DF[[#This Row],[Quantity_BEFORE]])</f>
        <v>4</v>
      </c>
      <c r="J273" s="2">
        <f>DF[[#This Row],[QUANTITY]]*DF[[#This Row],[UnitPrice]]</f>
        <v>15</v>
      </c>
    </row>
    <row r="274" spans="1:10" x14ac:dyDescent="0.25">
      <c r="A274" s="2">
        <v>536395</v>
      </c>
      <c r="B274" s="2">
        <v>22727</v>
      </c>
      <c r="C274" s="2" t="s">
        <v>41</v>
      </c>
      <c r="D274" s="2">
        <v>8</v>
      </c>
      <c r="E274" s="8">
        <v>40513.449305555558</v>
      </c>
      <c r="F274" s="2">
        <v>3.75</v>
      </c>
      <c r="G274" s="2">
        <v>13767</v>
      </c>
      <c r="H274" s="2" t="s">
        <v>10</v>
      </c>
      <c r="I274" s="2">
        <f>ABS(DF[[#This Row],[Quantity_BEFORE]])</f>
        <v>8</v>
      </c>
      <c r="J274" s="2">
        <f>DF[[#This Row],[QUANTITY]]*DF[[#This Row],[UnitPrice]]</f>
        <v>30</v>
      </c>
    </row>
    <row r="275" spans="1:10" x14ac:dyDescent="0.25">
      <c r="A275" s="2">
        <v>536395</v>
      </c>
      <c r="B275" s="2">
        <v>22729</v>
      </c>
      <c r="C275" s="2" t="s">
        <v>247</v>
      </c>
      <c r="D275" s="2">
        <v>8</v>
      </c>
      <c r="E275" s="8">
        <v>40513.449305555558</v>
      </c>
      <c r="F275" s="2">
        <v>3.75</v>
      </c>
      <c r="G275" s="2">
        <v>13767</v>
      </c>
      <c r="H275" s="2" t="s">
        <v>10</v>
      </c>
      <c r="I275" s="2">
        <f>ABS(DF[[#This Row],[Quantity_BEFORE]])</f>
        <v>8</v>
      </c>
      <c r="J275" s="2">
        <f>DF[[#This Row],[QUANTITY]]*DF[[#This Row],[UnitPrice]]</f>
        <v>30</v>
      </c>
    </row>
    <row r="276" spans="1:10" x14ac:dyDescent="0.25">
      <c r="A276" s="2">
        <v>536395</v>
      </c>
      <c r="B276" s="2">
        <v>22726</v>
      </c>
      <c r="C276" s="2" t="s">
        <v>42</v>
      </c>
      <c r="D276" s="2">
        <v>8</v>
      </c>
      <c r="E276" s="8">
        <v>40513.449305555558</v>
      </c>
      <c r="F276" s="2">
        <v>3.75</v>
      </c>
      <c r="G276" s="2">
        <v>13767</v>
      </c>
      <c r="H276" s="2" t="s">
        <v>10</v>
      </c>
      <c r="I276" s="2">
        <f>ABS(DF[[#This Row],[Quantity_BEFORE]])</f>
        <v>8</v>
      </c>
      <c r="J276" s="2">
        <f>DF[[#This Row],[QUANTITY]]*DF[[#This Row],[UnitPrice]]</f>
        <v>30</v>
      </c>
    </row>
    <row r="277" spans="1:10" x14ac:dyDescent="0.25">
      <c r="A277" s="2">
        <v>536395</v>
      </c>
      <c r="B277" s="2">
        <v>22114</v>
      </c>
      <c r="C277" s="2" t="s">
        <v>73</v>
      </c>
      <c r="D277" s="2">
        <v>8</v>
      </c>
      <c r="E277" s="8">
        <v>40513.449305555558</v>
      </c>
      <c r="F277" s="2">
        <v>3.95</v>
      </c>
      <c r="G277" s="2">
        <v>13767</v>
      </c>
      <c r="H277" s="2" t="s">
        <v>10</v>
      </c>
      <c r="I277" s="2">
        <f>ABS(DF[[#This Row],[Quantity_BEFORE]])</f>
        <v>8</v>
      </c>
      <c r="J277" s="2">
        <f>DF[[#This Row],[QUANTITY]]*DF[[#This Row],[UnitPrice]]</f>
        <v>31.6</v>
      </c>
    </row>
    <row r="278" spans="1:10" x14ac:dyDescent="0.25">
      <c r="A278" s="2">
        <v>536395</v>
      </c>
      <c r="B278" s="2">
        <v>22867</v>
      </c>
      <c r="C278" s="2" t="s">
        <v>248</v>
      </c>
      <c r="D278" s="2">
        <v>48</v>
      </c>
      <c r="E278" s="8">
        <v>40513.449305555558</v>
      </c>
      <c r="F278" s="2">
        <v>2.1</v>
      </c>
      <c r="G278" s="2">
        <v>13767</v>
      </c>
      <c r="H278" s="2" t="s">
        <v>10</v>
      </c>
      <c r="I278" s="2">
        <f>ABS(DF[[#This Row],[Quantity_BEFORE]])</f>
        <v>48</v>
      </c>
      <c r="J278" s="2">
        <f>DF[[#This Row],[QUANTITY]]*DF[[#This Row],[UnitPrice]]</f>
        <v>100.80000000000001</v>
      </c>
    </row>
    <row r="279" spans="1:10" x14ac:dyDescent="0.25">
      <c r="A279" s="2">
        <v>536395</v>
      </c>
      <c r="B279" s="2">
        <v>22866</v>
      </c>
      <c r="C279" s="2" t="s">
        <v>237</v>
      </c>
      <c r="D279" s="2">
        <v>48</v>
      </c>
      <c r="E279" s="8">
        <v>40513.449305555558</v>
      </c>
      <c r="F279" s="2">
        <v>2.1</v>
      </c>
      <c r="G279" s="2">
        <v>13767</v>
      </c>
      <c r="H279" s="2" t="s">
        <v>10</v>
      </c>
      <c r="I279" s="2">
        <f>ABS(DF[[#This Row],[Quantity_BEFORE]])</f>
        <v>48</v>
      </c>
      <c r="J279" s="2">
        <f>DF[[#This Row],[QUANTITY]]*DF[[#This Row],[UnitPrice]]</f>
        <v>100.80000000000001</v>
      </c>
    </row>
    <row r="280" spans="1:10" x14ac:dyDescent="0.25">
      <c r="A280" s="2">
        <v>536396</v>
      </c>
      <c r="B280" s="2" t="s">
        <v>8</v>
      </c>
      <c r="C280" s="2" t="s">
        <v>9</v>
      </c>
      <c r="D280" s="2">
        <v>6</v>
      </c>
      <c r="E280" s="8">
        <v>40513.45208333333</v>
      </c>
      <c r="F280" s="2">
        <v>2.5499999999999998</v>
      </c>
      <c r="G280" s="2">
        <v>17850</v>
      </c>
      <c r="H280" s="2" t="s">
        <v>10</v>
      </c>
      <c r="I280" s="2">
        <f>ABS(DF[[#This Row],[Quantity_BEFORE]])</f>
        <v>6</v>
      </c>
      <c r="J280" s="2">
        <f>DF[[#This Row],[QUANTITY]]*DF[[#This Row],[UnitPrice]]</f>
        <v>15.299999999999999</v>
      </c>
    </row>
    <row r="281" spans="1:10" x14ac:dyDescent="0.25">
      <c r="A281" s="2">
        <v>536396</v>
      </c>
      <c r="B281" s="2">
        <v>71053</v>
      </c>
      <c r="C281" s="2" t="s">
        <v>11</v>
      </c>
      <c r="D281" s="2">
        <v>6</v>
      </c>
      <c r="E281" s="8">
        <v>40513.45208333333</v>
      </c>
      <c r="F281" s="2">
        <v>3.39</v>
      </c>
      <c r="G281" s="2">
        <v>17850</v>
      </c>
      <c r="H281" s="2" t="s">
        <v>10</v>
      </c>
      <c r="I281" s="2">
        <f>ABS(DF[[#This Row],[Quantity_BEFORE]])</f>
        <v>6</v>
      </c>
      <c r="J281" s="2">
        <f>DF[[#This Row],[QUANTITY]]*DF[[#This Row],[UnitPrice]]</f>
        <v>20.34</v>
      </c>
    </row>
    <row r="282" spans="1:10" x14ac:dyDescent="0.25">
      <c r="A282" s="2">
        <v>536396</v>
      </c>
      <c r="B282" s="2" t="s">
        <v>12</v>
      </c>
      <c r="C282" s="2" t="s">
        <v>13</v>
      </c>
      <c r="D282" s="2">
        <v>8</v>
      </c>
      <c r="E282" s="8">
        <v>40513.45208333333</v>
      </c>
      <c r="F282" s="2">
        <v>2.75</v>
      </c>
      <c r="G282" s="2">
        <v>17850</v>
      </c>
      <c r="H282" s="2" t="s">
        <v>10</v>
      </c>
      <c r="I282" s="2">
        <f>ABS(DF[[#This Row],[Quantity_BEFORE]])</f>
        <v>8</v>
      </c>
      <c r="J282" s="2">
        <f>DF[[#This Row],[QUANTITY]]*DF[[#This Row],[UnitPrice]]</f>
        <v>22</v>
      </c>
    </row>
    <row r="283" spans="1:10" x14ac:dyDescent="0.25">
      <c r="A283" s="2">
        <v>536396</v>
      </c>
      <c r="B283" s="2" t="s">
        <v>128</v>
      </c>
      <c r="C283" s="2" t="s">
        <v>129</v>
      </c>
      <c r="D283" s="2">
        <v>6</v>
      </c>
      <c r="E283" s="8">
        <v>40513.45208333333</v>
      </c>
      <c r="F283" s="2">
        <v>4.95</v>
      </c>
      <c r="G283" s="2">
        <v>17850</v>
      </c>
      <c r="H283" s="2" t="s">
        <v>10</v>
      </c>
      <c r="I283" s="2">
        <f>ABS(DF[[#This Row],[Quantity_BEFORE]])</f>
        <v>6</v>
      </c>
      <c r="J283" s="2">
        <f>DF[[#This Row],[QUANTITY]]*DF[[#This Row],[UnitPrice]]</f>
        <v>29.700000000000003</v>
      </c>
    </row>
    <row r="284" spans="1:10" x14ac:dyDescent="0.25">
      <c r="A284" s="2">
        <v>536396</v>
      </c>
      <c r="B284" s="2">
        <v>20679</v>
      </c>
      <c r="C284" s="2" t="s">
        <v>62</v>
      </c>
      <c r="D284" s="2">
        <v>6</v>
      </c>
      <c r="E284" s="8">
        <v>40513.45208333333</v>
      </c>
      <c r="F284" s="2">
        <v>4.95</v>
      </c>
      <c r="G284" s="2">
        <v>17850</v>
      </c>
      <c r="H284" s="2" t="s">
        <v>10</v>
      </c>
      <c r="I284" s="2">
        <f>ABS(DF[[#This Row],[Quantity_BEFORE]])</f>
        <v>6</v>
      </c>
      <c r="J284" s="2">
        <f>DF[[#This Row],[QUANTITY]]*DF[[#This Row],[UnitPrice]]</f>
        <v>29.700000000000003</v>
      </c>
    </row>
    <row r="285" spans="1:10" x14ac:dyDescent="0.25">
      <c r="A285" s="2">
        <v>536396</v>
      </c>
      <c r="B285" s="2">
        <v>37370</v>
      </c>
      <c r="C285" s="2" t="s">
        <v>63</v>
      </c>
      <c r="D285" s="2">
        <v>6</v>
      </c>
      <c r="E285" s="8">
        <v>40513.45208333333</v>
      </c>
      <c r="F285" s="2">
        <v>1.06</v>
      </c>
      <c r="G285" s="2">
        <v>17850</v>
      </c>
      <c r="H285" s="2" t="s">
        <v>10</v>
      </c>
      <c r="I285" s="2">
        <f>ABS(DF[[#This Row],[Quantity_BEFORE]])</f>
        <v>6</v>
      </c>
      <c r="J285" s="2">
        <f>DF[[#This Row],[QUANTITY]]*DF[[#This Row],[UnitPrice]]</f>
        <v>6.36</v>
      </c>
    </row>
    <row r="286" spans="1:10" x14ac:dyDescent="0.25">
      <c r="A286" s="2">
        <v>536396</v>
      </c>
      <c r="B286" s="2">
        <v>21871</v>
      </c>
      <c r="C286" s="2" t="s">
        <v>64</v>
      </c>
      <c r="D286" s="2">
        <v>6</v>
      </c>
      <c r="E286" s="8">
        <v>40513.45208333333</v>
      </c>
      <c r="F286" s="2">
        <v>1.06</v>
      </c>
      <c r="G286" s="2">
        <v>17850</v>
      </c>
      <c r="H286" s="2" t="s">
        <v>10</v>
      </c>
      <c r="I286" s="2">
        <f>ABS(DF[[#This Row],[Quantity_BEFORE]])</f>
        <v>6</v>
      </c>
      <c r="J286" s="2">
        <f>DF[[#This Row],[QUANTITY]]*DF[[#This Row],[UnitPrice]]</f>
        <v>6.36</v>
      </c>
    </row>
    <row r="287" spans="1:10" x14ac:dyDescent="0.25">
      <c r="A287" s="2">
        <v>536396</v>
      </c>
      <c r="B287" s="2">
        <v>21071</v>
      </c>
      <c r="C287" s="2" t="s">
        <v>65</v>
      </c>
      <c r="D287" s="2">
        <v>6</v>
      </c>
      <c r="E287" s="8">
        <v>40513.45208333333</v>
      </c>
      <c r="F287" s="2">
        <v>1.06</v>
      </c>
      <c r="G287" s="2">
        <v>17850</v>
      </c>
      <c r="H287" s="2" t="s">
        <v>10</v>
      </c>
      <c r="I287" s="2">
        <f>ABS(DF[[#This Row],[Quantity_BEFORE]])</f>
        <v>6</v>
      </c>
      <c r="J287" s="2">
        <f>DF[[#This Row],[QUANTITY]]*DF[[#This Row],[UnitPrice]]</f>
        <v>6.36</v>
      </c>
    </row>
    <row r="288" spans="1:10" x14ac:dyDescent="0.25">
      <c r="A288" s="2">
        <v>536396</v>
      </c>
      <c r="B288" s="2">
        <v>21068</v>
      </c>
      <c r="C288" s="2" t="s">
        <v>66</v>
      </c>
      <c r="D288" s="2">
        <v>6</v>
      </c>
      <c r="E288" s="8">
        <v>40513.45208333333</v>
      </c>
      <c r="F288" s="2">
        <v>1.06</v>
      </c>
      <c r="G288" s="2">
        <v>17850</v>
      </c>
      <c r="H288" s="2" t="s">
        <v>10</v>
      </c>
      <c r="I288" s="2">
        <f>ABS(DF[[#This Row],[Quantity_BEFORE]])</f>
        <v>6</v>
      </c>
      <c r="J288" s="2">
        <f>DF[[#This Row],[QUANTITY]]*DF[[#This Row],[UnitPrice]]</f>
        <v>6.36</v>
      </c>
    </row>
    <row r="289" spans="1:10" x14ac:dyDescent="0.25">
      <c r="A289" s="2">
        <v>536396</v>
      </c>
      <c r="B289" s="2">
        <v>82483</v>
      </c>
      <c r="C289" s="2" t="s">
        <v>67</v>
      </c>
      <c r="D289" s="2">
        <v>2</v>
      </c>
      <c r="E289" s="8">
        <v>40513.45208333333</v>
      </c>
      <c r="F289" s="2">
        <v>4.95</v>
      </c>
      <c r="G289" s="2">
        <v>17850</v>
      </c>
      <c r="H289" s="2" t="s">
        <v>10</v>
      </c>
      <c r="I289" s="2">
        <f>ABS(DF[[#This Row],[Quantity_BEFORE]])</f>
        <v>2</v>
      </c>
      <c r="J289" s="2">
        <f>DF[[#This Row],[QUANTITY]]*DF[[#This Row],[UnitPrice]]</f>
        <v>9.9</v>
      </c>
    </row>
    <row r="290" spans="1:10" x14ac:dyDescent="0.25">
      <c r="A290" s="2">
        <v>536396</v>
      </c>
      <c r="B290" s="2">
        <v>82486</v>
      </c>
      <c r="C290" s="2" t="s">
        <v>68</v>
      </c>
      <c r="D290" s="2">
        <v>4</v>
      </c>
      <c r="E290" s="8">
        <v>40513.45208333333</v>
      </c>
      <c r="F290" s="2">
        <v>6.95</v>
      </c>
      <c r="G290" s="2">
        <v>17850</v>
      </c>
      <c r="H290" s="2" t="s">
        <v>10</v>
      </c>
      <c r="I290" s="2">
        <f>ABS(DF[[#This Row],[Quantity_BEFORE]])</f>
        <v>4</v>
      </c>
      <c r="J290" s="2">
        <f>DF[[#This Row],[QUANTITY]]*DF[[#This Row],[UnitPrice]]</f>
        <v>27.8</v>
      </c>
    </row>
    <row r="291" spans="1:10" x14ac:dyDescent="0.25">
      <c r="A291" s="2">
        <v>536396</v>
      </c>
      <c r="B291" s="2">
        <v>82482</v>
      </c>
      <c r="C291" s="2" t="s">
        <v>69</v>
      </c>
      <c r="D291" s="2">
        <v>6</v>
      </c>
      <c r="E291" s="8">
        <v>40513.45208333333</v>
      </c>
      <c r="F291" s="2">
        <v>2.1</v>
      </c>
      <c r="G291" s="2">
        <v>17850</v>
      </c>
      <c r="H291" s="2" t="s">
        <v>10</v>
      </c>
      <c r="I291" s="2">
        <f>ABS(DF[[#This Row],[Quantity_BEFORE]])</f>
        <v>6</v>
      </c>
      <c r="J291" s="2">
        <f>DF[[#This Row],[QUANTITY]]*DF[[#This Row],[UnitPrice]]</f>
        <v>12.600000000000001</v>
      </c>
    </row>
    <row r="292" spans="1:10" x14ac:dyDescent="0.25">
      <c r="A292" s="2">
        <v>536396</v>
      </c>
      <c r="B292" s="2" t="s">
        <v>70</v>
      </c>
      <c r="C292" s="2" t="s">
        <v>71</v>
      </c>
      <c r="D292" s="2">
        <v>12</v>
      </c>
      <c r="E292" s="8">
        <v>40513.45208333333</v>
      </c>
      <c r="F292" s="2">
        <v>2.5499999999999998</v>
      </c>
      <c r="G292" s="2">
        <v>17850</v>
      </c>
      <c r="H292" s="2" t="s">
        <v>10</v>
      </c>
      <c r="I292" s="2">
        <f>ABS(DF[[#This Row],[Quantity_BEFORE]])</f>
        <v>12</v>
      </c>
      <c r="J292" s="2">
        <f>DF[[#This Row],[QUANTITY]]*DF[[#This Row],[UnitPrice]]</f>
        <v>30.599999999999998</v>
      </c>
    </row>
    <row r="293" spans="1:10" x14ac:dyDescent="0.25">
      <c r="A293" s="2">
        <v>536396</v>
      </c>
      <c r="B293" s="2" t="s">
        <v>14</v>
      </c>
      <c r="C293" s="2" t="s">
        <v>15</v>
      </c>
      <c r="D293" s="2">
        <v>6</v>
      </c>
      <c r="E293" s="8">
        <v>40513.45208333333</v>
      </c>
      <c r="F293" s="2">
        <v>3.39</v>
      </c>
      <c r="G293" s="2">
        <v>17850</v>
      </c>
      <c r="H293" s="2" t="s">
        <v>10</v>
      </c>
      <c r="I293" s="2">
        <f>ABS(DF[[#This Row],[Quantity_BEFORE]])</f>
        <v>6</v>
      </c>
      <c r="J293" s="2">
        <f>DF[[#This Row],[QUANTITY]]*DF[[#This Row],[UnitPrice]]</f>
        <v>20.34</v>
      </c>
    </row>
    <row r="294" spans="1:10" x14ac:dyDescent="0.25">
      <c r="A294" s="2">
        <v>536396</v>
      </c>
      <c r="B294" s="2" t="s">
        <v>16</v>
      </c>
      <c r="C294" s="2" t="s">
        <v>17</v>
      </c>
      <c r="D294" s="2">
        <v>6</v>
      </c>
      <c r="E294" s="8">
        <v>40513.45208333333</v>
      </c>
      <c r="F294" s="2">
        <v>3.39</v>
      </c>
      <c r="G294" s="2">
        <v>17850</v>
      </c>
      <c r="H294" s="2" t="s">
        <v>10</v>
      </c>
      <c r="I294" s="2">
        <f>ABS(DF[[#This Row],[Quantity_BEFORE]])</f>
        <v>6</v>
      </c>
      <c r="J294" s="2">
        <f>DF[[#This Row],[QUANTITY]]*DF[[#This Row],[UnitPrice]]</f>
        <v>20.34</v>
      </c>
    </row>
    <row r="295" spans="1:10" x14ac:dyDescent="0.25">
      <c r="A295" s="2">
        <v>536396</v>
      </c>
      <c r="B295" s="2">
        <v>22752</v>
      </c>
      <c r="C295" s="2" t="s">
        <v>18</v>
      </c>
      <c r="D295" s="2">
        <v>2</v>
      </c>
      <c r="E295" s="8">
        <v>40513.45208333333</v>
      </c>
      <c r="F295" s="2">
        <v>7.65</v>
      </c>
      <c r="G295" s="2">
        <v>17850</v>
      </c>
      <c r="H295" s="2" t="s">
        <v>10</v>
      </c>
      <c r="I295" s="2">
        <f>ABS(DF[[#This Row],[Quantity_BEFORE]])</f>
        <v>2</v>
      </c>
      <c r="J295" s="2">
        <f>DF[[#This Row],[QUANTITY]]*DF[[#This Row],[UnitPrice]]</f>
        <v>15.3</v>
      </c>
    </row>
    <row r="296" spans="1:10" x14ac:dyDescent="0.25">
      <c r="A296" s="2">
        <v>536396</v>
      </c>
      <c r="B296" s="2">
        <v>22803</v>
      </c>
      <c r="C296" s="2" t="s">
        <v>249</v>
      </c>
      <c r="D296" s="2">
        <v>2</v>
      </c>
      <c r="E296" s="8">
        <v>40513.45208333333</v>
      </c>
      <c r="F296" s="2">
        <v>35.75</v>
      </c>
      <c r="G296" s="2">
        <v>17850</v>
      </c>
      <c r="H296" s="2" t="s">
        <v>10</v>
      </c>
      <c r="I296" s="2">
        <f>ABS(DF[[#This Row],[Quantity_BEFORE]])</f>
        <v>2</v>
      </c>
      <c r="J296" s="2">
        <f>DF[[#This Row],[QUANTITY]]*DF[[#This Row],[UnitPrice]]</f>
        <v>71.5</v>
      </c>
    </row>
    <row r="297" spans="1:10" x14ac:dyDescent="0.25">
      <c r="A297" s="2">
        <v>536396</v>
      </c>
      <c r="B297" s="2">
        <v>21730</v>
      </c>
      <c r="C297" s="2" t="s">
        <v>19</v>
      </c>
      <c r="D297" s="2">
        <v>6</v>
      </c>
      <c r="E297" s="8">
        <v>40513.45208333333</v>
      </c>
      <c r="F297" s="2">
        <v>4.25</v>
      </c>
      <c r="G297" s="2">
        <v>17850</v>
      </c>
      <c r="H297" s="2" t="s">
        <v>10</v>
      </c>
      <c r="I297" s="2">
        <f>ABS(DF[[#This Row],[Quantity_BEFORE]])</f>
        <v>6</v>
      </c>
      <c r="J297" s="2">
        <f>DF[[#This Row],[QUANTITY]]*DF[[#This Row],[UnitPrice]]</f>
        <v>25.5</v>
      </c>
    </row>
    <row r="298" spans="1:10" x14ac:dyDescent="0.25">
      <c r="A298" s="2">
        <v>536397</v>
      </c>
      <c r="B298" s="2" t="s">
        <v>250</v>
      </c>
      <c r="C298" s="2" t="s">
        <v>251</v>
      </c>
      <c r="D298" s="2">
        <v>12</v>
      </c>
      <c r="E298" s="8">
        <v>40513.45208333333</v>
      </c>
      <c r="F298" s="2">
        <v>4.6500000000000004</v>
      </c>
      <c r="G298" s="2">
        <v>17924</v>
      </c>
      <c r="H298" s="2" t="s">
        <v>10</v>
      </c>
      <c r="I298" s="2">
        <f>ABS(DF[[#This Row],[Quantity_BEFORE]])</f>
        <v>12</v>
      </c>
      <c r="J298" s="2">
        <f>DF[[#This Row],[QUANTITY]]*DF[[#This Row],[UnitPrice]]</f>
        <v>55.800000000000004</v>
      </c>
    </row>
    <row r="299" spans="1:10" x14ac:dyDescent="0.25">
      <c r="A299" s="2">
        <v>536397</v>
      </c>
      <c r="B299" s="2" t="s">
        <v>151</v>
      </c>
      <c r="C299" s="2" t="s">
        <v>152</v>
      </c>
      <c r="D299" s="2">
        <v>48</v>
      </c>
      <c r="E299" s="8">
        <v>40513.45208333333</v>
      </c>
      <c r="F299" s="2">
        <v>4.6500000000000004</v>
      </c>
      <c r="G299" s="2">
        <v>17924</v>
      </c>
      <c r="H299" s="2" t="s">
        <v>10</v>
      </c>
      <c r="I299" s="2">
        <f>ABS(DF[[#This Row],[Quantity_BEFORE]])</f>
        <v>48</v>
      </c>
      <c r="J299" s="2">
        <f>DF[[#This Row],[QUANTITY]]*DF[[#This Row],[UnitPrice]]</f>
        <v>223.20000000000002</v>
      </c>
    </row>
    <row r="300" spans="1:10" x14ac:dyDescent="0.25">
      <c r="A300" s="2">
        <v>536398</v>
      </c>
      <c r="B300" s="2">
        <v>21980</v>
      </c>
      <c r="C300" s="2" t="s">
        <v>222</v>
      </c>
      <c r="D300" s="2">
        <v>24</v>
      </c>
      <c r="E300" s="8">
        <v>40513.452777777777</v>
      </c>
      <c r="F300" s="2">
        <v>0.28999999999999998</v>
      </c>
      <c r="G300" s="2">
        <v>13448</v>
      </c>
      <c r="H300" s="2" t="s">
        <v>10</v>
      </c>
      <c r="I300" s="2">
        <f>ABS(DF[[#This Row],[Quantity_BEFORE]])</f>
        <v>24</v>
      </c>
      <c r="J300" s="2">
        <f>DF[[#This Row],[QUANTITY]]*DF[[#This Row],[UnitPrice]]</f>
        <v>6.9599999999999991</v>
      </c>
    </row>
    <row r="301" spans="1:10" x14ac:dyDescent="0.25">
      <c r="A301" s="2">
        <v>536398</v>
      </c>
      <c r="B301" s="2">
        <v>21844</v>
      </c>
      <c r="C301" s="2" t="s">
        <v>252</v>
      </c>
      <c r="D301" s="2">
        <v>6</v>
      </c>
      <c r="E301" s="8">
        <v>40513.452777777777</v>
      </c>
      <c r="F301" s="2">
        <v>2.95</v>
      </c>
      <c r="G301" s="2">
        <v>13448</v>
      </c>
      <c r="H301" s="2" t="s">
        <v>10</v>
      </c>
      <c r="I301" s="2">
        <f>ABS(DF[[#This Row],[Quantity_BEFORE]])</f>
        <v>6</v>
      </c>
      <c r="J301" s="2">
        <f>DF[[#This Row],[QUANTITY]]*DF[[#This Row],[UnitPrice]]</f>
        <v>17.700000000000003</v>
      </c>
    </row>
    <row r="302" spans="1:10" x14ac:dyDescent="0.25">
      <c r="A302" s="2">
        <v>536398</v>
      </c>
      <c r="B302" s="2">
        <v>22468</v>
      </c>
      <c r="C302" s="2" t="s">
        <v>253</v>
      </c>
      <c r="D302" s="2">
        <v>4</v>
      </c>
      <c r="E302" s="8">
        <v>40513.452777777777</v>
      </c>
      <c r="F302" s="2">
        <v>6.75</v>
      </c>
      <c r="G302" s="2">
        <v>13448</v>
      </c>
      <c r="H302" s="2" t="s">
        <v>10</v>
      </c>
      <c r="I302" s="2">
        <f>ABS(DF[[#This Row],[Quantity_BEFORE]])</f>
        <v>4</v>
      </c>
      <c r="J302" s="2">
        <f>DF[[#This Row],[QUANTITY]]*DF[[#This Row],[UnitPrice]]</f>
        <v>27</v>
      </c>
    </row>
    <row r="303" spans="1:10" x14ac:dyDescent="0.25">
      <c r="A303" s="2">
        <v>536398</v>
      </c>
      <c r="B303" s="2">
        <v>22637</v>
      </c>
      <c r="C303" s="2" t="s">
        <v>110</v>
      </c>
      <c r="D303" s="2">
        <v>8</v>
      </c>
      <c r="E303" s="8">
        <v>40513.452777777777</v>
      </c>
      <c r="F303" s="2">
        <v>2.5499999999999998</v>
      </c>
      <c r="G303" s="2">
        <v>13448</v>
      </c>
      <c r="H303" s="2" t="s">
        <v>10</v>
      </c>
      <c r="I303" s="2">
        <f>ABS(DF[[#This Row],[Quantity_BEFORE]])</f>
        <v>8</v>
      </c>
      <c r="J303" s="2">
        <f>DF[[#This Row],[QUANTITY]]*DF[[#This Row],[UnitPrice]]</f>
        <v>20.399999999999999</v>
      </c>
    </row>
    <row r="304" spans="1:10" x14ac:dyDescent="0.25">
      <c r="A304" s="2">
        <v>536398</v>
      </c>
      <c r="B304" s="2">
        <v>22752</v>
      </c>
      <c r="C304" s="2" t="s">
        <v>18</v>
      </c>
      <c r="D304" s="2">
        <v>6</v>
      </c>
      <c r="E304" s="8">
        <v>40513.452777777777</v>
      </c>
      <c r="F304" s="2">
        <v>8.5</v>
      </c>
      <c r="G304" s="2">
        <v>13448</v>
      </c>
      <c r="H304" s="2" t="s">
        <v>10</v>
      </c>
      <c r="I304" s="2">
        <f>ABS(DF[[#This Row],[Quantity_BEFORE]])</f>
        <v>6</v>
      </c>
      <c r="J304" s="2">
        <f>DF[[#This Row],[QUANTITY]]*DF[[#This Row],[UnitPrice]]</f>
        <v>51</v>
      </c>
    </row>
    <row r="305" spans="1:10" x14ac:dyDescent="0.25">
      <c r="A305" s="2">
        <v>536398</v>
      </c>
      <c r="B305" s="2">
        <v>48185</v>
      </c>
      <c r="C305" s="2" t="s">
        <v>254</v>
      </c>
      <c r="D305" s="2">
        <v>2</v>
      </c>
      <c r="E305" s="8">
        <v>40513.452777777777</v>
      </c>
      <c r="F305" s="2">
        <v>7.95</v>
      </c>
      <c r="G305" s="2">
        <v>13448</v>
      </c>
      <c r="H305" s="2" t="s">
        <v>10</v>
      </c>
      <c r="I305" s="2">
        <f>ABS(DF[[#This Row],[Quantity_BEFORE]])</f>
        <v>2</v>
      </c>
      <c r="J305" s="2">
        <f>DF[[#This Row],[QUANTITY]]*DF[[#This Row],[UnitPrice]]</f>
        <v>15.9</v>
      </c>
    </row>
    <row r="306" spans="1:10" x14ac:dyDescent="0.25">
      <c r="A306" s="2">
        <v>536398</v>
      </c>
      <c r="B306" s="2">
        <v>22632</v>
      </c>
      <c r="C306" s="2" t="s">
        <v>239</v>
      </c>
      <c r="D306" s="2">
        <v>12</v>
      </c>
      <c r="E306" s="8">
        <v>40513.452777777777</v>
      </c>
      <c r="F306" s="2">
        <v>2.1</v>
      </c>
      <c r="G306" s="2">
        <v>13448</v>
      </c>
      <c r="H306" s="2" t="s">
        <v>10</v>
      </c>
      <c r="I306" s="2">
        <f>ABS(DF[[#This Row],[Quantity_BEFORE]])</f>
        <v>12</v>
      </c>
      <c r="J306" s="2">
        <f>DF[[#This Row],[QUANTITY]]*DF[[#This Row],[UnitPrice]]</f>
        <v>25.200000000000003</v>
      </c>
    </row>
    <row r="307" spans="1:10" x14ac:dyDescent="0.25">
      <c r="A307" s="2">
        <v>536398</v>
      </c>
      <c r="B307" s="2">
        <v>22866</v>
      </c>
      <c r="C307" s="2" t="s">
        <v>237</v>
      </c>
      <c r="D307" s="2">
        <v>12</v>
      </c>
      <c r="E307" s="8">
        <v>40513.452777777777</v>
      </c>
      <c r="F307" s="2">
        <v>2.1</v>
      </c>
      <c r="G307" s="2">
        <v>13448</v>
      </c>
      <c r="H307" s="2" t="s">
        <v>10</v>
      </c>
      <c r="I307" s="2">
        <f>ABS(DF[[#This Row],[Quantity_BEFORE]])</f>
        <v>12</v>
      </c>
      <c r="J307" s="2">
        <f>DF[[#This Row],[QUANTITY]]*DF[[#This Row],[UnitPrice]]</f>
        <v>25.200000000000003</v>
      </c>
    </row>
    <row r="308" spans="1:10" x14ac:dyDescent="0.25">
      <c r="A308" s="2">
        <v>536398</v>
      </c>
      <c r="B308" s="2">
        <v>22865</v>
      </c>
      <c r="C308" s="2" t="s">
        <v>238</v>
      </c>
      <c r="D308" s="2">
        <v>12</v>
      </c>
      <c r="E308" s="8">
        <v>40513.452777777777</v>
      </c>
      <c r="F308" s="2">
        <v>2.1</v>
      </c>
      <c r="G308" s="2">
        <v>13448</v>
      </c>
      <c r="H308" s="2" t="s">
        <v>10</v>
      </c>
      <c r="I308" s="2">
        <f>ABS(DF[[#This Row],[Quantity_BEFORE]])</f>
        <v>12</v>
      </c>
      <c r="J308" s="2">
        <f>DF[[#This Row],[QUANTITY]]*DF[[#This Row],[UnitPrice]]</f>
        <v>25.200000000000003</v>
      </c>
    </row>
    <row r="309" spans="1:10" x14ac:dyDescent="0.25">
      <c r="A309" s="2">
        <v>536398</v>
      </c>
      <c r="B309" s="2">
        <v>21232</v>
      </c>
      <c r="C309" s="2" t="s">
        <v>255</v>
      </c>
      <c r="D309" s="2">
        <v>12</v>
      </c>
      <c r="E309" s="8">
        <v>40513.452777777777</v>
      </c>
      <c r="F309" s="2">
        <v>1.25</v>
      </c>
      <c r="G309" s="2">
        <v>13448</v>
      </c>
      <c r="H309" s="2" t="s">
        <v>10</v>
      </c>
      <c r="I309" s="2">
        <f>ABS(DF[[#This Row],[Quantity_BEFORE]])</f>
        <v>12</v>
      </c>
      <c r="J309" s="2">
        <f>DF[[#This Row],[QUANTITY]]*DF[[#This Row],[UnitPrice]]</f>
        <v>15</v>
      </c>
    </row>
    <row r="310" spans="1:10" x14ac:dyDescent="0.25">
      <c r="A310" s="2">
        <v>536398</v>
      </c>
      <c r="B310" s="2">
        <v>22064</v>
      </c>
      <c r="C310" s="2" t="s">
        <v>256</v>
      </c>
      <c r="D310" s="2">
        <v>12</v>
      </c>
      <c r="E310" s="8">
        <v>40513.452777777777</v>
      </c>
      <c r="F310" s="2">
        <v>1.65</v>
      </c>
      <c r="G310" s="2">
        <v>13448</v>
      </c>
      <c r="H310" s="2" t="s">
        <v>10</v>
      </c>
      <c r="I310" s="2">
        <f>ABS(DF[[#This Row],[Quantity_BEFORE]])</f>
        <v>12</v>
      </c>
      <c r="J310" s="2">
        <f>DF[[#This Row],[QUANTITY]]*DF[[#This Row],[UnitPrice]]</f>
        <v>19.799999999999997</v>
      </c>
    </row>
    <row r="311" spans="1:10" x14ac:dyDescent="0.25">
      <c r="A311" s="2">
        <v>536398</v>
      </c>
      <c r="B311" s="2">
        <v>22449</v>
      </c>
      <c r="C311" s="2" t="s">
        <v>257</v>
      </c>
      <c r="D311" s="2">
        <v>6</v>
      </c>
      <c r="E311" s="8">
        <v>40513.452777777777</v>
      </c>
      <c r="F311" s="2">
        <v>3.35</v>
      </c>
      <c r="G311" s="2">
        <v>13448</v>
      </c>
      <c r="H311" s="2" t="s">
        <v>10</v>
      </c>
      <c r="I311" s="2">
        <f>ABS(DF[[#This Row],[Quantity_BEFORE]])</f>
        <v>6</v>
      </c>
      <c r="J311" s="2">
        <f>DF[[#This Row],[QUANTITY]]*DF[[#This Row],[UnitPrice]]</f>
        <v>20.100000000000001</v>
      </c>
    </row>
    <row r="312" spans="1:10" x14ac:dyDescent="0.25">
      <c r="A312" s="2">
        <v>536398</v>
      </c>
      <c r="B312" s="2">
        <v>22114</v>
      </c>
      <c r="C312" s="2" t="s">
        <v>73</v>
      </c>
      <c r="D312" s="2">
        <v>4</v>
      </c>
      <c r="E312" s="8">
        <v>40513.452777777777</v>
      </c>
      <c r="F312" s="2">
        <v>3.95</v>
      </c>
      <c r="G312" s="2">
        <v>13448</v>
      </c>
      <c r="H312" s="2" t="s">
        <v>10</v>
      </c>
      <c r="I312" s="2">
        <f>ABS(DF[[#This Row],[Quantity_BEFORE]])</f>
        <v>4</v>
      </c>
      <c r="J312" s="2">
        <f>DF[[#This Row],[QUANTITY]]*DF[[#This Row],[UnitPrice]]</f>
        <v>15.8</v>
      </c>
    </row>
    <row r="313" spans="1:10" x14ac:dyDescent="0.25">
      <c r="A313" s="2">
        <v>536398</v>
      </c>
      <c r="B313" s="2">
        <v>22835</v>
      </c>
      <c r="C313" s="2" t="s">
        <v>258</v>
      </c>
      <c r="D313" s="2">
        <v>8</v>
      </c>
      <c r="E313" s="8">
        <v>40513.452777777777</v>
      </c>
      <c r="F313" s="2">
        <v>4.6500000000000004</v>
      </c>
      <c r="G313" s="2">
        <v>13448</v>
      </c>
      <c r="H313" s="2" t="s">
        <v>10</v>
      </c>
      <c r="I313" s="2">
        <f>ABS(DF[[#This Row],[Quantity_BEFORE]])</f>
        <v>8</v>
      </c>
      <c r="J313" s="2">
        <f>DF[[#This Row],[QUANTITY]]*DF[[#This Row],[UnitPrice]]</f>
        <v>37.200000000000003</v>
      </c>
    </row>
    <row r="314" spans="1:10" x14ac:dyDescent="0.25">
      <c r="A314" s="2">
        <v>536398</v>
      </c>
      <c r="B314" s="2">
        <v>22112</v>
      </c>
      <c r="C314" s="2" t="s">
        <v>259</v>
      </c>
      <c r="D314" s="2">
        <v>9</v>
      </c>
      <c r="E314" s="8">
        <v>40513.452777777777</v>
      </c>
      <c r="F314" s="2">
        <v>4.95</v>
      </c>
      <c r="G314" s="2">
        <v>13448</v>
      </c>
      <c r="H314" s="2" t="s">
        <v>10</v>
      </c>
      <c r="I314" s="2">
        <f>ABS(DF[[#This Row],[Quantity_BEFORE]])</f>
        <v>9</v>
      </c>
      <c r="J314" s="2">
        <f>DF[[#This Row],[QUANTITY]]*DF[[#This Row],[UnitPrice]]</f>
        <v>44.550000000000004</v>
      </c>
    </row>
    <row r="315" spans="1:10" x14ac:dyDescent="0.25">
      <c r="A315" s="2">
        <v>536398</v>
      </c>
      <c r="B315" s="2">
        <v>21479</v>
      </c>
      <c r="C315" s="2" t="s">
        <v>260</v>
      </c>
      <c r="D315" s="2">
        <v>4</v>
      </c>
      <c r="E315" s="8">
        <v>40513.452777777777</v>
      </c>
      <c r="F315" s="2">
        <v>3.75</v>
      </c>
      <c r="G315" s="2">
        <v>13448</v>
      </c>
      <c r="H315" s="2" t="s">
        <v>10</v>
      </c>
      <c r="I315" s="2">
        <f>ABS(DF[[#This Row],[Quantity_BEFORE]])</f>
        <v>4</v>
      </c>
      <c r="J315" s="2">
        <f>DF[[#This Row],[QUANTITY]]*DF[[#This Row],[UnitPrice]]</f>
        <v>15</v>
      </c>
    </row>
    <row r="316" spans="1:10" x14ac:dyDescent="0.25">
      <c r="A316" s="2">
        <v>536398</v>
      </c>
      <c r="B316" s="2">
        <v>22111</v>
      </c>
      <c r="C316" s="2" t="s">
        <v>261</v>
      </c>
      <c r="D316" s="2">
        <v>9</v>
      </c>
      <c r="E316" s="8">
        <v>40513.452777777777</v>
      </c>
      <c r="F316" s="2">
        <v>4.95</v>
      </c>
      <c r="G316" s="2">
        <v>13448</v>
      </c>
      <c r="H316" s="2" t="s">
        <v>10</v>
      </c>
      <c r="I316" s="2">
        <f>ABS(DF[[#This Row],[Quantity_BEFORE]])</f>
        <v>9</v>
      </c>
      <c r="J316" s="2">
        <f>DF[[#This Row],[QUANTITY]]*DF[[#This Row],[UnitPrice]]</f>
        <v>44.550000000000004</v>
      </c>
    </row>
    <row r="317" spans="1:10" x14ac:dyDescent="0.25">
      <c r="A317" s="2">
        <v>536399</v>
      </c>
      <c r="B317" s="2">
        <v>22632</v>
      </c>
      <c r="C317" s="2" t="s">
        <v>21</v>
      </c>
      <c r="D317" s="2">
        <v>6</v>
      </c>
      <c r="E317" s="8">
        <v>40513.452777777777</v>
      </c>
      <c r="F317" s="2">
        <v>1.85</v>
      </c>
      <c r="G317" s="2">
        <v>17850</v>
      </c>
      <c r="H317" s="2" t="s">
        <v>10</v>
      </c>
      <c r="I317" s="2">
        <f>ABS(DF[[#This Row],[Quantity_BEFORE]])</f>
        <v>6</v>
      </c>
      <c r="J317" s="2">
        <f>DF[[#This Row],[QUANTITY]]*DF[[#This Row],[UnitPrice]]</f>
        <v>11.100000000000001</v>
      </c>
    </row>
    <row r="318" spans="1:10" x14ac:dyDescent="0.25">
      <c r="A318" s="2">
        <v>536399</v>
      </c>
      <c r="B318" s="2">
        <v>22633</v>
      </c>
      <c r="C318" s="2" t="s">
        <v>20</v>
      </c>
      <c r="D318" s="2">
        <v>6</v>
      </c>
      <c r="E318" s="8">
        <v>40513.452777777777</v>
      </c>
      <c r="F318" s="2">
        <v>1.85</v>
      </c>
      <c r="G318" s="2">
        <v>17850</v>
      </c>
      <c r="H318" s="2" t="s">
        <v>10</v>
      </c>
      <c r="I318" s="2">
        <f>ABS(DF[[#This Row],[Quantity_BEFORE]])</f>
        <v>6</v>
      </c>
      <c r="J318" s="2">
        <f>DF[[#This Row],[QUANTITY]]*DF[[#This Row],[UnitPrice]]</f>
        <v>11.100000000000001</v>
      </c>
    </row>
    <row r="319" spans="1:10" x14ac:dyDescent="0.25">
      <c r="A319" s="2">
        <v>536400</v>
      </c>
      <c r="B319" s="2">
        <v>22969</v>
      </c>
      <c r="C319" s="2" t="s">
        <v>183</v>
      </c>
      <c r="D319" s="2">
        <v>12</v>
      </c>
      <c r="E319" s="8">
        <v>40513.453472222223</v>
      </c>
      <c r="F319" s="2">
        <v>1.45</v>
      </c>
      <c r="G319" s="2">
        <v>13448</v>
      </c>
      <c r="H319" s="2" t="s">
        <v>10</v>
      </c>
      <c r="I319" s="2">
        <f>ABS(DF[[#This Row],[Quantity_BEFORE]])</f>
        <v>12</v>
      </c>
      <c r="J319" s="2">
        <f>DF[[#This Row],[QUANTITY]]*DF[[#This Row],[UnitPrice]]</f>
        <v>17.399999999999999</v>
      </c>
    </row>
    <row r="320" spans="1:10" x14ac:dyDescent="0.25">
      <c r="A320" s="2">
        <v>536401</v>
      </c>
      <c r="B320" s="2">
        <v>22110</v>
      </c>
      <c r="C320" s="2" t="s">
        <v>262</v>
      </c>
      <c r="D320" s="2">
        <v>1</v>
      </c>
      <c r="E320" s="8">
        <v>40513.472916666666</v>
      </c>
      <c r="F320" s="2">
        <v>2.5499999999999998</v>
      </c>
      <c r="G320" s="2">
        <v>15862</v>
      </c>
      <c r="H320" s="2" t="s">
        <v>10</v>
      </c>
      <c r="I320" s="2">
        <f>ABS(DF[[#This Row],[Quantity_BEFORE]])</f>
        <v>1</v>
      </c>
      <c r="J320" s="2">
        <f>DF[[#This Row],[QUANTITY]]*DF[[#This Row],[UnitPrice]]</f>
        <v>2.5499999999999998</v>
      </c>
    </row>
    <row r="321" spans="1:10" x14ac:dyDescent="0.25">
      <c r="A321" s="2">
        <v>536401</v>
      </c>
      <c r="B321" s="2">
        <v>22098</v>
      </c>
      <c r="C321" s="2" t="s">
        <v>263</v>
      </c>
      <c r="D321" s="2">
        <v>1</v>
      </c>
      <c r="E321" s="8">
        <v>40513.472916666666</v>
      </c>
      <c r="F321" s="2">
        <v>1.25</v>
      </c>
      <c r="G321" s="2">
        <v>15862</v>
      </c>
      <c r="H321" s="2" t="s">
        <v>10</v>
      </c>
      <c r="I321" s="2">
        <f>ABS(DF[[#This Row],[Quantity_BEFORE]])</f>
        <v>1</v>
      </c>
      <c r="J321" s="2">
        <f>DF[[#This Row],[QUANTITY]]*DF[[#This Row],[UnitPrice]]</f>
        <v>1.25</v>
      </c>
    </row>
    <row r="322" spans="1:10" x14ac:dyDescent="0.25">
      <c r="A322" s="2">
        <v>536401</v>
      </c>
      <c r="B322" s="2">
        <v>22100</v>
      </c>
      <c r="C322" s="2" t="s">
        <v>264</v>
      </c>
      <c r="D322" s="2">
        <v>2</v>
      </c>
      <c r="E322" s="8">
        <v>40513.472916666666</v>
      </c>
      <c r="F322" s="2">
        <v>1.25</v>
      </c>
      <c r="G322" s="2">
        <v>15862</v>
      </c>
      <c r="H322" s="2" t="s">
        <v>10</v>
      </c>
      <c r="I322" s="2">
        <f>ABS(DF[[#This Row],[Quantity_BEFORE]])</f>
        <v>2</v>
      </c>
      <c r="J322" s="2">
        <f>DF[[#This Row],[QUANTITY]]*DF[[#This Row],[UnitPrice]]</f>
        <v>2.5</v>
      </c>
    </row>
    <row r="323" spans="1:10" x14ac:dyDescent="0.25">
      <c r="A323" s="2">
        <v>536401</v>
      </c>
      <c r="B323" s="2">
        <v>22766</v>
      </c>
      <c r="C323" s="2" t="s">
        <v>265</v>
      </c>
      <c r="D323" s="2">
        <v>1</v>
      </c>
      <c r="E323" s="8">
        <v>40513.472916666666</v>
      </c>
      <c r="F323" s="2">
        <v>2.95</v>
      </c>
      <c r="G323" s="2">
        <v>15862</v>
      </c>
      <c r="H323" s="2" t="s">
        <v>10</v>
      </c>
      <c r="I323" s="2">
        <f>ABS(DF[[#This Row],[Quantity_BEFORE]])</f>
        <v>1</v>
      </c>
      <c r="J323" s="2">
        <f>DF[[#This Row],[QUANTITY]]*DF[[#This Row],[UnitPrice]]</f>
        <v>2.95</v>
      </c>
    </row>
    <row r="324" spans="1:10" x14ac:dyDescent="0.25">
      <c r="A324" s="2">
        <v>536401</v>
      </c>
      <c r="B324" s="2">
        <v>22451</v>
      </c>
      <c r="C324" s="2" t="s">
        <v>266</v>
      </c>
      <c r="D324" s="2">
        <v>1</v>
      </c>
      <c r="E324" s="8">
        <v>40513.472916666666</v>
      </c>
      <c r="F324" s="2">
        <v>3.35</v>
      </c>
      <c r="G324" s="2">
        <v>15862</v>
      </c>
      <c r="H324" s="2" t="s">
        <v>10</v>
      </c>
      <c r="I324" s="2">
        <f>ABS(DF[[#This Row],[Quantity_BEFORE]])</f>
        <v>1</v>
      </c>
      <c r="J324" s="2">
        <f>DF[[#This Row],[QUANTITY]]*DF[[#This Row],[UnitPrice]]</f>
        <v>3.35</v>
      </c>
    </row>
    <row r="325" spans="1:10" x14ac:dyDescent="0.25">
      <c r="A325" s="2">
        <v>536401</v>
      </c>
      <c r="B325" s="2">
        <v>22549</v>
      </c>
      <c r="C325" s="2" t="s">
        <v>267</v>
      </c>
      <c r="D325" s="2">
        <v>1</v>
      </c>
      <c r="E325" s="8">
        <v>40513.472916666666</v>
      </c>
      <c r="F325" s="2">
        <v>1.45</v>
      </c>
      <c r="G325" s="2">
        <v>15862</v>
      </c>
      <c r="H325" s="2" t="s">
        <v>10</v>
      </c>
      <c r="I325" s="2">
        <f>ABS(DF[[#This Row],[Quantity_BEFORE]])</f>
        <v>1</v>
      </c>
      <c r="J325" s="2">
        <f>DF[[#This Row],[QUANTITY]]*DF[[#This Row],[UnitPrice]]</f>
        <v>1.45</v>
      </c>
    </row>
    <row r="326" spans="1:10" x14ac:dyDescent="0.25">
      <c r="A326" s="2">
        <v>536401</v>
      </c>
      <c r="B326" s="2">
        <v>84744</v>
      </c>
      <c r="C326" s="2" t="s">
        <v>268</v>
      </c>
      <c r="D326" s="2">
        <v>1</v>
      </c>
      <c r="E326" s="8">
        <v>40513.472916666666</v>
      </c>
      <c r="F326" s="2">
        <v>1.25</v>
      </c>
      <c r="G326" s="2">
        <v>15862</v>
      </c>
      <c r="H326" s="2" t="s">
        <v>10</v>
      </c>
      <c r="I326" s="2">
        <f>ABS(DF[[#This Row],[Quantity_BEFORE]])</f>
        <v>1</v>
      </c>
      <c r="J326" s="2">
        <f>DF[[#This Row],[QUANTITY]]*DF[[#This Row],[UnitPrice]]</f>
        <v>1.25</v>
      </c>
    </row>
    <row r="327" spans="1:10" x14ac:dyDescent="0.25">
      <c r="A327" s="2">
        <v>536401</v>
      </c>
      <c r="B327" s="2" t="s">
        <v>269</v>
      </c>
      <c r="C327" s="2" t="s">
        <v>270</v>
      </c>
      <c r="D327" s="2">
        <v>2</v>
      </c>
      <c r="E327" s="8">
        <v>40513.472916666666</v>
      </c>
      <c r="F327" s="2">
        <v>1.25</v>
      </c>
      <c r="G327" s="2">
        <v>15862</v>
      </c>
      <c r="H327" s="2" t="s">
        <v>10</v>
      </c>
      <c r="I327" s="2">
        <f>ABS(DF[[#This Row],[Quantity_BEFORE]])</f>
        <v>2</v>
      </c>
      <c r="J327" s="2">
        <f>DF[[#This Row],[QUANTITY]]*DF[[#This Row],[UnitPrice]]</f>
        <v>2.5</v>
      </c>
    </row>
    <row r="328" spans="1:10" x14ac:dyDescent="0.25">
      <c r="A328" s="2">
        <v>536401</v>
      </c>
      <c r="B328" s="2">
        <v>21328</v>
      </c>
      <c r="C328" s="2" t="s">
        <v>271</v>
      </c>
      <c r="D328" s="2">
        <v>1</v>
      </c>
      <c r="E328" s="8">
        <v>40513.472916666666</v>
      </c>
      <c r="F328" s="2">
        <v>1.65</v>
      </c>
      <c r="G328" s="2">
        <v>15862</v>
      </c>
      <c r="H328" s="2" t="s">
        <v>10</v>
      </c>
      <c r="I328" s="2">
        <f>ABS(DF[[#This Row],[Quantity_BEFORE]])</f>
        <v>1</v>
      </c>
      <c r="J328" s="2">
        <f>DF[[#This Row],[QUANTITY]]*DF[[#This Row],[UnitPrice]]</f>
        <v>1.65</v>
      </c>
    </row>
    <row r="329" spans="1:10" x14ac:dyDescent="0.25">
      <c r="A329" s="2">
        <v>536401</v>
      </c>
      <c r="B329" s="2">
        <v>22961</v>
      </c>
      <c r="C329" s="2" t="s">
        <v>100</v>
      </c>
      <c r="D329" s="2">
        <v>4</v>
      </c>
      <c r="E329" s="8">
        <v>40513.472916666666</v>
      </c>
      <c r="F329" s="2">
        <v>1.45</v>
      </c>
      <c r="G329" s="2">
        <v>15862</v>
      </c>
      <c r="H329" s="2" t="s">
        <v>10</v>
      </c>
      <c r="I329" s="2">
        <f>ABS(DF[[#This Row],[Quantity_BEFORE]])</f>
        <v>4</v>
      </c>
      <c r="J329" s="2">
        <f>DF[[#This Row],[QUANTITY]]*DF[[#This Row],[UnitPrice]]</f>
        <v>5.8</v>
      </c>
    </row>
    <row r="330" spans="1:10" x14ac:dyDescent="0.25">
      <c r="A330" s="2">
        <v>536401</v>
      </c>
      <c r="B330" s="2" t="s">
        <v>272</v>
      </c>
      <c r="C330" s="2" t="s">
        <v>273</v>
      </c>
      <c r="D330" s="2">
        <v>1</v>
      </c>
      <c r="E330" s="8">
        <v>40513.472916666666</v>
      </c>
      <c r="F330" s="2">
        <v>1.25</v>
      </c>
      <c r="G330" s="2">
        <v>15862</v>
      </c>
      <c r="H330" s="2" t="s">
        <v>10</v>
      </c>
      <c r="I330" s="2">
        <f>ABS(DF[[#This Row],[Quantity_BEFORE]])</f>
        <v>1</v>
      </c>
      <c r="J330" s="2">
        <f>DF[[#This Row],[QUANTITY]]*DF[[#This Row],[UnitPrice]]</f>
        <v>1.25</v>
      </c>
    </row>
    <row r="331" spans="1:10" x14ac:dyDescent="0.25">
      <c r="A331" s="2">
        <v>536401</v>
      </c>
      <c r="B331" s="2">
        <v>22473</v>
      </c>
      <c r="C331" s="2" t="s">
        <v>274</v>
      </c>
      <c r="D331" s="2">
        <v>1</v>
      </c>
      <c r="E331" s="8">
        <v>40513.472916666666</v>
      </c>
      <c r="F331" s="2">
        <v>4.95</v>
      </c>
      <c r="G331" s="2">
        <v>15862</v>
      </c>
      <c r="H331" s="2" t="s">
        <v>10</v>
      </c>
      <c r="I331" s="2">
        <f>ABS(DF[[#This Row],[Quantity_BEFORE]])</f>
        <v>1</v>
      </c>
      <c r="J331" s="2">
        <f>DF[[#This Row],[QUANTITY]]*DF[[#This Row],[UnitPrice]]</f>
        <v>4.95</v>
      </c>
    </row>
    <row r="332" spans="1:10" x14ac:dyDescent="0.25">
      <c r="A332" s="2">
        <v>536401</v>
      </c>
      <c r="B332" s="2" t="s">
        <v>275</v>
      </c>
      <c r="C332" s="2" t="s">
        <v>276</v>
      </c>
      <c r="D332" s="2">
        <v>2</v>
      </c>
      <c r="E332" s="8">
        <v>40513.472916666666</v>
      </c>
      <c r="F332" s="2">
        <v>3.75</v>
      </c>
      <c r="G332" s="2">
        <v>15862</v>
      </c>
      <c r="H332" s="2" t="s">
        <v>10</v>
      </c>
      <c r="I332" s="2">
        <f>ABS(DF[[#This Row],[Quantity_BEFORE]])</f>
        <v>2</v>
      </c>
      <c r="J332" s="2">
        <f>DF[[#This Row],[QUANTITY]]*DF[[#This Row],[UnitPrice]]</f>
        <v>7.5</v>
      </c>
    </row>
    <row r="333" spans="1:10" x14ac:dyDescent="0.25">
      <c r="A333" s="2">
        <v>536401</v>
      </c>
      <c r="B333" s="2" t="s">
        <v>277</v>
      </c>
      <c r="C333" s="2" t="s">
        <v>278</v>
      </c>
      <c r="D333" s="2">
        <v>2</v>
      </c>
      <c r="E333" s="8">
        <v>40513.472916666666</v>
      </c>
      <c r="F333" s="2">
        <v>1.25</v>
      </c>
      <c r="G333" s="2">
        <v>15862</v>
      </c>
      <c r="H333" s="2" t="s">
        <v>10</v>
      </c>
      <c r="I333" s="2">
        <f>ABS(DF[[#This Row],[Quantity_BEFORE]])</f>
        <v>2</v>
      </c>
      <c r="J333" s="2">
        <f>DF[[#This Row],[QUANTITY]]*DF[[#This Row],[UnitPrice]]</f>
        <v>2.5</v>
      </c>
    </row>
    <row r="334" spans="1:10" x14ac:dyDescent="0.25">
      <c r="A334" s="2">
        <v>536401</v>
      </c>
      <c r="B334" s="2">
        <v>22767</v>
      </c>
      <c r="C334" s="2" t="s">
        <v>279</v>
      </c>
      <c r="D334" s="2">
        <v>2</v>
      </c>
      <c r="E334" s="8">
        <v>40513.472916666666</v>
      </c>
      <c r="F334" s="2">
        <v>9.9499999999999993</v>
      </c>
      <c r="G334" s="2">
        <v>15862</v>
      </c>
      <c r="H334" s="2" t="s">
        <v>10</v>
      </c>
      <c r="I334" s="2">
        <f>ABS(DF[[#This Row],[Quantity_BEFORE]])</f>
        <v>2</v>
      </c>
      <c r="J334" s="2">
        <f>DF[[#This Row],[QUANTITY]]*DF[[#This Row],[UnitPrice]]</f>
        <v>19.899999999999999</v>
      </c>
    </row>
    <row r="335" spans="1:10" x14ac:dyDescent="0.25">
      <c r="A335" s="2">
        <v>536401</v>
      </c>
      <c r="B335" s="2">
        <v>22768</v>
      </c>
      <c r="C335" s="2" t="s">
        <v>280</v>
      </c>
      <c r="D335" s="2">
        <v>1</v>
      </c>
      <c r="E335" s="8">
        <v>40513.472916666666</v>
      </c>
      <c r="F335" s="2">
        <v>9.9499999999999993</v>
      </c>
      <c r="G335" s="2">
        <v>15862</v>
      </c>
      <c r="H335" s="2" t="s">
        <v>10</v>
      </c>
      <c r="I335" s="2">
        <f>ABS(DF[[#This Row],[Quantity_BEFORE]])</f>
        <v>1</v>
      </c>
      <c r="J335" s="2">
        <f>DF[[#This Row],[QUANTITY]]*DF[[#This Row],[UnitPrice]]</f>
        <v>9.9499999999999993</v>
      </c>
    </row>
    <row r="336" spans="1:10" x14ac:dyDescent="0.25">
      <c r="A336" s="2">
        <v>536401</v>
      </c>
      <c r="B336" s="2">
        <v>21463</v>
      </c>
      <c r="C336" s="2" t="s">
        <v>281</v>
      </c>
      <c r="D336" s="2">
        <v>1</v>
      </c>
      <c r="E336" s="8">
        <v>40513.472916666666</v>
      </c>
      <c r="F336" s="2">
        <v>5.95</v>
      </c>
      <c r="G336" s="2">
        <v>15862</v>
      </c>
      <c r="H336" s="2" t="s">
        <v>10</v>
      </c>
      <c r="I336" s="2">
        <f>ABS(DF[[#This Row],[Quantity_BEFORE]])</f>
        <v>1</v>
      </c>
      <c r="J336" s="2">
        <f>DF[[#This Row],[QUANTITY]]*DF[[#This Row],[UnitPrice]]</f>
        <v>5.95</v>
      </c>
    </row>
    <row r="337" spans="1:10" x14ac:dyDescent="0.25">
      <c r="A337" s="2">
        <v>536401</v>
      </c>
      <c r="B337" s="2">
        <v>21464</v>
      </c>
      <c r="C337" s="2" t="s">
        <v>282</v>
      </c>
      <c r="D337" s="2">
        <v>1</v>
      </c>
      <c r="E337" s="8">
        <v>40513.472916666666</v>
      </c>
      <c r="F337" s="2">
        <v>4.25</v>
      </c>
      <c r="G337" s="2">
        <v>15862</v>
      </c>
      <c r="H337" s="2" t="s">
        <v>10</v>
      </c>
      <c r="I337" s="2">
        <f>ABS(DF[[#This Row],[Quantity_BEFORE]])</f>
        <v>1</v>
      </c>
      <c r="J337" s="2">
        <f>DF[[#This Row],[QUANTITY]]*DF[[#This Row],[UnitPrice]]</f>
        <v>4.25</v>
      </c>
    </row>
    <row r="338" spans="1:10" x14ac:dyDescent="0.25">
      <c r="A338" s="2">
        <v>536401</v>
      </c>
      <c r="B338" s="2">
        <v>20820</v>
      </c>
      <c r="C338" s="2" t="s">
        <v>283</v>
      </c>
      <c r="D338" s="2">
        <v>3</v>
      </c>
      <c r="E338" s="8">
        <v>40513.472916666666</v>
      </c>
      <c r="F338" s="2">
        <v>4.95</v>
      </c>
      <c r="G338" s="2">
        <v>15862</v>
      </c>
      <c r="H338" s="2" t="s">
        <v>10</v>
      </c>
      <c r="I338" s="2">
        <f>ABS(DF[[#This Row],[Quantity_BEFORE]])</f>
        <v>3</v>
      </c>
      <c r="J338" s="2">
        <f>DF[[#This Row],[QUANTITY]]*DF[[#This Row],[UnitPrice]]</f>
        <v>14.850000000000001</v>
      </c>
    </row>
    <row r="339" spans="1:10" x14ac:dyDescent="0.25">
      <c r="A339" s="2">
        <v>536401</v>
      </c>
      <c r="B339" s="2">
        <v>85150</v>
      </c>
      <c r="C339" s="2" t="s">
        <v>284</v>
      </c>
      <c r="D339" s="2">
        <v>1</v>
      </c>
      <c r="E339" s="8">
        <v>40513.472916666666</v>
      </c>
      <c r="F339" s="2">
        <v>2.5499999999999998</v>
      </c>
      <c r="G339" s="2">
        <v>15862</v>
      </c>
      <c r="H339" s="2" t="s">
        <v>10</v>
      </c>
      <c r="I339" s="2">
        <f>ABS(DF[[#This Row],[Quantity_BEFORE]])</f>
        <v>1</v>
      </c>
      <c r="J339" s="2">
        <f>DF[[#This Row],[QUANTITY]]*DF[[#This Row],[UnitPrice]]</f>
        <v>2.5499999999999998</v>
      </c>
    </row>
    <row r="340" spans="1:10" x14ac:dyDescent="0.25">
      <c r="A340" s="2">
        <v>536401</v>
      </c>
      <c r="B340" s="2">
        <v>22117</v>
      </c>
      <c r="C340" s="2" t="s">
        <v>285</v>
      </c>
      <c r="D340" s="2">
        <v>1</v>
      </c>
      <c r="E340" s="8">
        <v>40513.472916666666</v>
      </c>
      <c r="F340" s="2">
        <v>2.95</v>
      </c>
      <c r="G340" s="2">
        <v>15862</v>
      </c>
      <c r="H340" s="2" t="s">
        <v>10</v>
      </c>
      <c r="I340" s="2">
        <f>ABS(DF[[#This Row],[Quantity_BEFORE]])</f>
        <v>1</v>
      </c>
      <c r="J340" s="2">
        <f>DF[[#This Row],[QUANTITY]]*DF[[#This Row],[UnitPrice]]</f>
        <v>2.95</v>
      </c>
    </row>
    <row r="341" spans="1:10" x14ac:dyDescent="0.25">
      <c r="A341" s="2">
        <v>536401</v>
      </c>
      <c r="B341" s="2">
        <v>21169</v>
      </c>
      <c r="C341" s="2" t="s">
        <v>112</v>
      </c>
      <c r="D341" s="2">
        <v>2</v>
      </c>
      <c r="E341" s="8">
        <v>40513.472916666666</v>
      </c>
      <c r="F341" s="2">
        <v>1.69</v>
      </c>
      <c r="G341" s="2">
        <v>15862</v>
      </c>
      <c r="H341" s="2" t="s">
        <v>10</v>
      </c>
      <c r="I341" s="2">
        <f>ABS(DF[[#This Row],[Quantity_BEFORE]])</f>
        <v>2</v>
      </c>
      <c r="J341" s="2">
        <f>DF[[#This Row],[QUANTITY]]*DF[[#This Row],[UnitPrice]]</f>
        <v>3.38</v>
      </c>
    </row>
    <row r="342" spans="1:10" x14ac:dyDescent="0.25">
      <c r="A342" s="2">
        <v>536401</v>
      </c>
      <c r="B342" s="2">
        <v>48129</v>
      </c>
      <c r="C342" s="2" t="s">
        <v>286</v>
      </c>
      <c r="D342" s="2">
        <v>1</v>
      </c>
      <c r="E342" s="8">
        <v>40513.472916666666</v>
      </c>
      <c r="F342" s="2">
        <v>7.95</v>
      </c>
      <c r="G342" s="2">
        <v>15862</v>
      </c>
      <c r="H342" s="2" t="s">
        <v>10</v>
      </c>
      <c r="I342" s="2">
        <f>ABS(DF[[#This Row],[Quantity_BEFORE]])</f>
        <v>1</v>
      </c>
      <c r="J342" s="2">
        <f>DF[[#This Row],[QUANTITY]]*DF[[#This Row],[UnitPrice]]</f>
        <v>7.95</v>
      </c>
    </row>
    <row r="343" spans="1:10" x14ac:dyDescent="0.25">
      <c r="A343" s="2">
        <v>536401</v>
      </c>
      <c r="B343" s="2">
        <v>82580</v>
      </c>
      <c r="C343" s="2" t="s">
        <v>287</v>
      </c>
      <c r="D343" s="2">
        <v>1</v>
      </c>
      <c r="E343" s="8">
        <v>40513.472916666666</v>
      </c>
      <c r="F343" s="2">
        <v>0.55000000000000004</v>
      </c>
      <c r="G343" s="2">
        <v>15862</v>
      </c>
      <c r="H343" s="2" t="s">
        <v>10</v>
      </c>
      <c r="I343" s="2">
        <f>ABS(DF[[#This Row],[Quantity_BEFORE]])</f>
        <v>1</v>
      </c>
      <c r="J343" s="2">
        <f>DF[[#This Row],[QUANTITY]]*DF[[#This Row],[UnitPrice]]</f>
        <v>0.55000000000000004</v>
      </c>
    </row>
    <row r="344" spans="1:10" x14ac:dyDescent="0.25">
      <c r="A344" s="2">
        <v>536401</v>
      </c>
      <c r="B344" s="2">
        <v>82578</v>
      </c>
      <c r="C344" s="2" t="s">
        <v>288</v>
      </c>
      <c r="D344" s="2">
        <v>1</v>
      </c>
      <c r="E344" s="8">
        <v>40513.472916666666</v>
      </c>
      <c r="F344" s="2">
        <v>0.55000000000000004</v>
      </c>
      <c r="G344" s="2">
        <v>15862</v>
      </c>
      <c r="H344" s="2" t="s">
        <v>10</v>
      </c>
      <c r="I344" s="2">
        <f>ABS(DF[[#This Row],[Quantity_BEFORE]])</f>
        <v>1</v>
      </c>
      <c r="J344" s="2">
        <f>DF[[#This Row],[QUANTITY]]*DF[[#This Row],[UnitPrice]]</f>
        <v>0.55000000000000004</v>
      </c>
    </row>
    <row r="345" spans="1:10" x14ac:dyDescent="0.25">
      <c r="A345" s="2">
        <v>536401</v>
      </c>
      <c r="B345" s="2">
        <v>82581</v>
      </c>
      <c r="C345" s="2" t="s">
        <v>289</v>
      </c>
      <c r="D345" s="2">
        <v>2</v>
      </c>
      <c r="E345" s="8">
        <v>40513.472916666666</v>
      </c>
      <c r="F345" s="2">
        <v>0.55000000000000004</v>
      </c>
      <c r="G345" s="2">
        <v>15862</v>
      </c>
      <c r="H345" s="2" t="s">
        <v>10</v>
      </c>
      <c r="I345" s="2">
        <f>ABS(DF[[#This Row],[Quantity_BEFORE]])</f>
        <v>2</v>
      </c>
      <c r="J345" s="2">
        <f>DF[[#This Row],[QUANTITY]]*DF[[#This Row],[UnitPrice]]</f>
        <v>1.1000000000000001</v>
      </c>
    </row>
    <row r="346" spans="1:10" x14ac:dyDescent="0.25">
      <c r="A346" s="2">
        <v>536401</v>
      </c>
      <c r="B346" s="2">
        <v>22413</v>
      </c>
      <c r="C346" s="2" t="s">
        <v>290</v>
      </c>
      <c r="D346" s="2">
        <v>4</v>
      </c>
      <c r="E346" s="8">
        <v>40513.472916666666</v>
      </c>
      <c r="F346" s="2">
        <v>2.95</v>
      </c>
      <c r="G346" s="2">
        <v>15862</v>
      </c>
      <c r="H346" s="2" t="s">
        <v>10</v>
      </c>
      <c r="I346" s="2">
        <f>ABS(DF[[#This Row],[Quantity_BEFORE]])</f>
        <v>4</v>
      </c>
      <c r="J346" s="2">
        <f>DF[[#This Row],[QUANTITY]]*DF[[#This Row],[UnitPrice]]</f>
        <v>11.8</v>
      </c>
    </row>
    <row r="347" spans="1:10" x14ac:dyDescent="0.25">
      <c r="A347" s="2">
        <v>536401</v>
      </c>
      <c r="B347" s="2">
        <v>21907</v>
      </c>
      <c r="C347" s="2" t="s">
        <v>291</v>
      </c>
      <c r="D347" s="2">
        <v>2</v>
      </c>
      <c r="E347" s="8">
        <v>40513.472916666666</v>
      </c>
      <c r="F347" s="2">
        <v>2.1</v>
      </c>
      <c r="G347" s="2">
        <v>15862</v>
      </c>
      <c r="H347" s="2" t="s">
        <v>10</v>
      </c>
      <c r="I347" s="2">
        <f>ABS(DF[[#This Row],[Quantity_BEFORE]])</f>
        <v>2</v>
      </c>
      <c r="J347" s="2">
        <f>DF[[#This Row],[QUANTITY]]*DF[[#This Row],[UnitPrice]]</f>
        <v>4.2</v>
      </c>
    </row>
    <row r="348" spans="1:10" x14ac:dyDescent="0.25">
      <c r="A348" s="2">
        <v>536401</v>
      </c>
      <c r="B348" s="2">
        <v>22441</v>
      </c>
      <c r="C348" s="2" t="s">
        <v>292</v>
      </c>
      <c r="D348" s="2">
        <v>1</v>
      </c>
      <c r="E348" s="8">
        <v>40513.472916666666</v>
      </c>
      <c r="F348" s="2">
        <v>2.1</v>
      </c>
      <c r="G348" s="2">
        <v>15862</v>
      </c>
      <c r="H348" s="2" t="s">
        <v>10</v>
      </c>
      <c r="I348" s="2">
        <f>ABS(DF[[#This Row],[Quantity_BEFORE]])</f>
        <v>1</v>
      </c>
      <c r="J348" s="2">
        <f>DF[[#This Row],[QUANTITY]]*DF[[#This Row],[UnitPrice]]</f>
        <v>2.1</v>
      </c>
    </row>
    <row r="349" spans="1:10" x14ac:dyDescent="0.25">
      <c r="A349" s="2">
        <v>536401</v>
      </c>
      <c r="B349" s="2">
        <v>21122</v>
      </c>
      <c r="C349" s="2" t="s">
        <v>293</v>
      </c>
      <c r="D349" s="2">
        <v>1</v>
      </c>
      <c r="E349" s="8">
        <v>40513.472916666666</v>
      </c>
      <c r="F349" s="2">
        <v>1.25</v>
      </c>
      <c r="G349" s="2">
        <v>15862</v>
      </c>
      <c r="H349" s="2" t="s">
        <v>10</v>
      </c>
      <c r="I349" s="2">
        <f>ABS(DF[[#This Row],[Quantity_BEFORE]])</f>
        <v>1</v>
      </c>
      <c r="J349" s="2">
        <f>DF[[#This Row],[QUANTITY]]*DF[[#This Row],[UnitPrice]]</f>
        <v>1.25</v>
      </c>
    </row>
    <row r="350" spans="1:10" x14ac:dyDescent="0.25">
      <c r="A350" s="2">
        <v>536401</v>
      </c>
      <c r="B350" s="2">
        <v>22851</v>
      </c>
      <c r="C350" s="2" t="s">
        <v>294</v>
      </c>
      <c r="D350" s="2">
        <v>1</v>
      </c>
      <c r="E350" s="8">
        <v>40513.472916666666</v>
      </c>
      <c r="F350" s="2">
        <v>0.85</v>
      </c>
      <c r="G350" s="2">
        <v>15862</v>
      </c>
      <c r="H350" s="2" t="s">
        <v>10</v>
      </c>
      <c r="I350" s="2">
        <f>ABS(DF[[#This Row],[Quantity_BEFORE]])</f>
        <v>1</v>
      </c>
      <c r="J350" s="2">
        <f>DF[[#This Row],[QUANTITY]]*DF[[#This Row],[UnitPrice]]</f>
        <v>0.85</v>
      </c>
    </row>
    <row r="351" spans="1:10" x14ac:dyDescent="0.25">
      <c r="A351" s="2">
        <v>536401</v>
      </c>
      <c r="B351" s="2">
        <v>84991</v>
      </c>
      <c r="C351" s="2" t="s">
        <v>91</v>
      </c>
      <c r="D351" s="2">
        <v>3</v>
      </c>
      <c r="E351" s="8">
        <v>40513.472916666666</v>
      </c>
      <c r="F351" s="2">
        <v>0.55000000000000004</v>
      </c>
      <c r="G351" s="2">
        <v>15862</v>
      </c>
      <c r="H351" s="2" t="s">
        <v>10</v>
      </c>
      <c r="I351" s="2">
        <f>ABS(DF[[#This Row],[Quantity_BEFORE]])</f>
        <v>3</v>
      </c>
      <c r="J351" s="2">
        <f>DF[[#This Row],[QUANTITY]]*DF[[#This Row],[UnitPrice]]</f>
        <v>1.6500000000000001</v>
      </c>
    </row>
    <row r="352" spans="1:10" x14ac:dyDescent="0.25">
      <c r="A352" s="2">
        <v>536401</v>
      </c>
      <c r="B352" s="2">
        <v>22810</v>
      </c>
      <c r="C352" s="2" t="s">
        <v>295</v>
      </c>
      <c r="D352" s="2">
        <v>1</v>
      </c>
      <c r="E352" s="8">
        <v>40513.472916666666</v>
      </c>
      <c r="F352" s="2">
        <v>2.95</v>
      </c>
      <c r="G352" s="2">
        <v>15862</v>
      </c>
      <c r="H352" s="2" t="s">
        <v>10</v>
      </c>
      <c r="I352" s="2">
        <f>ABS(DF[[#This Row],[Quantity_BEFORE]])</f>
        <v>1</v>
      </c>
      <c r="J352" s="2">
        <f>DF[[#This Row],[QUANTITY]]*DF[[#This Row],[UnitPrice]]</f>
        <v>2.95</v>
      </c>
    </row>
    <row r="353" spans="1:10" x14ac:dyDescent="0.25">
      <c r="A353" s="2">
        <v>536401</v>
      </c>
      <c r="B353" s="2">
        <v>22809</v>
      </c>
      <c r="C353" s="2" t="s">
        <v>296</v>
      </c>
      <c r="D353" s="2">
        <v>1</v>
      </c>
      <c r="E353" s="8">
        <v>40513.472916666666</v>
      </c>
      <c r="F353" s="2">
        <v>2.95</v>
      </c>
      <c r="G353" s="2">
        <v>15862</v>
      </c>
      <c r="H353" s="2" t="s">
        <v>10</v>
      </c>
      <c r="I353" s="2">
        <f>ABS(DF[[#This Row],[Quantity_BEFORE]])</f>
        <v>1</v>
      </c>
      <c r="J353" s="2">
        <f>DF[[#This Row],[QUANTITY]]*DF[[#This Row],[UnitPrice]]</f>
        <v>2.95</v>
      </c>
    </row>
    <row r="354" spans="1:10" x14ac:dyDescent="0.25">
      <c r="A354" s="2">
        <v>536401</v>
      </c>
      <c r="B354" s="2">
        <v>22435</v>
      </c>
      <c r="C354" s="2" t="s">
        <v>297</v>
      </c>
      <c r="D354" s="2">
        <v>2</v>
      </c>
      <c r="E354" s="8">
        <v>40513.472916666666</v>
      </c>
      <c r="F354" s="2">
        <v>1.25</v>
      </c>
      <c r="G354" s="2">
        <v>15862</v>
      </c>
      <c r="H354" s="2" t="s">
        <v>10</v>
      </c>
      <c r="I354" s="2">
        <f>ABS(DF[[#This Row],[Quantity_BEFORE]])</f>
        <v>2</v>
      </c>
      <c r="J354" s="2">
        <f>DF[[#This Row],[QUANTITY]]*DF[[#This Row],[UnitPrice]]</f>
        <v>2.5</v>
      </c>
    </row>
    <row r="355" spans="1:10" x14ac:dyDescent="0.25">
      <c r="A355" s="2">
        <v>536401</v>
      </c>
      <c r="B355" s="2">
        <v>20966</v>
      </c>
      <c r="C355" s="2" t="s">
        <v>298</v>
      </c>
      <c r="D355" s="2">
        <v>3</v>
      </c>
      <c r="E355" s="8">
        <v>40513.472916666666</v>
      </c>
      <c r="F355" s="2">
        <v>1.25</v>
      </c>
      <c r="G355" s="2">
        <v>15862</v>
      </c>
      <c r="H355" s="2" t="s">
        <v>10</v>
      </c>
      <c r="I355" s="2">
        <f>ABS(DF[[#This Row],[Quantity_BEFORE]])</f>
        <v>3</v>
      </c>
      <c r="J355" s="2">
        <f>DF[[#This Row],[QUANTITY]]*DF[[#This Row],[UnitPrice]]</f>
        <v>3.75</v>
      </c>
    </row>
    <row r="356" spans="1:10" x14ac:dyDescent="0.25">
      <c r="A356" s="2">
        <v>536401</v>
      </c>
      <c r="B356" s="2">
        <v>20963</v>
      </c>
      <c r="C356" s="2" t="s">
        <v>299</v>
      </c>
      <c r="D356" s="2">
        <v>1</v>
      </c>
      <c r="E356" s="8">
        <v>40513.472916666666</v>
      </c>
      <c r="F356" s="2">
        <v>1.25</v>
      </c>
      <c r="G356" s="2">
        <v>15862</v>
      </c>
      <c r="H356" s="2" t="s">
        <v>10</v>
      </c>
      <c r="I356" s="2">
        <f>ABS(DF[[#This Row],[Quantity_BEFORE]])</f>
        <v>1</v>
      </c>
      <c r="J356" s="2">
        <f>DF[[#This Row],[QUANTITY]]*DF[[#This Row],[UnitPrice]]</f>
        <v>1.25</v>
      </c>
    </row>
    <row r="357" spans="1:10" x14ac:dyDescent="0.25">
      <c r="A357" s="2">
        <v>536401</v>
      </c>
      <c r="B357" s="2">
        <v>20961</v>
      </c>
      <c r="C357" s="2" t="s">
        <v>300</v>
      </c>
      <c r="D357" s="2">
        <v>1</v>
      </c>
      <c r="E357" s="8">
        <v>40513.472916666666</v>
      </c>
      <c r="F357" s="2">
        <v>1.25</v>
      </c>
      <c r="G357" s="2">
        <v>15862</v>
      </c>
      <c r="H357" s="2" t="s">
        <v>10</v>
      </c>
      <c r="I357" s="2">
        <f>ABS(DF[[#This Row],[Quantity_BEFORE]])</f>
        <v>1</v>
      </c>
      <c r="J357" s="2">
        <f>DF[[#This Row],[QUANTITY]]*DF[[#This Row],[UnitPrice]]</f>
        <v>1.25</v>
      </c>
    </row>
    <row r="358" spans="1:10" x14ac:dyDescent="0.25">
      <c r="A358" s="2">
        <v>536401</v>
      </c>
      <c r="B358" s="2">
        <v>22068</v>
      </c>
      <c r="C358" s="2" t="s">
        <v>301</v>
      </c>
      <c r="D358" s="2">
        <v>2</v>
      </c>
      <c r="E358" s="8">
        <v>40513.472916666666</v>
      </c>
      <c r="F358" s="2">
        <v>1.65</v>
      </c>
      <c r="G358" s="2">
        <v>15862</v>
      </c>
      <c r="H358" s="2" t="s">
        <v>10</v>
      </c>
      <c r="I358" s="2">
        <f>ABS(DF[[#This Row],[Quantity_BEFORE]])</f>
        <v>2</v>
      </c>
      <c r="J358" s="2">
        <f>DF[[#This Row],[QUANTITY]]*DF[[#This Row],[UnitPrice]]</f>
        <v>3.3</v>
      </c>
    </row>
    <row r="359" spans="1:10" x14ac:dyDescent="0.25">
      <c r="A359" s="2">
        <v>536401</v>
      </c>
      <c r="B359" s="2">
        <v>21743</v>
      </c>
      <c r="C359" s="2" t="s">
        <v>302</v>
      </c>
      <c r="D359" s="2">
        <v>2</v>
      </c>
      <c r="E359" s="8">
        <v>40513.472916666666</v>
      </c>
      <c r="F359" s="2">
        <v>2.95</v>
      </c>
      <c r="G359" s="2">
        <v>15862</v>
      </c>
      <c r="H359" s="2" t="s">
        <v>10</v>
      </c>
      <c r="I359" s="2">
        <f>ABS(DF[[#This Row],[Quantity_BEFORE]])</f>
        <v>2</v>
      </c>
      <c r="J359" s="2">
        <f>DF[[#This Row],[QUANTITY]]*DF[[#This Row],[UnitPrice]]</f>
        <v>5.9</v>
      </c>
    </row>
    <row r="360" spans="1:10" x14ac:dyDescent="0.25">
      <c r="A360" s="2">
        <v>536401</v>
      </c>
      <c r="B360" s="2">
        <v>21744</v>
      </c>
      <c r="C360" s="2" t="s">
        <v>303</v>
      </c>
      <c r="D360" s="2">
        <v>2</v>
      </c>
      <c r="E360" s="8">
        <v>40513.472916666666</v>
      </c>
      <c r="F360" s="2">
        <v>2.95</v>
      </c>
      <c r="G360" s="2">
        <v>15862</v>
      </c>
      <c r="H360" s="2" t="s">
        <v>10</v>
      </c>
      <c r="I360" s="2">
        <f>ABS(DF[[#This Row],[Quantity_BEFORE]])</f>
        <v>2</v>
      </c>
      <c r="J360" s="2">
        <f>DF[[#This Row],[QUANTITY]]*DF[[#This Row],[UnitPrice]]</f>
        <v>5.9</v>
      </c>
    </row>
    <row r="361" spans="1:10" x14ac:dyDescent="0.25">
      <c r="A361" s="2">
        <v>536401</v>
      </c>
      <c r="B361" s="2" t="s">
        <v>304</v>
      </c>
      <c r="C361" s="2" t="s">
        <v>305</v>
      </c>
      <c r="D361" s="2">
        <v>1</v>
      </c>
      <c r="E361" s="8">
        <v>40513.472916666666</v>
      </c>
      <c r="F361" s="2">
        <v>5.95</v>
      </c>
      <c r="G361" s="2">
        <v>15862</v>
      </c>
      <c r="H361" s="2" t="s">
        <v>10</v>
      </c>
      <c r="I361" s="2">
        <f>ABS(DF[[#This Row],[Quantity_BEFORE]])</f>
        <v>1</v>
      </c>
      <c r="J361" s="2">
        <f>DF[[#This Row],[QUANTITY]]*DF[[#This Row],[UnitPrice]]</f>
        <v>5.95</v>
      </c>
    </row>
    <row r="362" spans="1:10" x14ac:dyDescent="0.25">
      <c r="A362" s="2">
        <v>536401</v>
      </c>
      <c r="B362" s="2">
        <v>21592</v>
      </c>
      <c r="C362" s="2" t="s">
        <v>306</v>
      </c>
      <c r="D362" s="2">
        <v>1</v>
      </c>
      <c r="E362" s="8">
        <v>40513.472916666666</v>
      </c>
      <c r="F362" s="2">
        <v>1.25</v>
      </c>
      <c r="G362" s="2">
        <v>15862</v>
      </c>
      <c r="H362" s="2" t="s">
        <v>10</v>
      </c>
      <c r="I362" s="2">
        <f>ABS(DF[[#This Row],[Quantity_BEFORE]])</f>
        <v>1</v>
      </c>
      <c r="J362" s="2">
        <f>DF[[#This Row],[QUANTITY]]*DF[[#This Row],[UnitPrice]]</f>
        <v>1.25</v>
      </c>
    </row>
    <row r="363" spans="1:10" x14ac:dyDescent="0.25">
      <c r="A363" s="2">
        <v>536401</v>
      </c>
      <c r="B363" s="2">
        <v>21587</v>
      </c>
      <c r="C363" s="2" t="s">
        <v>307</v>
      </c>
      <c r="D363" s="2">
        <v>2</v>
      </c>
      <c r="E363" s="8">
        <v>40513.472916666666</v>
      </c>
      <c r="F363" s="2">
        <v>2.5499999999999998</v>
      </c>
      <c r="G363" s="2">
        <v>15862</v>
      </c>
      <c r="H363" s="2" t="s">
        <v>10</v>
      </c>
      <c r="I363" s="2">
        <f>ABS(DF[[#This Row],[Quantity_BEFORE]])</f>
        <v>2</v>
      </c>
      <c r="J363" s="2">
        <f>DF[[#This Row],[QUANTITY]]*DF[[#This Row],[UnitPrice]]</f>
        <v>5.0999999999999996</v>
      </c>
    </row>
    <row r="364" spans="1:10" x14ac:dyDescent="0.25">
      <c r="A364" s="2">
        <v>536401</v>
      </c>
      <c r="B364" s="2">
        <v>20992</v>
      </c>
      <c r="C364" s="2" t="s">
        <v>308</v>
      </c>
      <c r="D364" s="2">
        <v>9</v>
      </c>
      <c r="E364" s="8">
        <v>40513.472916666666</v>
      </c>
      <c r="F364" s="2">
        <v>0.85</v>
      </c>
      <c r="G364" s="2">
        <v>15862</v>
      </c>
      <c r="H364" s="2" t="s">
        <v>10</v>
      </c>
      <c r="I364" s="2">
        <f>ABS(DF[[#This Row],[Quantity_BEFORE]])</f>
        <v>9</v>
      </c>
      <c r="J364" s="2">
        <f>DF[[#This Row],[QUANTITY]]*DF[[#This Row],[UnitPrice]]</f>
        <v>7.6499999999999995</v>
      </c>
    </row>
    <row r="365" spans="1:10" x14ac:dyDescent="0.25">
      <c r="A365" s="2">
        <v>536401</v>
      </c>
      <c r="B365" s="2">
        <v>22662</v>
      </c>
      <c r="C365" s="2" t="s">
        <v>170</v>
      </c>
      <c r="D365" s="2">
        <v>1</v>
      </c>
      <c r="E365" s="8">
        <v>40513.472916666666</v>
      </c>
      <c r="F365" s="2">
        <v>1.65</v>
      </c>
      <c r="G365" s="2">
        <v>15862</v>
      </c>
      <c r="H365" s="2" t="s">
        <v>10</v>
      </c>
      <c r="I365" s="2">
        <f>ABS(DF[[#This Row],[Quantity_BEFORE]])</f>
        <v>1</v>
      </c>
      <c r="J365" s="2">
        <f>DF[[#This Row],[QUANTITY]]*DF[[#This Row],[UnitPrice]]</f>
        <v>1.65</v>
      </c>
    </row>
    <row r="366" spans="1:10" x14ac:dyDescent="0.25">
      <c r="A366" s="2">
        <v>536401</v>
      </c>
      <c r="B366" s="2" t="s">
        <v>8</v>
      </c>
      <c r="C366" s="2" t="s">
        <v>9</v>
      </c>
      <c r="D366" s="2">
        <v>4</v>
      </c>
      <c r="E366" s="8">
        <v>40513.472916666666</v>
      </c>
      <c r="F366" s="2">
        <v>2.95</v>
      </c>
      <c r="G366" s="2">
        <v>15862</v>
      </c>
      <c r="H366" s="2" t="s">
        <v>10</v>
      </c>
      <c r="I366" s="2">
        <f>ABS(DF[[#This Row],[Quantity_BEFORE]])</f>
        <v>4</v>
      </c>
      <c r="J366" s="2">
        <f>DF[[#This Row],[QUANTITY]]*DF[[#This Row],[UnitPrice]]</f>
        <v>11.8</v>
      </c>
    </row>
    <row r="367" spans="1:10" x14ac:dyDescent="0.25">
      <c r="A367" s="2">
        <v>536401</v>
      </c>
      <c r="B367" s="2">
        <v>22804</v>
      </c>
      <c r="C367" s="2" t="s">
        <v>309</v>
      </c>
      <c r="D367" s="2">
        <v>3</v>
      </c>
      <c r="E367" s="8">
        <v>40513.472916666666</v>
      </c>
      <c r="F367" s="2">
        <v>2.95</v>
      </c>
      <c r="G367" s="2">
        <v>15862</v>
      </c>
      <c r="H367" s="2" t="s">
        <v>10</v>
      </c>
      <c r="I367" s="2">
        <f>ABS(DF[[#This Row],[Quantity_BEFORE]])</f>
        <v>3</v>
      </c>
      <c r="J367" s="2">
        <f>DF[[#This Row],[QUANTITY]]*DF[[#This Row],[UnitPrice]]</f>
        <v>8.8500000000000014</v>
      </c>
    </row>
    <row r="368" spans="1:10" x14ac:dyDescent="0.25">
      <c r="A368" s="2">
        <v>536401</v>
      </c>
      <c r="B368" s="2">
        <v>82483</v>
      </c>
      <c r="C368" s="2" t="s">
        <v>67</v>
      </c>
      <c r="D368" s="2">
        <v>1</v>
      </c>
      <c r="E368" s="8">
        <v>40513.472916666666</v>
      </c>
      <c r="F368" s="2">
        <v>5.95</v>
      </c>
      <c r="G368" s="2">
        <v>15862</v>
      </c>
      <c r="H368" s="2" t="s">
        <v>10</v>
      </c>
      <c r="I368" s="2">
        <f>ABS(DF[[#This Row],[Quantity_BEFORE]])</f>
        <v>1</v>
      </c>
      <c r="J368" s="2">
        <f>DF[[#This Row],[QUANTITY]]*DF[[#This Row],[UnitPrice]]</f>
        <v>5.95</v>
      </c>
    </row>
    <row r="369" spans="1:10" x14ac:dyDescent="0.25">
      <c r="A369" s="2">
        <v>536401</v>
      </c>
      <c r="B369" s="2">
        <v>20749</v>
      </c>
      <c r="C369" s="2" t="s">
        <v>310</v>
      </c>
      <c r="D369" s="2">
        <v>1</v>
      </c>
      <c r="E369" s="8">
        <v>40513.472916666666</v>
      </c>
      <c r="F369" s="2">
        <v>7.95</v>
      </c>
      <c r="G369" s="2">
        <v>15862</v>
      </c>
      <c r="H369" s="2" t="s">
        <v>10</v>
      </c>
      <c r="I369" s="2">
        <f>ABS(DF[[#This Row],[Quantity_BEFORE]])</f>
        <v>1</v>
      </c>
      <c r="J369" s="2">
        <f>DF[[#This Row],[QUANTITY]]*DF[[#This Row],[UnitPrice]]</f>
        <v>7.95</v>
      </c>
    </row>
    <row r="370" spans="1:10" x14ac:dyDescent="0.25">
      <c r="A370" s="2">
        <v>536401</v>
      </c>
      <c r="B370" s="2">
        <v>20725</v>
      </c>
      <c r="C370" s="2" t="s">
        <v>85</v>
      </c>
      <c r="D370" s="2">
        <v>1</v>
      </c>
      <c r="E370" s="8">
        <v>40513.472916666666</v>
      </c>
      <c r="F370" s="2">
        <v>1.65</v>
      </c>
      <c r="G370" s="2">
        <v>15862</v>
      </c>
      <c r="H370" s="2" t="s">
        <v>10</v>
      </c>
      <c r="I370" s="2">
        <f>ABS(DF[[#This Row],[Quantity_BEFORE]])</f>
        <v>1</v>
      </c>
      <c r="J370" s="2">
        <f>DF[[#This Row],[QUANTITY]]*DF[[#This Row],[UnitPrice]]</f>
        <v>1.65</v>
      </c>
    </row>
    <row r="371" spans="1:10" x14ac:dyDescent="0.25">
      <c r="A371" s="2">
        <v>536401</v>
      </c>
      <c r="B371" s="2">
        <v>22382</v>
      </c>
      <c r="C371" s="2" t="s">
        <v>311</v>
      </c>
      <c r="D371" s="2">
        <v>2</v>
      </c>
      <c r="E371" s="8">
        <v>40513.472916666666</v>
      </c>
      <c r="F371" s="2">
        <v>1.65</v>
      </c>
      <c r="G371" s="2">
        <v>15862</v>
      </c>
      <c r="H371" s="2" t="s">
        <v>10</v>
      </c>
      <c r="I371" s="2">
        <f>ABS(DF[[#This Row],[Quantity_BEFORE]])</f>
        <v>2</v>
      </c>
      <c r="J371" s="2">
        <f>DF[[#This Row],[QUANTITY]]*DF[[#This Row],[UnitPrice]]</f>
        <v>3.3</v>
      </c>
    </row>
    <row r="372" spans="1:10" x14ac:dyDescent="0.25">
      <c r="A372" s="2">
        <v>536401</v>
      </c>
      <c r="B372" s="2">
        <v>20726</v>
      </c>
      <c r="C372" s="2" t="s">
        <v>312</v>
      </c>
      <c r="D372" s="2">
        <v>1</v>
      </c>
      <c r="E372" s="8">
        <v>40513.472916666666</v>
      </c>
      <c r="F372" s="2">
        <v>1.65</v>
      </c>
      <c r="G372" s="2">
        <v>15862</v>
      </c>
      <c r="H372" s="2" t="s">
        <v>10</v>
      </c>
      <c r="I372" s="2">
        <f>ABS(DF[[#This Row],[Quantity_BEFORE]])</f>
        <v>1</v>
      </c>
      <c r="J372" s="2">
        <f>DF[[#This Row],[QUANTITY]]*DF[[#This Row],[UnitPrice]]</f>
        <v>1.65</v>
      </c>
    </row>
    <row r="373" spans="1:10" x14ac:dyDescent="0.25">
      <c r="A373" s="2">
        <v>536401</v>
      </c>
      <c r="B373" s="2">
        <v>22384</v>
      </c>
      <c r="C373" s="2" t="s">
        <v>313</v>
      </c>
      <c r="D373" s="2">
        <v>1</v>
      </c>
      <c r="E373" s="8">
        <v>40513.472916666666</v>
      </c>
      <c r="F373" s="2">
        <v>1.65</v>
      </c>
      <c r="G373" s="2">
        <v>15862</v>
      </c>
      <c r="H373" s="2" t="s">
        <v>10</v>
      </c>
      <c r="I373" s="2">
        <f>ABS(DF[[#This Row],[Quantity_BEFORE]])</f>
        <v>1</v>
      </c>
      <c r="J373" s="2">
        <f>DF[[#This Row],[QUANTITY]]*DF[[#This Row],[UnitPrice]]</f>
        <v>1.65</v>
      </c>
    </row>
    <row r="374" spans="1:10" x14ac:dyDescent="0.25">
      <c r="A374" s="2">
        <v>536401</v>
      </c>
      <c r="B374" s="2">
        <v>22467</v>
      </c>
      <c r="C374" s="2" t="s">
        <v>314</v>
      </c>
      <c r="D374" s="2">
        <v>5</v>
      </c>
      <c r="E374" s="8">
        <v>40513.472916666666</v>
      </c>
      <c r="F374" s="2">
        <v>2.5499999999999998</v>
      </c>
      <c r="G374" s="2">
        <v>15862</v>
      </c>
      <c r="H374" s="2" t="s">
        <v>10</v>
      </c>
      <c r="I374" s="2">
        <f>ABS(DF[[#This Row],[Quantity_BEFORE]])</f>
        <v>5</v>
      </c>
      <c r="J374" s="2">
        <f>DF[[#This Row],[QUANTITY]]*DF[[#This Row],[UnitPrice]]</f>
        <v>12.75</v>
      </c>
    </row>
    <row r="375" spans="1:10" x14ac:dyDescent="0.25">
      <c r="A375" s="2">
        <v>536401</v>
      </c>
      <c r="B375" s="2" t="s">
        <v>315</v>
      </c>
      <c r="C375" s="2" t="s">
        <v>316</v>
      </c>
      <c r="D375" s="2">
        <v>3</v>
      </c>
      <c r="E375" s="8">
        <v>40513.472916666666</v>
      </c>
      <c r="F375" s="2">
        <v>2.95</v>
      </c>
      <c r="G375" s="2">
        <v>15862</v>
      </c>
      <c r="H375" s="2" t="s">
        <v>10</v>
      </c>
      <c r="I375" s="2">
        <f>ABS(DF[[#This Row],[Quantity_BEFORE]])</f>
        <v>3</v>
      </c>
      <c r="J375" s="2">
        <f>DF[[#This Row],[QUANTITY]]*DF[[#This Row],[UnitPrice]]</f>
        <v>8.8500000000000014</v>
      </c>
    </row>
    <row r="376" spans="1:10" x14ac:dyDescent="0.25">
      <c r="A376" s="2">
        <v>536401</v>
      </c>
      <c r="B376" s="2" t="s">
        <v>317</v>
      </c>
      <c r="C376" s="2" t="s">
        <v>318</v>
      </c>
      <c r="D376" s="2">
        <v>3</v>
      </c>
      <c r="E376" s="8">
        <v>40513.472916666666</v>
      </c>
      <c r="F376" s="2">
        <v>2.95</v>
      </c>
      <c r="G376" s="2">
        <v>15862</v>
      </c>
      <c r="H376" s="2" t="s">
        <v>10</v>
      </c>
      <c r="I376" s="2">
        <f>ABS(DF[[#This Row],[Quantity_BEFORE]])</f>
        <v>3</v>
      </c>
      <c r="J376" s="2">
        <f>DF[[#This Row],[QUANTITY]]*DF[[#This Row],[UnitPrice]]</f>
        <v>8.8500000000000014</v>
      </c>
    </row>
    <row r="377" spans="1:10" x14ac:dyDescent="0.25">
      <c r="A377" s="2">
        <v>536401</v>
      </c>
      <c r="B377" s="2">
        <v>21108</v>
      </c>
      <c r="C377" s="2" t="s">
        <v>319</v>
      </c>
      <c r="D377" s="2">
        <v>9</v>
      </c>
      <c r="E377" s="8">
        <v>40513.472916666666</v>
      </c>
      <c r="F377" s="2">
        <v>2.5499999999999998</v>
      </c>
      <c r="G377" s="2">
        <v>15862</v>
      </c>
      <c r="H377" s="2" t="s">
        <v>10</v>
      </c>
      <c r="I377" s="2">
        <f>ABS(DF[[#This Row],[Quantity_BEFORE]])</f>
        <v>9</v>
      </c>
      <c r="J377" s="2">
        <f>DF[[#This Row],[QUANTITY]]*DF[[#This Row],[UnitPrice]]</f>
        <v>22.95</v>
      </c>
    </row>
    <row r="378" spans="1:10" x14ac:dyDescent="0.25">
      <c r="A378" s="2">
        <v>536401</v>
      </c>
      <c r="B378" s="2">
        <v>22848</v>
      </c>
      <c r="C378" s="2" t="s">
        <v>320</v>
      </c>
      <c r="D378" s="2">
        <v>1</v>
      </c>
      <c r="E378" s="8">
        <v>40513.472916666666</v>
      </c>
      <c r="F378" s="2">
        <v>16.95</v>
      </c>
      <c r="G378" s="2">
        <v>15862</v>
      </c>
      <c r="H378" s="2" t="s">
        <v>10</v>
      </c>
      <c r="I378" s="2">
        <f>ABS(DF[[#This Row],[Quantity_BEFORE]])</f>
        <v>1</v>
      </c>
      <c r="J378" s="2">
        <f>DF[[#This Row],[QUANTITY]]*DF[[#This Row],[UnitPrice]]</f>
        <v>16.95</v>
      </c>
    </row>
    <row r="379" spans="1:10" x14ac:dyDescent="0.25">
      <c r="A379" s="2">
        <v>536401</v>
      </c>
      <c r="B379" s="2">
        <v>21033</v>
      </c>
      <c r="C379" s="2" t="s">
        <v>78</v>
      </c>
      <c r="D379" s="2">
        <v>4</v>
      </c>
      <c r="E379" s="8">
        <v>40513.472916666666</v>
      </c>
      <c r="F379" s="2">
        <v>2.95</v>
      </c>
      <c r="G379" s="2">
        <v>15862</v>
      </c>
      <c r="H379" s="2" t="s">
        <v>10</v>
      </c>
      <c r="I379" s="2">
        <f>ABS(DF[[#This Row],[Quantity_BEFORE]])</f>
        <v>4</v>
      </c>
      <c r="J379" s="2">
        <f>DF[[#This Row],[QUANTITY]]*DF[[#This Row],[UnitPrice]]</f>
        <v>11.8</v>
      </c>
    </row>
    <row r="380" spans="1:10" x14ac:dyDescent="0.25">
      <c r="A380" s="2">
        <v>536401</v>
      </c>
      <c r="B380" s="2" t="s">
        <v>321</v>
      </c>
      <c r="C380" s="2" t="s">
        <v>322</v>
      </c>
      <c r="D380" s="2">
        <v>1</v>
      </c>
      <c r="E380" s="8">
        <v>40513.472916666666</v>
      </c>
      <c r="F380" s="2">
        <v>10.65</v>
      </c>
      <c r="G380" s="2">
        <v>15862</v>
      </c>
      <c r="H380" s="2" t="s">
        <v>10</v>
      </c>
      <c r="I380" s="2">
        <f>ABS(DF[[#This Row],[Quantity_BEFORE]])</f>
        <v>1</v>
      </c>
      <c r="J380" s="2">
        <f>DF[[#This Row],[QUANTITY]]*DF[[#This Row],[UnitPrice]]</f>
        <v>10.65</v>
      </c>
    </row>
    <row r="381" spans="1:10" x14ac:dyDescent="0.25">
      <c r="A381" s="2">
        <v>536401</v>
      </c>
      <c r="B381" s="2" t="s">
        <v>215</v>
      </c>
      <c r="C381" s="2" t="s">
        <v>216</v>
      </c>
      <c r="D381" s="2">
        <v>1</v>
      </c>
      <c r="E381" s="8">
        <v>40513.472916666666</v>
      </c>
      <c r="F381" s="2">
        <v>4.25</v>
      </c>
      <c r="G381" s="2">
        <v>15862</v>
      </c>
      <c r="H381" s="2" t="s">
        <v>10</v>
      </c>
      <c r="I381" s="2">
        <f>ABS(DF[[#This Row],[Quantity_BEFORE]])</f>
        <v>1</v>
      </c>
      <c r="J381" s="2">
        <f>DF[[#This Row],[QUANTITY]]*DF[[#This Row],[UnitPrice]]</f>
        <v>4.25</v>
      </c>
    </row>
    <row r="382" spans="1:10" x14ac:dyDescent="0.25">
      <c r="A382" s="2">
        <v>536401</v>
      </c>
      <c r="B382" s="2">
        <v>22428</v>
      </c>
      <c r="C382" s="2" t="s">
        <v>164</v>
      </c>
      <c r="D382" s="2">
        <v>2</v>
      </c>
      <c r="E382" s="8">
        <v>40513.472916666666</v>
      </c>
      <c r="F382" s="2">
        <v>6.95</v>
      </c>
      <c r="G382" s="2">
        <v>15862</v>
      </c>
      <c r="H382" s="2" t="s">
        <v>10</v>
      </c>
      <c r="I382" s="2">
        <f>ABS(DF[[#This Row],[Quantity_BEFORE]])</f>
        <v>2</v>
      </c>
      <c r="J382" s="2">
        <f>DF[[#This Row],[QUANTITY]]*DF[[#This Row],[UnitPrice]]</f>
        <v>13.9</v>
      </c>
    </row>
    <row r="383" spans="1:10" x14ac:dyDescent="0.25">
      <c r="A383" s="2">
        <v>536401</v>
      </c>
      <c r="B383" s="2">
        <v>22502</v>
      </c>
      <c r="C383" s="2" t="s">
        <v>233</v>
      </c>
      <c r="D383" s="2">
        <v>2</v>
      </c>
      <c r="E383" s="8">
        <v>40513.472916666666</v>
      </c>
      <c r="F383" s="2">
        <v>5.95</v>
      </c>
      <c r="G383" s="2">
        <v>15862</v>
      </c>
      <c r="H383" s="2" t="s">
        <v>10</v>
      </c>
      <c r="I383" s="2">
        <f>ABS(DF[[#This Row],[Quantity_BEFORE]])</f>
        <v>2</v>
      </c>
      <c r="J383" s="2">
        <f>DF[[#This Row],[QUANTITY]]*DF[[#This Row],[UnitPrice]]</f>
        <v>11.9</v>
      </c>
    </row>
    <row r="384" spans="1:10" x14ac:dyDescent="0.25">
      <c r="A384" s="2">
        <v>536402</v>
      </c>
      <c r="B384" s="2">
        <v>22086</v>
      </c>
      <c r="C384" s="2" t="s">
        <v>61</v>
      </c>
      <c r="D384" s="2">
        <v>40</v>
      </c>
      <c r="E384" s="8">
        <v>40513.473611111112</v>
      </c>
      <c r="F384" s="2">
        <v>2.5499999999999998</v>
      </c>
      <c r="G384" s="2">
        <v>15513</v>
      </c>
      <c r="H384" s="2" t="s">
        <v>10</v>
      </c>
      <c r="I384" s="2">
        <f>ABS(DF[[#This Row],[Quantity_BEFORE]])</f>
        <v>40</v>
      </c>
      <c r="J384" s="2">
        <f>DF[[#This Row],[QUANTITY]]*DF[[#This Row],[UnitPrice]]</f>
        <v>102</v>
      </c>
    </row>
    <row r="385" spans="1:10" x14ac:dyDescent="0.25">
      <c r="A385" s="2">
        <v>536402</v>
      </c>
      <c r="B385" s="2">
        <v>22910</v>
      </c>
      <c r="C385" s="2" t="s">
        <v>206</v>
      </c>
      <c r="D385" s="2">
        <v>40</v>
      </c>
      <c r="E385" s="8">
        <v>40513.473611111112</v>
      </c>
      <c r="F385" s="2">
        <v>2.5499999999999998</v>
      </c>
      <c r="G385" s="2">
        <v>15513</v>
      </c>
      <c r="H385" s="2" t="s">
        <v>10</v>
      </c>
      <c r="I385" s="2">
        <f>ABS(DF[[#This Row],[Quantity_BEFORE]])</f>
        <v>40</v>
      </c>
      <c r="J385" s="2">
        <f>DF[[#This Row],[QUANTITY]]*DF[[#This Row],[UnitPrice]]</f>
        <v>102</v>
      </c>
    </row>
    <row r="386" spans="1:10" x14ac:dyDescent="0.25">
      <c r="A386" s="2">
        <v>536402</v>
      </c>
      <c r="B386" s="2">
        <v>22837</v>
      </c>
      <c r="C386" s="2" t="s">
        <v>323</v>
      </c>
      <c r="D386" s="2">
        <v>36</v>
      </c>
      <c r="E386" s="8">
        <v>40513.473611111112</v>
      </c>
      <c r="F386" s="2">
        <v>4.25</v>
      </c>
      <c r="G386" s="2">
        <v>15513</v>
      </c>
      <c r="H386" s="2" t="s">
        <v>10</v>
      </c>
      <c r="I386" s="2">
        <f>ABS(DF[[#This Row],[Quantity_BEFORE]])</f>
        <v>36</v>
      </c>
      <c r="J386" s="2">
        <f>DF[[#This Row],[QUANTITY]]*DF[[#This Row],[UnitPrice]]</f>
        <v>153</v>
      </c>
    </row>
    <row r="387" spans="1:10" x14ac:dyDescent="0.25">
      <c r="A387" s="2">
        <v>536403</v>
      </c>
      <c r="B387" s="2">
        <v>22867</v>
      </c>
      <c r="C387" s="2" t="s">
        <v>248</v>
      </c>
      <c r="D387" s="2">
        <v>96</v>
      </c>
      <c r="E387" s="8">
        <v>40513.477083333331</v>
      </c>
      <c r="F387" s="2">
        <v>1.85</v>
      </c>
      <c r="G387" s="2">
        <v>12791</v>
      </c>
      <c r="H387" s="2" t="s">
        <v>324</v>
      </c>
      <c r="I387" s="2">
        <f>ABS(DF[[#This Row],[Quantity_BEFORE]])</f>
        <v>96</v>
      </c>
      <c r="J387" s="2">
        <f>DF[[#This Row],[QUANTITY]]*DF[[#This Row],[UnitPrice]]</f>
        <v>177.60000000000002</v>
      </c>
    </row>
    <row r="388" spans="1:10" x14ac:dyDescent="0.25">
      <c r="A388" s="2">
        <v>536403</v>
      </c>
      <c r="B388" s="2" t="s">
        <v>59</v>
      </c>
      <c r="C388" s="2" t="s">
        <v>60</v>
      </c>
      <c r="D388" s="2">
        <v>1</v>
      </c>
      <c r="E388" s="8">
        <v>40513.477083333331</v>
      </c>
      <c r="F388" s="2">
        <v>15</v>
      </c>
      <c r="G388" s="2">
        <v>12791</v>
      </c>
      <c r="H388" s="2" t="s">
        <v>324</v>
      </c>
      <c r="I388" s="2">
        <f>ABS(DF[[#This Row],[Quantity_BEFORE]])</f>
        <v>1</v>
      </c>
      <c r="J388" s="2">
        <f>DF[[#This Row],[QUANTITY]]*DF[[#This Row],[UnitPrice]]</f>
        <v>15</v>
      </c>
    </row>
    <row r="389" spans="1:10" x14ac:dyDescent="0.25">
      <c r="A389" s="2">
        <v>536404</v>
      </c>
      <c r="B389" s="2">
        <v>22297</v>
      </c>
      <c r="C389" s="2" t="s">
        <v>325</v>
      </c>
      <c r="D389" s="2">
        <v>24</v>
      </c>
      <c r="E389" s="8">
        <v>40513.478472222225</v>
      </c>
      <c r="F389" s="2">
        <v>1.25</v>
      </c>
      <c r="G389" s="2">
        <v>16218</v>
      </c>
      <c r="H389" s="2" t="s">
        <v>10</v>
      </c>
      <c r="I389" s="2">
        <f>ABS(DF[[#This Row],[Quantity_BEFORE]])</f>
        <v>24</v>
      </c>
      <c r="J389" s="2">
        <f>DF[[#This Row],[QUANTITY]]*DF[[#This Row],[UnitPrice]]</f>
        <v>30</v>
      </c>
    </row>
    <row r="390" spans="1:10" x14ac:dyDescent="0.25">
      <c r="A390" s="2">
        <v>536404</v>
      </c>
      <c r="B390" s="2">
        <v>22771</v>
      </c>
      <c r="C390" s="2" t="s">
        <v>107</v>
      </c>
      <c r="D390" s="2">
        <v>12</v>
      </c>
      <c r="E390" s="8">
        <v>40513.478472222225</v>
      </c>
      <c r="F390" s="2">
        <v>1.25</v>
      </c>
      <c r="G390" s="2">
        <v>16218</v>
      </c>
      <c r="H390" s="2" t="s">
        <v>10</v>
      </c>
      <c r="I390" s="2">
        <f>ABS(DF[[#This Row],[Quantity_BEFORE]])</f>
        <v>12</v>
      </c>
      <c r="J390" s="2">
        <f>DF[[#This Row],[QUANTITY]]*DF[[#This Row],[UnitPrice]]</f>
        <v>15</v>
      </c>
    </row>
    <row r="391" spans="1:10" x14ac:dyDescent="0.25">
      <c r="A391" s="2">
        <v>536404</v>
      </c>
      <c r="B391" s="2">
        <v>22772</v>
      </c>
      <c r="C391" s="2" t="s">
        <v>326</v>
      </c>
      <c r="D391" s="2">
        <v>12</v>
      </c>
      <c r="E391" s="8">
        <v>40513.478472222225</v>
      </c>
      <c r="F391" s="2">
        <v>1.25</v>
      </c>
      <c r="G391" s="2">
        <v>16218</v>
      </c>
      <c r="H391" s="2" t="s">
        <v>10</v>
      </c>
      <c r="I391" s="2">
        <f>ABS(DF[[#This Row],[Quantity_BEFORE]])</f>
        <v>12</v>
      </c>
      <c r="J391" s="2">
        <f>DF[[#This Row],[QUANTITY]]*DF[[#This Row],[UnitPrice]]</f>
        <v>15</v>
      </c>
    </row>
    <row r="392" spans="1:10" x14ac:dyDescent="0.25">
      <c r="A392" s="2">
        <v>536404</v>
      </c>
      <c r="B392" s="2">
        <v>22773</v>
      </c>
      <c r="C392" s="2" t="s">
        <v>327</v>
      </c>
      <c r="D392" s="2">
        <v>12</v>
      </c>
      <c r="E392" s="8">
        <v>40513.478472222225</v>
      </c>
      <c r="F392" s="2">
        <v>1.25</v>
      </c>
      <c r="G392" s="2">
        <v>16218</v>
      </c>
      <c r="H392" s="2" t="s">
        <v>10</v>
      </c>
      <c r="I392" s="2">
        <f>ABS(DF[[#This Row],[Quantity_BEFORE]])</f>
        <v>12</v>
      </c>
      <c r="J392" s="2">
        <f>DF[[#This Row],[QUANTITY]]*DF[[#This Row],[UnitPrice]]</f>
        <v>15</v>
      </c>
    </row>
    <row r="393" spans="1:10" x14ac:dyDescent="0.25">
      <c r="A393" s="2">
        <v>536404</v>
      </c>
      <c r="B393" s="2">
        <v>22805</v>
      </c>
      <c r="C393" s="2" t="s">
        <v>328</v>
      </c>
      <c r="D393" s="2">
        <v>12</v>
      </c>
      <c r="E393" s="8">
        <v>40513.478472222225</v>
      </c>
      <c r="F393" s="2">
        <v>1.25</v>
      </c>
      <c r="G393" s="2">
        <v>16218</v>
      </c>
      <c r="H393" s="2" t="s">
        <v>10</v>
      </c>
      <c r="I393" s="2">
        <f>ABS(DF[[#This Row],[Quantity_BEFORE]])</f>
        <v>12</v>
      </c>
      <c r="J393" s="2">
        <f>DF[[#This Row],[QUANTITY]]*DF[[#This Row],[UnitPrice]]</f>
        <v>15</v>
      </c>
    </row>
    <row r="394" spans="1:10" x14ac:dyDescent="0.25">
      <c r="A394" s="2">
        <v>536404</v>
      </c>
      <c r="B394" s="2">
        <v>22469</v>
      </c>
      <c r="C394" s="2" t="s">
        <v>158</v>
      </c>
      <c r="D394" s="2">
        <v>12</v>
      </c>
      <c r="E394" s="8">
        <v>40513.478472222225</v>
      </c>
      <c r="F394" s="2">
        <v>1.65</v>
      </c>
      <c r="G394" s="2">
        <v>16218</v>
      </c>
      <c r="H394" s="2" t="s">
        <v>10</v>
      </c>
      <c r="I394" s="2">
        <f>ABS(DF[[#This Row],[Quantity_BEFORE]])</f>
        <v>12</v>
      </c>
      <c r="J394" s="2">
        <f>DF[[#This Row],[QUANTITY]]*DF[[#This Row],[UnitPrice]]</f>
        <v>19.799999999999997</v>
      </c>
    </row>
    <row r="395" spans="1:10" x14ac:dyDescent="0.25">
      <c r="A395" s="2">
        <v>536404</v>
      </c>
      <c r="B395" s="2">
        <v>22197</v>
      </c>
      <c r="C395" s="2" t="s">
        <v>208</v>
      </c>
      <c r="D395" s="2">
        <v>36</v>
      </c>
      <c r="E395" s="8">
        <v>40513.478472222225</v>
      </c>
      <c r="F395" s="2">
        <v>0.85</v>
      </c>
      <c r="G395" s="2">
        <v>16218</v>
      </c>
      <c r="H395" s="2" t="s">
        <v>10</v>
      </c>
      <c r="I395" s="2">
        <f>ABS(DF[[#This Row],[Quantity_BEFORE]])</f>
        <v>36</v>
      </c>
      <c r="J395" s="2">
        <f>DF[[#This Row],[QUANTITY]]*DF[[#This Row],[UnitPrice]]</f>
        <v>30.599999999999998</v>
      </c>
    </row>
    <row r="396" spans="1:10" x14ac:dyDescent="0.25">
      <c r="A396" s="2">
        <v>536404</v>
      </c>
      <c r="B396" s="2">
        <v>21125</v>
      </c>
      <c r="C396" s="2" t="s">
        <v>329</v>
      </c>
      <c r="D396" s="2">
        <v>12</v>
      </c>
      <c r="E396" s="8">
        <v>40513.478472222225</v>
      </c>
      <c r="F396" s="2">
        <v>1.25</v>
      </c>
      <c r="G396" s="2">
        <v>16218</v>
      </c>
      <c r="H396" s="2" t="s">
        <v>10</v>
      </c>
      <c r="I396" s="2">
        <f>ABS(DF[[#This Row],[Quantity_BEFORE]])</f>
        <v>12</v>
      </c>
      <c r="J396" s="2">
        <f>DF[[#This Row],[QUANTITY]]*DF[[#This Row],[UnitPrice]]</f>
        <v>15</v>
      </c>
    </row>
    <row r="397" spans="1:10" x14ac:dyDescent="0.25">
      <c r="A397" s="2">
        <v>536404</v>
      </c>
      <c r="B397" s="2">
        <v>21126</v>
      </c>
      <c r="C397" s="2" t="s">
        <v>330</v>
      </c>
      <c r="D397" s="2">
        <v>12</v>
      </c>
      <c r="E397" s="8">
        <v>40513.478472222225</v>
      </c>
      <c r="F397" s="2">
        <v>1.25</v>
      </c>
      <c r="G397" s="2">
        <v>16218</v>
      </c>
      <c r="H397" s="2" t="s">
        <v>10</v>
      </c>
      <c r="I397" s="2">
        <f>ABS(DF[[#This Row],[Quantity_BEFORE]])</f>
        <v>12</v>
      </c>
      <c r="J397" s="2">
        <f>DF[[#This Row],[QUANTITY]]*DF[[#This Row],[UnitPrice]]</f>
        <v>15</v>
      </c>
    </row>
    <row r="398" spans="1:10" x14ac:dyDescent="0.25">
      <c r="A398" s="2">
        <v>536404</v>
      </c>
      <c r="B398" s="2" t="s">
        <v>331</v>
      </c>
      <c r="C398" s="2" t="s">
        <v>332</v>
      </c>
      <c r="D398" s="2">
        <v>12</v>
      </c>
      <c r="E398" s="8">
        <v>40513.478472222225</v>
      </c>
      <c r="F398" s="2">
        <v>1.25</v>
      </c>
      <c r="G398" s="2">
        <v>16218</v>
      </c>
      <c r="H398" s="2" t="s">
        <v>10</v>
      </c>
      <c r="I398" s="2">
        <f>ABS(DF[[#This Row],[Quantity_BEFORE]])</f>
        <v>12</v>
      </c>
      <c r="J398" s="2">
        <f>DF[[#This Row],[QUANTITY]]*DF[[#This Row],[UnitPrice]]</f>
        <v>15</v>
      </c>
    </row>
    <row r="399" spans="1:10" x14ac:dyDescent="0.25">
      <c r="A399" s="2">
        <v>536404</v>
      </c>
      <c r="B399" s="2" t="s">
        <v>333</v>
      </c>
      <c r="C399" s="2" t="s">
        <v>334</v>
      </c>
      <c r="D399" s="2">
        <v>12</v>
      </c>
      <c r="E399" s="8">
        <v>40513.478472222225</v>
      </c>
      <c r="F399" s="2">
        <v>1.25</v>
      </c>
      <c r="G399" s="2">
        <v>16218</v>
      </c>
      <c r="H399" s="2" t="s">
        <v>10</v>
      </c>
      <c r="I399" s="2">
        <f>ABS(DF[[#This Row],[Quantity_BEFORE]])</f>
        <v>12</v>
      </c>
      <c r="J399" s="2">
        <f>DF[[#This Row],[QUANTITY]]*DF[[#This Row],[UnitPrice]]</f>
        <v>15</v>
      </c>
    </row>
    <row r="400" spans="1:10" x14ac:dyDescent="0.25">
      <c r="A400" s="2">
        <v>536404</v>
      </c>
      <c r="B400" s="2" t="s">
        <v>269</v>
      </c>
      <c r="C400" s="2" t="s">
        <v>270</v>
      </c>
      <c r="D400" s="2">
        <v>12</v>
      </c>
      <c r="E400" s="8">
        <v>40513.478472222225</v>
      </c>
      <c r="F400" s="2">
        <v>1.25</v>
      </c>
      <c r="G400" s="2">
        <v>16218</v>
      </c>
      <c r="H400" s="2" t="s">
        <v>10</v>
      </c>
      <c r="I400" s="2">
        <f>ABS(DF[[#This Row],[Quantity_BEFORE]])</f>
        <v>12</v>
      </c>
      <c r="J400" s="2">
        <f>DF[[#This Row],[QUANTITY]]*DF[[#This Row],[UnitPrice]]</f>
        <v>15</v>
      </c>
    </row>
    <row r="401" spans="1:10" x14ac:dyDescent="0.25">
      <c r="A401" s="2">
        <v>536404</v>
      </c>
      <c r="B401" s="2" t="s">
        <v>335</v>
      </c>
      <c r="C401" s="2" t="s">
        <v>336</v>
      </c>
      <c r="D401" s="2">
        <v>12</v>
      </c>
      <c r="E401" s="8">
        <v>40513.478472222225</v>
      </c>
      <c r="F401" s="2">
        <v>1.25</v>
      </c>
      <c r="G401" s="2">
        <v>16218</v>
      </c>
      <c r="H401" s="2" t="s">
        <v>10</v>
      </c>
      <c r="I401" s="2">
        <f>ABS(DF[[#This Row],[Quantity_BEFORE]])</f>
        <v>12</v>
      </c>
      <c r="J401" s="2">
        <f>DF[[#This Row],[QUANTITY]]*DF[[#This Row],[UnitPrice]]</f>
        <v>15</v>
      </c>
    </row>
    <row r="402" spans="1:10" x14ac:dyDescent="0.25">
      <c r="A402" s="2">
        <v>536404</v>
      </c>
      <c r="B402" s="2">
        <v>21061</v>
      </c>
      <c r="C402" s="2" t="s">
        <v>337</v>
      </c>
      <c r="D402" s="2">
        <v>12</v>
      </c>
      <c r="E402" s="8">
        <v>40513.478472222225</v>
      </c>
      <c r="F402" s="2">
        <v>0.85</v>
      </c>
      <c r="G402" s="2">
        <v>16218</v>
      </c>
      <c r="H402" s="2" t="s">
        <v>10</v>
      </c>
      <c r="I402" s="2">
        <f>ABS(DF[[#This Row],[Quantity_BEFORE]])</f>
        <v>12</v>
      </c>
      <c r="J402" s="2">
        <f>DF[[#This Row],[QUANTITY]]*DF[[#This Row],[UnitPrice]]</f>
        <v>10.199999999999999</v>
      </c>
    </row>
    <row r="403" spans="1:10" x14ac:dyDescent="0.25">
      <c r="A403" s="2">
        <v>536404</v>
      </c>
      <c r="B403" s="2">
        <v>21063</v>
      </c>
      <c r="C403" s="2" t="s">
        <v>338</v>
      </c>
      <c r="D403" s="2">
        <v>12</v>
      </c>
      <c r="E403" s="8">
        <v>40513.478472222225</v>
      </c>
      <c r="F403" s="2">
        <v>0.85</v>
      </c>
      <c r="G403" s="2">
        <v>16218</v>
      </c>
      <c r="H403" s="2" t="s">
        <v>10</v>
      </c>
      <c r="I403" s="2">
        <f>ABS(DF[[#This Row],[Quantity_BEFORE]])</f>
        <v>12</v>
      </c>
      <c r="J403" s="2">
        <f>DF[[#This Row],[QUANTITY]]*DF[[#This Row],[UnitPrice]]</f>
        <v>10.199999999999999</v>
      </c>
    </row>
    <row r="404" spans="1:10" x14ac:dyDescent="0.25">
      <c r="A404" s="2">
        <v>536404</v>
      </c>
      <c r="B404" s="2">
        <v>21062</v>
      </c>
      <c r="C404" s="2" t="s">
        <v>339</v>
      </c>
      <c r="D404" s="2">
        <v>12</v>
      </c>
      <c r="E404" s="8">
        <v>40513.478472222225</v>
      </c>
      <c r="F404" s="2">
        <v>0.85</v>
      </c>
      <c r="G404" s="2">
        <v>16218</v>
      </c>
      <c r="H404" s="2" t="s">
        <v>10</v>
      </c>
      <c r="I404" s="2">
        <f>ABS(DF[[#This Row],[Quantity_BEFORE]])</f>
        <v>12</v>
      </c>
      <c r="J404" s="2">
        <f>DF[[#This Row],[QUANTITY]]*DF[[#This Row],[UnitPrice]]</f>
        <v>10.199999999999999</v>
      </c>
    </row>
    <row r="405" spans="1:10" x14ac:dyDescent="0.25">
      <c r="A405" s="2">
        <v>536404</v>
      </c>
      <c r="B405" s="2">
        <v>84380</v>
      </c>
      <c r="C405" s="2" t="s">
        <v>340</v>
      </c>
      <c r="D405" s="2">
        <v>12</v>
      </c>
      <c r="E405" s="8">
        <v>40513.478472222225</v>
      </c>
      <c r="F405" s="2">
        <v>1.25</v>
      </c>
      <c r="G405" s="2">
        <v>16218</v>
      </c>
      <c r="H405" s="2" t="s">
        <v>10</v>
      </c>
      <c r="I405" s="2">
        <f>ABS(DF[[#This Row],[Quantity_BEFORE]])</f>
        <v>12</v>
      </c>
      <c r="J405" s="2">
        <f>DF[[#This Row],[QUANTITY]]*DF[[#This Row],[UnitPrice]]</f>
        <v>15</v>
      </c>
    </row>
    <row r="406" spans="1:10" x14ac:dyDescent="0.25">
      <c r="A406" s="2">
        <v>536404</v>
      </c>
      <c r="B406" s="2">
        <v>84378</v>
      </c>
      <c r="C406" s="2" t="s">
        <v>341</v>
      </c>
      <c r="D406" s="2">
        <v>12</v>
      </c>
      <c r="E406" s="8">
        <v>40513.478472222225</v>
      </c>
      <c r="F406" s="2">
        <v>1.25</v>
      </c>
      <c r="G406" s="2">
        <v>16218</v>
      </c>
      <c r="H406" s="2" t="s">
        <v>10</v>
      </c>
      <c r="I406" s="2">
        <f>ABS(DF[[#This Row],[Quantity_BEFORE]])</f>
        <v>12</v>
      </c>
      <c r="J406" s="2">
        <f>DF[[#This Row],[QUANTITY]]*DF[[#This Row],[UnitPrice]]</f>
        <v>15</v>
      </c>
    </row>
    <row r="407" spans="1:10" x14ac:dyDescent="0.25">
      <c r="A407" s="2">
        <v>536404</v>
      </c>
      <c r="B407" s="2">
        <v>22964</v>
      </c>
      <c r="C407" s="2" t="s">
        <v>342</v>
      </c>
      <c r="D407" s="2">
        <v>12</v>
      </c>
      <c r="E407" s="8">
        <v>40513.478472222225</v>
      </c>
      <c r="F407" s="2">
        <v>2.1</v>
      </c>
      <c r="G407" s="2">
        <v>16218</v>
      </c>
      <c r="H407" s="2" t="s">
        <v>10</v>
      </c>
      <c r="I407" s="2">
        <f>ABS(DF[[#This Row],[Quantity_BEFORE]])</f>
        <v>12</v>
      </c>
      <c r="J407" s="2">
        <f>DF[[#This Row],[QUANTITY]]*DF[[#This Row],[UnitPrice]]</f>
        <v>25.200000000000003</v>
      </c>
    </row>
    <row r="408" spans="1:10" x14ac:dyDescent="0.25">
      <c r="A408" s="2">
        <v>536404</v>
      </c>
      <c r="B408" s="2">
        <v>21213</v>
      </c>
      <c r="C408" s="2" t="s">
        <v>343</v>
      </c>
      <c r="D408" s="2">
        <v>24</v>
      </c>
      <c r="E408" s="8">
        <v>40513.478472222225</v>
      </c>
      <c r="F408" s="2">
        <v>0.55000000000000004</v>
      </c>
      <c r="G408" s="2">
        <v>16218</v>
      </c>
      <c r="H408" s="2" t="s">
        <v>10</v>
      </c>
      <c r="I408" s="2">
        <f>ABS(DF[[#This Row],[Quantity_BEFORE]])</f>
        <v>24</v>
      </c>
      <c r="J408" s="2">
        <f>DF[[#This Row],[QUANTITY]]*DF[[#This Row],[UnitPrice]]</f>
        <v>13.200000000000001</v>
      </c>
    </row>
    <row r="409" spans="1:10" x14ac:dyDescent="0.25">
      <c r="A409" s="2">
        <v>536404</v>
      </c>
      <c r="B409" s="2">
        <v>22417</v>
      </c>
      <c r="C409" s="2" t="s">
        <v>344</v>
      </c>
      <c r="D409" s="2">
        <v>24</v>
      </c>
      <c r="E409" s="8">
        <v>40513.478472222225</v>
      </c>
      <c r="F409" s="2">
        <v>0.55000000000000004</v>
      </c>
      <c r="G409" s="2">
        <v>16218</v>
      </c>
      <c r="H409" s="2" t="s">
        <v>10</v>
      </c>
      <c r="I409" s="2">
        <f>ABS(DF[[#This Row],[Quantity_BEFORE]])</f>
        <v>24</v>
      </c>
      <c r="J409" s="2">
        <f>DF[[#This Row],[QUANTITY]]*DF[[#This Row],[UnitPrice]]</f>
        <v>13.200000000000001</v>
      </c>
    </row>
    <row r="410" spans="1:10" x14ac:dyDescent="0.25">
      <c r="A410" s="2">
        <v>536404</v>
      </c>
      <c r="B410" s="2">
        <v>21212</v>
      </c>
      <c r="C410" s="2" t="s">
        <v>88</v>
      </c>
      <c r="D410" s="2">
        <v>24</v>
      </c>
      <c r="E410" s="8">
        <v>40513.478472222225</v>
      </c>
      <c r="F410" s="2">
        <v>0.55000000000000004</v>
      </c>
      <c r="G410" s="2">
        <v>16218</v>
      </c>
      <c r="H410" s="2" t="s">
        <v>10</v>
      </c>
      <c r="I410" s="2">
        <f>ABS(DF[[#This Row],[Quantity_BEFORE]])</f>
        <v>24</v>
      </c>
      <c r="J410" s="2">
        <f>DF[[#This Row],[QUANTITY]]*DF[[#This Row],[UnitPrice]]</f>
        <v>13.200000000000001</v>
      </c>
    </row>
    <row r="411" spans="1:10" x14ac:dyDescent="0.25">
      <c r="A411" s="2">
        <v>536404</v>
      </c>
      <c r="B411" s="2">
        <v>84992</v>
      </c>
      <c r="C411" s="2" t="s">
        <v>345</v>
      </c>
      <c r="D411" s="2">
        <v>24</v>
      </c>
      <c r="E411" s="8">
        <v>40513.478472222225</v>
      </c>
      <c r="F411" s="2">
        <v>0.55000000000000004</v>
      </c>
      <c r="G411" s="2">
        <v>16218</v>
      </c>
      <c r="H411" s="2" t="s">
        <v>10</v>
      </c>
      <c r="I411" s="2">
        <f>ABS(DF[[#This Row],[Quantity_BEFORE]])</f>
        <v>24</v>
      </c>
      <c r="J411" s="2">
        <f>DF[[#This Row],[QUANTITY]]*DF[[#This Row],[UnitPrice]]</f>
        <v>13.200000000000001</v>
      </c>
    </row>
    <row r="412" spans="1:10" x14ac:dyDescent="0.25">
      <c r="A412" s="2">
        <v>536404</v>
      </c>
      <c r="B412" s="2">
        <v>21975</v>
      </c>
      <c r="C412" s="2" t="s">
        <v>89</v>
      </c>
      <c r="D412" s="2">
        <v>24</v>
      </c>
      <c r="E412" s="8">
        <v>40513.478472222225</v>
      </c>
      <c r="F412" s="2">
        <v>0.55000000000000004</v>
      </c>
      <c r="G412" s="2">
        <v>16218</v>
      </c>
      <c r="H412" s="2" t="s">
        <v>10</v>
      </c>
      <c r="I412" s="2">
        <f>ABS(DF[[#This Row],[Quantity_BEFORE]])</f>
        <v>24</v>
      </c>
      <c r="J412" s="2">
        <f>DF[[#This Row],[QUANTITY]]*DF[[#This Row],[UnitPrice]]</f>
        <v>13.200000000000001</v>
      </c>
    </row>
    <row r="413" spans="1:10" x14ac:dyDescent="0.25">
      <c r="A413" s="2">
        <v>536404</v>
      </c>
      <c r="B413" s="2">
        <v>22383</v>
      </c>
      <c r="C413" s="2" t="s">
        <v>346</v>
      </c>
      <c r="D413" s="2">
        <v>10</v>
      </c>
      <c r="E413" s="8">
        <v>40513.478472222225</v>
      </c>
      <c r="F413" s="2">
        <v>1.65</v>
      </c>
      <c r="G413" s="2">
        <v>16218</v>
      </c>
      <c r="H413" s="2" t="s">
        <v>10</v>
      </c>
      <c r="I413" s="2">
        <f>ABS(DF[[#This Row],[Quantity_BEFORE]])</f>
        <v>10</v>
      </c>
      <c r="J413" s="2">
        <f>DF[[#This Row],[QUANTITY]]*DF[[#This Row],[UnitPrice]]</f>
        <v>16.5</v>
      </c>
    </row>
    <row r="414" spans="1:10" x14ac:dyDescent="0.25">
      <c r="A414" s="2">
        <v>536404</v>
      </c>
      <c r="B414" s="2">
        <v>20728</v>
      </c>
      <c r="C414" s="2" t="s">
        <v>347</v>
      </c>
      <c r="D414" s="2">
        <v>10</v>
      </c>
      <c r="E414" s="8">
        <v>40513.478472222225</v>
      </c>
      <c r="F414" s="2">
        <v>1.65</v>
      </c>
      <c r="G414" s="2">
        <v>16218</v>
      </c>
      <c r="H414" s="2" t="s">
        <v>10</v>
      </c>
      <c r="I414" s="2">
        <f>ABS(DF[[#This Row],[Quantity_BEFORE]])</f>
        <v>10</v>
      </c>
      <c r="J414" s="2">
        <f>DF[[#This Row],[QUANTITY]]*DF[[#This Row],[UnitPrice]]</f>
        <v>16.5</v>
      </c>
    </row>
    <row r="415" spans="1:10" x14ac:dyDescent="0.25">
      <c r="A415" s="2">
        <v>536404</v>
      </c>
      <c r="B415" s="2">
        <v>20727</v>
      </c>
      <c r="C415" s="2" t="s">
        <v>348</v>
      </c>
      <c r="D415" s="2">
        <v>10</v>
      </c>
      <c r="E415" s="8">
        <v>40513.478472222225</v>
      </c>
      <c r="F415" s="2">
        <v>1.65</v>
      </c>
      <c r="G415" s="2">
        <v>16218</v>
      </c>
      <c r="H415" s="2" t="s">
        <v>10</v>
      </c>
      <c r="I415" s="2">
        <f>ABS(DF[[#This Row],[Quantity_BEFORE]])</f>
        <v>10</v>
      </c>
      <c r="J415" s="2">
        <f>DF[[#This Row],[QUANTITY]]*DF[[#This Row],[UnitPrice]]</f>
        <v>16.5</v>
      </c>
    </row>
    <row r="416" spans="1:10" x14ac:dyDescent="0.25">
      <c r="A416" s="2">
        <v>536404</v>
      </c>
      <c r="B416" s="2">
        <v>22296</v>
      </c>
      <c r="C416" s="2" t="s">
        <v>349</v>
      </c>
      <c r="D416" s="2">
        <v>24</v>
      </c>
      <c r="E416" s="8">
        <v>40513.478472222225</v>
      </c>
      <c r="F416" s="2">
        <v>1.65</v>
      </c>
      <c r="G416" s="2">
        <v>16218</v>
      </c>
      <c r="H416" s="2" t="s">
        <v>10</v>
      </c>
      <c r="I416" s="2">
        <f>ABS(DF[[#This Row],[Quantity_BEFORE]])</f>
        <v>24</v>
      </c>
      <c r="J416" s="2">
        <f>DF[[#This Row],[QUANTITY]]*DF[[#This Row],[UnitPrice]]</f>
        <v>39.599999999999994</v>
      </c>
    </row>
    <row r="417" spans="1:10" x14ac:dyDescent="0.25">
      <c r="A417" s="2">
        <v>536405</v>
      </c>
      <c r="B417" s="2">
        <v>20914</v>
      </c>
      <c r="C417" s="2" t="s">
        <v>350</v>
      </c>
      <c r="D417" s="2">
        <v>128</v>
      </c>
      <c r="E417" s="8">
        <v>40513.480555555558</v>
      </c>
      <c r="F417" s="2">
        <v>2.5499999999999998</v>
      </c>
      <c r="G417" s="2">
        <v>14045</v>
      </c>
      <c r="H417" s="2" t="s">
        <v>10</v>
      </c>
      <c r="I417" s="2">
        <f>ABS(DF[[#This Row],[Quantity_BEFORE]])</f>
        <v>128</v>
      </c>
      <c r="J417" s="2">
        <f>DF[[#This Row],[QUANTITY]]*DF[[#This Row],[UnitPrice]]</f>
        <v>326.39999999999998</v>
      </c>
    </row>
    <row r="418" spans="1:10" x14ac:dyDescent="0.25">
      <c r="A418" s="2">
        <v>536406</v>
      </c>
      <c r="B418" s="2" t="s">
        <v>8</v>
      </c>
      <c r="C418" s="2" t="s">
        <v>9</v>
      </c>
      <c r="D418" s="2">
        <v>8</v>
      </c>
      <c r="E418" s="8">
        <v>40513.481249999997</v>
      </c>
      <c r="F418" s="2">
        <v>2.5499999999999998</v>
      </c>
      <c r="G418" s="2">
        <v>17850</v>
      </c>
      <c r="H418" s="2" t="s">
        <v>10</v>
      </c>
      <c r="I418" s="2">
        <f>ABS(DF[[#This Row],[Quantity_BEFORE]])</f>
        <v>8</v>
      </c>
      <c r="J418" s="2">
        <f>DF[[#This Row],[QUANTITY]]*DF[[#This Row],[UnitPrice]]</f>
        <v>20.399999999999999</v>
      </c>
    </row>
    <row r="419" spans="1:10" x14ac:dyDescent="0.25">
      <c r="A419" s="2">
        <v>536406</v>
      </c>
      <c r="B419" s="2">
        <v>71053</v>
      </c>
      <c r="C419" s="2" t="s">
        <v>11</v>
      </c>
      <c r="D419" s="2">
        <v>8</v>
      </c>
      <c r="E419" s="8">
        <v>40513.481249999997</v>
      </c>
      <c r="F419" s="2">
        <v>3.39</v>
      </c>
      <c r="G419" s="2">
        <v>17850</v>
      </c>
      <c r="H419" s="2" t="s">
        <v>10</v>
      </c>
      <c r="I419" s="2">
        <f>ABS(DF[[#This Row],[Quantity_BEFORE]])</f>
        <v>8</v>
      </c>
      <c r="J419" s="2">
        <f>DF[[#This Row],[QUANTITY]]*DF[[#This Row],[UnitPrice]]</f>
        <v>27.12</v>
      </c>
    </row>
    <row r="420" spans="1:10" x14ac:dyDescent="0.25">
      <c r="A420" s="2">
        <v>536406</v>
      </c>
      <c r="B420" s="2" t="s">
        <v>12</v>
      </c>
      <c r="C420" s="2" t="s">
        <v>13</v>
      </c>
      <c r="D420" s="2">
        <v>8</v>
      </c>
      <c r="E420" s="8">
        <v>40513.481249999997</v>
      </c>
      <c r="F420" s="2">
        <v>2.75</v>
      </c>
      <c r="G420" s="2">
        <v>17850</v>
      </c>
      <c r="H420" s="2" t="s">
        <v>10</v>
      </c>
      <c r="I420" s="2">
        <f>ABS(DF[[#This Row],[Quantity_BEFORE]])</f>
        <v>8</v>
      </c>
      <c r="J420" s="2">
        <f>DF[[#This Row],[QUANTITY]]*DF[[#This Row],[UnitPrice]]</f>
        <v>22</v>
      </c>
    </row>
    <row r="421" spans="1:10" x14ac:dyDescent="0.25">
      <c r="A421" s="2">
        <v>536406</v>
      </c>
      <c r="B421" s="2">
        <v>20679</v>
      </c>
      <c r="C421" s="2" t="s">
        <v>62</v>
      </c>
      <c r="D421" s="2">
        <v>6</v>
      </c>
      <c r="E421" s="8">
        <v>40513.481249999997</v>
      </c>
      <c r="F421" s="2">
        <v>4.95</v>
      </c>
      <c r="G421" s="2">
        <v>17850</v>
      </c>
      <c r="H421" s="2" t="s">
        <v>10</v>
      </c>
      <c r="I421" s="2">
        <f>ABS(DF[[#This Row],[Quantity_BEFORE]])</f>
        <v>6</v>
      </c>
      <c r="J421" s="2">
        <f>DF[[#This Row],[QUANTITY]]*DF[[#This Row],[UnitPrice]]</f>
        <v>29.700000000000003</v>
      </c>
    </row>
    <row r="422" spans="1:10" x14ac:dyDescent="0.25">
      <c r="A422" s="2">
        <v>536406</v>
      </c>
      <c r="B422" s="2">
        <v>37370</v>
      </c>
      <c r="C422" s="2" t="s">
        <v>63</v>
      </c>
      <c r="D422" s="2">
        <v>6</v>
      </c>
      <c r="E422" s="8">
        <v>40513.481249999997</v>
      </c>
      <c r="F422" s="2">
        <v>1.06</v>
      </c>
      <c r="G422" s="2">
        <v>17850</v>
      </c>
      <c r="H422" s="2" t="s">
        <v>10</v>
      </c>
      <c r="I422" s="2">
        <f>ABS(DF[[#This Row],[Quantity_BEFORE]])</f>
        <v>6</v>
      </c>
      <c r="J422" s="2">
        <f>DF[[#This Row],[QUANTITY]]*DF[[#This Row],[UnitPrice]]</f>
        <v>6.36</v>
      </c>
    </row>
    <row r="423" spans="1:10" x14ac:dyDescent="0.25">
      <c r="A423" s="2">
        <v>536406</v>
      </c>
      <c r="B423" s="2">
        <v>21871</v>
      </c>
      <c r="C423" s="2" t="s">
        <v>64</v>
      </c>
      <c r="D423" s="2">
        <v>6</v>
      </c>
      <c r="E423" s="8">
        <v>40513.481249999997</v>
      </c>
      <c r="F423" s="2">
        <v>1.06</v>
      </c>
      <c r="G423" s="2">
        <v>17850</v>
      </c>
      <c r="H423" s="2" t="s">
        <v>10</v>
      </c>
      <c r="I423" s="2">
        <f>ABS(DF[[#This Row],[Quantity_BEFORE]])</f>
        <v>6</v>
      </c>
      <c r="J423" s="2">
        <f>DF[[#This Row],[QUANTITY]]*DF[[#This Row],[UnitPrice]]</f>
        <v>6.36</v>
      </c>
    </row>
    <row r="424" spans="1:10" x14ac:dyDescent="0.25">
      <c r="A424" s="2">
        <v>536406</v>
      </c>
      <c r="B424" s="2">
        <v>21071</v>
      </c>
      <c r="C424" s="2" t="s">
        <v>65</v>
      </c>
      <c r="D424" s="2">
        <v>6</v>
      </c>
      <c r="E424" s="8">
        <v>40513.481249999997</v>
      </c>
      <c r="F424" s="2">
        <v>1.06</v>
      </c>
      <c r="G424" s="2">
        <v>17850</v>
      </c>
      <c r="H424" s="2" t="s">
        <v>10</v>
      </c>
      <c r="I424" s="2">
        <f>ABS(DF[[#This Row],[Quantity_BEFORE]])</f>
        <v>6</v>
      </c>
      <c r="J424" s="2">
        <f>DF[[#This Row],[QUANTITY]]*DF[[#This Row],[UnitPrice]]</f>
        <v>6.36</v>
      </c>
    </row>
    <row r="425" spans="1:10" x14ac:dyDescent="0.25">
      <c r="A425" s="2">
        <v>536406</v>
      </c>
      <c r="B425" s="2">
        <v>21068</v>
      </c>
      <c r="C425" s="2" t="s">
        <v>66</v>
      </c>
      <c r="D425" s="2">
        <v>6</v>
      </c>
      <c r="E425" s="8">
        <v>40513.481249999997</v>
      </c>
      <c r="F425" s="2">
        <v>1.06</v>
      </c>
      <c r="G425" s="2">
        <v>17850</v>
      </c>
      <c r="H425" s="2" t="s">
        <v>10</v>
      </c>
      <c r="I425" s="2">
        <f>ABS(DF[[#This Row],[Quantity_BEFORE]])</f>
        <v>6</v>
      </c>
      <c r="J425" s="2">
        <f>DF[[#This Row],[QUANTITY]]*DF[[#This Row],[UnitPrice]]</f>
        <v>6.36</v>
      </c>
    </row>
    <row r="426" spans="1:10" x14ac:dyDescent="0.25">
      <c r="A426" s="2">
        <v>536406</v>
      </c>
      <c r="B426" s="2">
        <v>82483</v>
      </c>
      <c r="C426" s="2" t="s">
        <v>67</v>
      </c>
      <c r="D426" s="2">
        <v>4</v>
      </c>
      <c r="E426" s="8">
        <v>40513.481249999997</v>
      </c>
      <c r="F426" s="2">
        <v>4.95</v>
      </c>
      <c r="G426" s="2">
        <v>17850</v>
      </c>
      <c r="H426" s="2" t="s">
        <v>10</v>
      </c>
      <c r="I426" s="2">
        <f>ABS(DF[[#This Row],[Quantity_BEFORE]])</f>
        <v>4</v>
      </c>
      <c r="J426" s="2">
        <f>DF[[#This Row],[QUANTITY]]*DF[[#This Row],[UnitPrice]]</f>
        <v>19.8</v>
      </c>
    </row>
    <row r="427" spans="1:10" x14ac:dyDescent="0.25">
      <c r="A427" s="2">
        <v>536406</v>
      </c>
      <c r="B427" s="2">
        <v>82486</v>
      </c>
      <c r="C427" s="2" t="s">
        <v>68</v>
      </c>
      <c r="D427" s="2">
        <v>4</v>
      </c>
      <c r="E427" s="8">
        <v>40513.481249999997</v>
      </c>
      <c r="F427" s="2">
        <v>6.95</v>
      </c>
      <c r="G427" s="2">
        <v>17850</v>
      </c>
      <c r="H427" s="2" t="s">
        <v>10</v>
      </c>
      <c r="I427" s="2">
        <f>ABS(DF[[#This Row],[Quantity_BEFORE]])</f>
        <v>4</v>
      </c>
      <c r="J427" s="2">
        <f>DF[[#This Row],[QUANTITY]]*DF[[#This Row],[UnitPrice]]</f>
        <v>27.8</v>
      </c>
    </row>
    <row r="428" spans="1:10" x14ac:dyDescent="0.25">
      <c r="A428" s="2">
        <v>536406</v>
      </c>
      <c r="B428" s="2">
        <v>82482</v>
      </c>
      <c r="C428" s="2" t="s">
        <v>69</v>
      </c>
      <c r="D428" s="2">
        <v>6</v>
      </c>
      <c r="E428" s="8">
        <v>40513.481249999997</v>
      </c>
      <c r="F428" s="2">
        <v>2.1</v>
      </c>
      <c r="G428" s="2">
        <v>17850</v>
      </c>
      <c r="H428" s="2" t="s">
        <v>10</v>
      </c>
      <c r="I428" s="2">
        <f>ABS(DF[[#This Row],[Quantity_BEFORE]])</f>
        <v>6</v>
      </c>
      <c r="J428" s="2">
        <f>DF[[#This Row],[QUANTITY]]*DF[[#This Row],[UnitPrice]]</f>
        <v>12.600000000000001</v>
      </c>
    </row>
    <row r="429" spans="1:10" x14ac:dyDescent="0.25">
      <c r="A429" s="2">
        <v>536406</v>
      </c>
      <c r="B429" s="2" t="s">
        <v>70</v>
      </c>
      <c r="C429" s="2" t="s">
        <v>71</v>
      </c>
      <c r="D429" s="2">
        <v>6</v>
      </c>
      <c r="E429" s="8">
        <v>40513.481249999997</v>
      </c>
      <c r="F429" s="2">
        <v>2.5499999999999998</v>
      </c>
      <c r="G429" s="2">
        <v>17850</v>
      </c>
      <c r="H429" s="2" t="s">
        <v>10</v>
      </c>
      <c r="I429" s="2">
        <f>ABS(DF[[#This Row],[Quantity_BEFORE]])</f>
        <v>6</v>
      </c>
      <c r="J429" s="2">
        <f>DF[[#This Row],[QUANTITY]]*DF[[#This Row],[UnitPrice]]</f>
        <v>15.299999999999999</v>
      </c>
    </row>
    <row r="430" spans="1:10" x14ac:dyDescent="0.25">
      <c r="A430" s="2">
        <v>536406</v>
      </c>
      <c r="B430" s="2" t="s">
        <v>14</v>
      </c>
      <c r="C430" s="2" t="s">
        <v>15</v>
      </c>
      <c r="D430" s="2">
        <v>6</v>
      </c>
      <c r="E430" s="8">
        <v>40513.481249999997</v>
      </c>
      <c r="F430" s="2">
        <v>3.39</v>
      </c>
      <c r="G430" s="2">
        <v>17850</v>
      </c>
      <c r="H430" s="2" t="s">
        <v>10</v>
      </c>
      <c r="I430" s="2">
        <f>ABS(DF[[#This Row],[Quantity_BEFORE]])</f>
        <v>6</v>
      </c>
      <c r="J430" s="2">
        <f>DF[[#This Row],[QUANTITY]]*DF[[#This Row],[UnitPrice]]</f>
        <v>20.34</v>
      </c>
    </row>
    <row r="431" spans="1:10" x14ac:dyDescent="0.25">
      <c r="A431" s="2">
        <v>536406</v>
      </c>
      <c r="B431" s="2" t="s">
        <v>16</v>
      </c>
      <c r="C431" s="2" t="s">
        <v>17</v>
      </c>
      <c r="D431" s="2">
        <v>6</v>
      </c>
      <c r="E431" s="8">
        <v>40513.481249999997</v>
      </c>
      <c r="F431" s="2">
        <v>3.39</v>
      </c>
      <c r="G431" s="2">
        <v>17850</v>
      </c>
      <c r="H431" s="2" t="s">
        <v>10</v>
      </c>
      <c r="I431" s="2">
        <f>ABS(DF[[#This Row],[Quantity_BEFORE]])</f>
        <v>6</v>
      </c>
      <c r="J431" s="2">
        <f>DF[[#This Row],[QUANTITY]]*DF[[#This Row],[UnitPrice]]</f>
        <v>20.34</v>
      </c>
    </row>
    <row r="432" spans="1:10" x14ac:dyDescent="0.25">
      <c r="A432" s="2">
        <v>536406</v>
      </c>
      <c r="B432" s="2">
        <v>22752</v>
      </c>
      <c r="C432" s="2" t="s">
        <v>18</v>
      </c>
      <c r="D432" s="2">
        <v>2</v>
      </c>
      <c r="E432" s="8">
        <v>40513.481249999997</v>
      </c>
      <c r="F432" s="2">
        <v>7.65</v>
      </c>
      <c r="G432" s="2">
        <v>17850</v>
      </c>
      <c r="H432" s="2" t="s">
        <v>10</v>
      </c>
      <c r="I432" s="2">
        <f>ABS(DF[[#This Row],[Quantity_BEFORE]])</f>
        <v>2</v>
      </c>
      <c r="J432" s="2">
        <f>DF[[#This Row],[QUANTITY]]*DF[[#This Row],[UnitPrice]]</f>
        <v>15.3</v>
      </c>
    </row>
    <row r="433" spans="1:10" x14ac:dyDescent="0.25">
      <c r="A433" s="2">
        <v>536406</v>
      </c>
      <c r="B433" s="2">
        <v>22803</v>
      </c>
      <c r="C433" s="2" t="s">
        <v>249</v>
      </c>
      <c r="D433" s="2">
        <v>2</v>
      </c>
      <c r="E433" s="8">
        <v>40513.481249999997</v>
      </c>
      <c r="F433" s="2">
        <v>35.75</v>
      </c>
      <c r="G433" s="2">
        <v>17850</v>
      </c>
      <c r="H433" s="2" t="s">
        <v>10</v>
      </c>
      <c r="I433" s="2">
        <f>ABS(DF[[#This Row],[Quantity_BEFORE]])</f>
        <v>2</v>
      </c>
      <c r="J433" s="2">
        <f>DF[[#This Row],[QUANTITY]]*DF[[#This Row],[UnitPrice]]</f>
        <v>71.5</v>
      </c>
    </row>
    <row r="434" spans="1:10" x14ac:dyDescent="0.25">
      <c r="A434" s="2">
        <v>536406</v>
      </c>
      <c r="B434" s="2">
        <v>21730</v>
      </c>
      <c r="C434" s="2" t="s">
        <v>19</v>
      </c>
      <c r="D434" s="2">
        <v>6</v>
      </c>
      <c r="E434" s="8">
        <v>40513.481249999997</v>
      </c>
      <c r="F434" s="2">
        <v>4.25</v>
      </c>
      <c r="G434" s="2">
        <v>17850</v>
      </c>
      <c r="H434" s="2" t="s">
        <v>10</v>
      </c>
      <c r="I434" s="2">
        <f>ABS(DF[[#This Row],[Quantity_BEFORE]])</f>
        <v>6</v>
      </c>
      <c r="J434" s="2">
        <f>DF[[#This Row],[QUANTITY]]*DF[[#This Row],[UnitPrice]]</f>
        <v>25.5</v>
      </c>
    </row>
    <row r="435" spans="1:10" x14ac:dyDescent="0.25">
      <c r="A435" s="2">
        <v>536407</v>
      </c>
      <c r="B435" s="2">
        <v>22632</v>
      </c>
      <c r="C435" s="2" t="s">
        <v>21</v>
      </c>
      <c r="D435" s="2">
        <v>6</v>
      </c>
      <c r="E435" s="8">
        <v>40513.481944444444</v>
      </c>
      <c r="F435" s="2">
        <v>1.85</v>
      </c>
      <c r="G435" s="2">
        <v>17850</v>
      </c>
      <c r="H435" s="2" t="s">
        <v>10</v>
      </c>
      <c r="I435" s="2">
        <f>ABS(DF[[#This Row],[Quantity_BEFORE]])</f>
        <v>6</v>
      </c>
      <c r="J435" s="2">
        <f>DF[[#This Row],[QUANTITY]]*DF[[#This Row],[UnitPrice]]</f>
        <v>11.100000000000001</v>
      </c>
    </row>
    <row r="436" spans="1:10" x14ac:dyDescent="0.25">
      <c r="A436" s="2">
        <v>536407</v>
      </c>
      <c r="B436" s="2">
        <v>22633</v>
      </c>
      <c r="C436" s="2" t="s">
        <v>20</v>
      </c>
      <c r="D436" s="2">
        <v>6</v>
      </c>
      <c r="E436" s="8">
        <v>40513.481944444444</v>
      </c>
      <c r="F436" s="2">
        <v>1.85</v>
      </c>
      <c r="G436" s="2">
        <v>17850</v>
      </c>
      <c r="H436" s="2" t="s">
        <v>10</v>
      </c>
      <c r="I436" s="2">
        <f>ABS(DF[[#This Row],[Quantity_BEFORE]])</f>
        <v>6</v>
      </c>
      <c r="J436" s="2">
        <f>DF[[#This Row],[QUANTITY]]*DF[[#This Row],[UnitPrice]]</f>
        <v>11.100000000000001</v>
      </c>
    </row>
    <row r="437" spans="1:10" x14ac:dyDescent="0.25">
      <c r="A437" s="2">
        <v>536408</v>
      </c>
      <c r="B437" s="2">
        <v>22537</v>
      </c>
      <c r="C437" s="2" t="s">
        <v>351</v>
      </c>
      <c r="D437" s="2">
        <v>24</v>
      </c>
      <c r="E437" s="8">
        <v>40513.486805555556</v>
      </c>
      <c r="F437" s="2">
        <v>0.42</v>
      </c>
      <c r="G437" s="2">
        <v>14307</v>
      </c>
      <c r="H437" s="2" t="s">
        <v>10</v>
      </c>
      <c r="I437" s="2">
        <f>ABS(DF[[#This Row],[Quantity_BEFORE]])</f>
        <v>24</v>
      </c>
      <c r="J437" s="2">
        <f>DF[[#This Row],[QUANTITY]]*DF[[#This Row],[UnitPrice]]</f>
        <v>10.08</v>
      </c>
    </row>
    <row r="438" spans="1:10" x14ac:dyDescent="0.25">
      <c r="A438" s="2">
        <v>536408</v>
      </c>
      <c r="B438" s="2">
        <v>22533</v>
      </c>
      <c r="C438" s="2" t="s">
        <v>352</v>
      </c>
      <c r="D438" s="2">
        <v>24</v>
      </c>
      <c r="E438" s="8">
        <v>40513.486805555556</v>
      </c>
      <c r="F438" s="2">
        <v>0.42</v>
      </c>
      <c r="G438" s="2">
        <v>14307</v>
      </c>
      <c r="H438" s="2" t="s">
        <v>10</v>
      </c>
      <c r="I438" s="2">
        <f>ABS(DF[[#This Row],[Quantity_BEFORE]])</f>
        <v>24</v>
      </c>
      <c r="J438" s="2">
        <f>DF[[#This Row],[QUANTITY]]*DF[[#This Row],[UnitPrice]]</f>
        <v>10.08</v>
      </c>
    </row>
    <row r="439" spans="1:10" x14ac:dyDescent="0.25">
      <c r="A439" s="2">
        <v>536408</v>
      </c>
      <c r="B439" s="2">
        <v>20982</v>
      </c>
      <c r="C439" s="2" t="s">
        <v>353</v>
      </c>
      <c r="D439" s="2">
        <v>12</v>
      </c>
      <c r="E439" s="8">
        <v>40513.486805555556</v>
      </c>
      <c r="F439" s="2">
        <v>0.85</v>
      </c>
      <c r="G439" s="2">
        <v>14307</v>
      </c>
      <c r="H439" s="2" t="s">
        <v>10</v>
      </c>
      <c r="I439" s="2">
        <f>ABS(DF[[#This Row],[Quantity_BEFORE]])</f>
        <v>12</v>
      </c>
      <c r="J439" s="2">
        <f>DF[[#This Row],[QUANTITY]]*DF[[#This Row],[UnitPrice]]</f>
        <v>10.199999999999999</v>
      </c>
    </row>
    <row r="440" spans="1:10" x14ac:dyDescent="0.25">
      <c r="A440" s="2">
        <v>536408</v>
      </c>
      <c r="B440" s="2">
        <v>21832</v>
      </c>
      <c r="C440" s="2" t="s">
        <v>142</v>
      </c>
      <c r="D440" s="2">
        <v>12</v>
      </c>
      <c r="E440" s="8">
        <v>40513.486805555556</v>
      </c>
      <c r="F440" s="2">
        <v>1.65</v>
      </c>
      <c r="G440" s="2">
        <v>14307</v>
      </c>
      <c r="H440" s="2" t="s">
        <v>10</v>
      </c>
      <c r="I440" s="2">
        <f>ABS(DF[[#This Row],[Quantity_BEFORE]])</f>
        <v>12</v>
      </c>
      <c r="J440" s="2">
        <f>DF[[#This Row],[QUANTITY]]*DF[[#This Row],[UnitPrice]]</f>
        <v>19.799999999999997</v>
      </c>
    </row>
    <row r="441" spans="1:10" x14ac:dyDescent="0.25">
      <c r="A441" s="2">
        <v>536408</v>
      </c>
      <c r="B441" s="2">
        <v>21915</v>
      </c>
      <c r="C441" s="2" t="s">
        <v>354</v>
      </c>
      <c r="D441" s="2">
        <v>12</v>
      </c>
      <c r="E441" s="8">
        <v>40513.486805555556</v>
      </c>
      <c r="F441" s="2">
        <v>1.25</v>
      </c>
      <c r="G441" s="2">
        <v>14307</v>
      </c>
      <c r="H441" s="2" t="s">
        <v>10</v>
      </c>
      <c r="I441" s="2">
        <f>ABS(DF[[#This Row],[Quantity_BEFORE]])</f>
        <v>12</v>
      </c>
      <c r="J441" s="2">
        <f>DF[[#This Row],[QUANTITY]]*DF[[#This Row],[UnitPrice]]</f>
        <v>15</v>
      </c>
    </row>
    <row r="442" spans="1:10" x14ac:dyDescent="0.25">
      <c r="A442" s="2">
        <v>536408</v>
      </c>
      <c r="B442" s="2">
        <v>21914</v>
      </c>
      <c r="C442" s="2" t="s">
        <v>355</v>
      </c>
      <c r="D442" s="2">
        <v>12</v>
      </c>
      <c r="E442" s="8">
        <v>40513.486805555556</v>
      </c>
      <c r="F442" s="2">
        <v>1.25</v>
      </c>
      <c r="G442" s="2">
        <v>14307</v>
      </c>
      <c r="H442" s="2" t="s">
        <v>10</v>
      </c>
      <c r="I442" s="2">
        <f>ABS(DF[[#This Row],[Quantity_BEFORE]])</f>
        <v>12</v>
      </c>
      <c r="J442" s="2">
        <f>DF[[#This Row],[QUANTITY]]*DF[[#This Row],[UnitPrice]]</f>
        <v>15</v>
      </c>
    </row>
    <row r="443" spans="1:10" x14ac:dyDescent="0.25">
      <c r="A443" s="2">
        <v>536408</v>
      </c>
      <c r="B443" s="2">
        <v>21544</v>
      </c>
      <c r="C443" s="2" t="s">
        <v>356</v>
      </c>
      <c r="D443" s="2">
        <v>12</v>
      </c>
      <c r="E443" s="8">
        <v>40513.486805555556</v>
      </c>
      <c r="F443" s="2">
        <v>0.85</v>
      </c>
      <c r="G443" s="2">
        <v>14307</v>
      </c>
      <c r="H443" s="2" t="s">
        <v>10</v>
      </c>
      <c r="I443" s="2">
        <f>ABS(DF[[#This Row],[Quantity_BEFORE]])</f>
        <v>12</v>
      </c>
      <c r="J443" s="2">
        <f>DF[[#This Row],[QUANTITY]]*DF[[#This Row],[UnitPrice]]</f>
        <v>10.199999999999999</v>
      </c>
    </row>
    <row r="444" spans="1:10" x14ac:dyDescent="0.25">
      <c r="A444" s="2">
        <v>536408</v>
      </c>
      <c r="B444" s="2">
        <v>22813</v>
      </c>
      <c r="C444" s="2" t="s">
        <v>357</v>
      </c>
      <c r="D444" s="2">
        <v>12</v>
      </c>
      <c r="E444" s="8">
        <v>40513.486805555556</v>
      </c>
      <c r="F444" s="2">
        <v>1.95</v>
      </c>
      <c r="G444" s="2">
        <v>14307</v>
      </c>
      <c r="H444" s="2" t="s">
        <v>10</v>
      </c>
      <c r="I444" s="2">
        <f>ABS(DF[[#This Row],[Quantity_BEFORE]])</f>
        <v>12</v>
      </c>
      <c r="J444" s="2">
        <f>DF[[#This Row],[QUANTITY]]*DF[[#This Row],[UnitPrice]]</f>
        <v>23.4</v>
      </c>
    </row>
    <row r="445" spans="1:10" x14ac:dyDescent="0.25">
      <c r="A445" s="2">
        <v>536408</v>
      </c>
      <c r="B445" s="2">
        <v>22114</v>
      </c>
      <c r="C445" s="2" t="s">
        <v>73</v>
      </c>
      <c r="D445" s="2">
        <v>4</v>
      </c>
      <c r="E445" s="8">
        <v>40513.486805555556</v>
      </c>
      <c r="F445" s="2">
        <v>3.95</v>
      </c>
      <c r="G445" s="2">
        <v>14307</v>
      </c>
      <c r="H445" s="2" t="s">
        <v>10</v>
      </c>
      <c r="I445" s="2">
        <f>ABS(DF[[#This Row],[Quantity_BEFORE]])</f>
        <v>4</v>
      </c>
      <c r="J445" s="2">
        <f>DF[[#This Row],[QUANTITY]]*DF[[#This Row],[UnitPrice]]</f>
        <v>15.8</v>
      </c>
    </row>
    <row r="446" spans="1:10" x14ac:dyDescent="0.25">
      <c r="A446" s="2">
        <v>536408</v>
      </c>
      <c r="B446" s="2" t="s">
        <v>16</v>
      </c>
      <c r="C446" s="2" t="s">
        <v>17</v>
      </c>
      <c r="D446" s="2">
        <v>4</v>
      </c>
      <c r="E446" s="8">
        <v>40513.486805555556</v>
      </c>
      <c r="F446" s="2">
        <v>3.75</v>
      </c>
      <c r="G446" s="2">
        <v>14307</v>
      </c>
      <c r="H446" s="2" t="s">
        <v>10</v>
      </c>
      <c r="I446" s="2">
        <f>ABS(DF[[#This Row],[Quantity_BEFORE]])</f>
        <v>4</v>
      </c>
      <c r="J446" s="2">
        <f>DF[[#This Row],[QUANTITY]]*DF[[#This Row],[UnitPrice]]</f>
        <v>15</v>
      </c>
    </row>
    <row r="447" spans="1:10" x14ac:dyDescent="0.25">
      <c r="A447" s="2">
        <v>536408</v>
      </c>
      <c r="B447" s="2">
        <v>21479</v>
      </c>
      <c r="C447" s="2" t="s">
        <v>260</v>
      </c>
      <c r="D447" s="2">
        <v>4</v>
      </c>
      <c r="E447" s="8">
        <v>40513.486805555556</v>
      </c>
      <c r="F447" s="2">
        <v>3.75</v>
      </c>
      <c r="G447" s="2">
        <v>14307</v>
      </c>
      <c r="H447" s="2" t="s">
        <v>10</v>
      </c>
      <c r="I447" s="2">
        <f>ABS(DF[[#This Row],[Quantity_BEFORE]])</f>
        <v>4</v>
      </c>
      <c r="J447" s="2">
        <f>DF[[#This Row],[QUANTITY]]*DF[[#This Row],[UnitPrice]]</f>
        <v>15</v>
      </c>
    </row>
    <row r="448" spans="1:10" x14ac:dyDescent="0.25">
      <c r="A448" s="2">
        <v>536408</v>
      </c>
      <c r="B448" s="2">
        <v>22964</v>
      </c>
      <c r="C448" s="2" t="s">
        <v>342</v>
      </c>
      <c r="D448" s="2">
        <v>6</v>
      </c>
      <c r="E448" s="8">
        <v>40513.486805555556</v>
      </c>
      <c r="F448" s="2">
        <v>2.1</v>
      </c>
      <c r="G448" s="2">
        <v>14307</v>
      </c>
      <c r="H448" s="2" t="s">
        <v>10</v>
      </c>
      <c r="I448" s="2">
        <f>ABS(DF[[#This Row],[Quantity_BEFORE]])</f>
        <v>6</v>
      </c>
      <c r="J448" s="2">
        <f>DF[[#This Row],[QUANTITY]]*DF[[#This Row],[UnitPrice]]</f>
        <v>12.600000000000001</v>
      </c>
    </row>
    <row r="449" spans="1:10" x14ac:dyDescent="0.25">
      <c r="A449" s="2">
        <v>536408</v>
      </c>
      <c r="B449" s="2">
        <v>84375</v>
      </c>
      <c r="C449" s="2" t="s">
        <v>358</v>
      </c>
      <c r="D449" s="2">
        <v>12</v>
      </c>
      <c r="E449" s="8">
        <v>40513.486805555556</v>
      </c>
      <c r="F449" s="2">
        <v>2.1</v>
      </c>
      <c r="G449" s="2">
        <v>14307</v>
      </c>
      <c r="H449" s="2" t="s">
        <v>10</v>
      </c>
      <c r="I449" s="2">
        <f>ABS(DF[[#This Row],[Quantity_BEFORE]])</f>
        <v>12</v>
      </c>
      <c r="J449" s="2">
        <f>DF[[#This Row],[QUANTITY]]*DF[[#This Row],[UnitPrice]]</f>
        <v>25.200000000000003</v>
      </c>
    </row>
    <row r="450" spans="1:10" x14ac:dyDescent="0.25">
      <c r="A450" s="2">
        <v>536408</v>
      </c>
      <c r="B450" s="2">
        <v>22418</v>
      </c>
      <c r="C450" s="2" t="s">
        <v>359</v>
      </c>
      <c r="D450" s="2">
        <v>24</v>
      </c>
      <c r="E450" s="8">
        <v>40513.486805555556</v>
      </c>
      <c r="F450" s="2">
        <v>0.85</v>
      </c>
      <c r="G450" s="2">
        <v>14307</v>
      </c>
      <c r="H450" s="2" t="s">
        <v>10</v>
      </c>
      <c r="I450" s="2">
        <f>ABS(DF[[#This Row],[Quantity_BEFORE]])</f>
        <v>24</v>
      </c>
      <c r="J450" s="2">
        <f>DF[[#This Row],[QUANTITY]]*DF[[#This Row],[UnitPrice]]</f>
        <v>20.399999999999999</v>
      </c>
    </row>
    <row r="451" spans="1:10" x14ac:dyDescent="0.25">
      <c r="A451" s="2">
        <v>536408</v>
      </c>
      <c r="B451" s="2">
        <v>22178</v>
      </c>
      <c r="C451" s="2" t="s">
        <v>360</v>
      </c>
      <c r="D451" s="2">
        <v>12</v>
      </c>
      <c r="E451" s="8">
        <v>40513.486805555556</v>
      </c>
      <c r="F451" s="2">
        <v>1.25</v>
      </c>
      <c r="G451" s="2">
        <v>14307</v>
      </c>
      <c r="H451" s="2" t="s">
        <v>10</v>
      </c>
      <c r="I451" s="2">
        <f>ABS(DF[[#This Row],[Quantity_BEFORE]])</f>
        <v>12</v>
      </c>
      <c r="J451" s="2">
        <f>DF[[#This Row],[QUANTITY]]*DF[[#This Row],[UnitPrice]]</f>
        <v>15</v>
      </c>
    </row>
    <row r="452" spans="1:10" x14ac:dyDescent="0.25">
      <c r="A452" s="2">
        <v>536408</v>
      </c>
      <c r="B452" s="2" t="s">
        <v>361</v>
      </c>
      <c r="C452" s="2" t="s">
        <v>362</v>
      </c>
      <c r="D452" s="2">
        <v>12</v>
      </c>
      <c r="E452" s="8">
        <v>40513.486805555556</v>
      </c>
      <c r="F452" s="2">
        <v>0.95</v>
      </c>
      <c r="G452" s="2">
        <v>14307</v>
      </c>
      <c r="H452" s="2" t="s">
        <v>10</v>
      </c>
      <c r="I452" s="2">
        <f>ABS(DF[[#This Row],[Quantity_BEFORE]])</f>
        <v>12</v>
      </c>
      <c r="J452" s="2">
        <f>DF[[#This Row],[QUANTITY]]*DF[[#This Row],[UnitPrice]]</f>
        <v>11.399999999999999</v>
      </c>
    </row>
    <row r="453" spans="1:10" x14ac:dyDescent="0.25">
      <c r="A453" s="2">
        <v>536408</v>
      </c>
      <c r="B453" s="2">
        <v>21733</v>
      </c>
      <c r="C453" s="2" t="s">
        <v>74</v>
      </c>
      <c r="D453" s="2">
        <v>6</v>
      </c>
      <c r="E453" s="8">
        <v>40513.486805555556</v>
      </c>
      <c r="F453" s="2">
        <v>2.95</v>
      </c>
      <c r="G453" s="2">
        <v>14307</v>
      </c>
      <c r="H453" s="2" t="s">
        <v>10</v>
      </c>
      <c r="I453" s="2">
        <f>ABS(DF[[#This Row],[Quantity_BEFORE]])</f>
        <v>6</v>
      </c>
      <c r="J453" s="2">
        <f>DF[[#This Row],[QUANTITY]]*DF[[#This Row],[UnitPrice]]</f>
        <v>17.700000000000003</v>
      </c>
    </row>
    <row r="454" spans="1:10" x14ac:dyDescent="0.25">
      <c r="A454" s="2">
        <v>536408</v>
      </c>
      <c r="B454" s="2">
        <v>22465</v>
      </c>
      <c r="C454" s="2" t="s">
        <v>363</v>
      </c>
      <c r="D454" s="2">
        <v>12</v>
      </c>
      <c r="E454" s="8">
        <v>40513.486805555556</v>
      </c>
      <c r="F454" s="2">
        <v>1.65</v>
      </c>
      <c r="G454" s="2">
        <v>14307</v>
      </c>
      <c r="H454" s="2" t="s">
        <v>10</v>
      </c>
      <c r="I454" s="2">
        <f>ABS(DF[[#This Row],[Quantity_BEFORE]])</f>
        <v>12</v>
      </c>
      <c r="J454" s="2">
        <f>DF[[#This Row],[QUANTITY]]*DF[[#This Row],[UnitPrice]]</f>
        <v>19.799999999999997</v>
      </c>
    </row>
    <row r="455" spans="1:10" x14ac:dyDescent="0.25">
      <c r="A455" s="2">
        <v>536408</v>
      </c>
      <c r="B455" s="2">
        <v>84949</v>
      </c>
      <c r="C455" s="2" t="s">
        <v>364</v>
      </c>
      <c r="D455" s="2">
        <v>6</v>
      </c>
      <c r="E455" s="8">
        <v>40513.486805555556</v>
      </c>
      <c r="F455" s="2">
        <v>1.65</v>
      </c>
      <c r="G455" s="2">
        <v>14307</v>
      </c>
      <c r="H455" s="2" t="s">
        <v>10</v>
      </c>
      <c r="I455" s="2">
        <f>ABS(DF[[#This Row],[Quantity_BEFORE]])</f>
        <v>6</v>
      </c>
      <c r="J455" s="2">
        <f>DF[[#This Row],[QUANTITY]]*DF[[#This Row],[UnitPrice]]</f>
        <v>9.8999999999999986</v>
      </c>
    </row>
    <row r="456" spans="1:10" x14ac:dyDescent="0.25">
      <c r="A456" s="2">
        <v>536408</v>
      </c>
      <c r="B456" s="2">
        <v>20685</v>
      </c>
      <c r="C456" s="2" t="s">
        <v>365</v>
      </c>
      <c r="D456" s="2">
        <v>2</v>
      </c>
      <c r="E456" s="8">
        <v>40513.486805555556</v>
      </c>
      <c r="F456" s="2">
        <v>7.95</v>
      </c>
      <c r="G456" s="2">
        <v>14307</v>
      </c>
      <c r="H456" s="2" t="s">
        <v>10</v>
      </c>
      <c r="I456" s="2">
        <f>ABS(DF[[#This Row],[Quantity_BEFORE]])</f>
        <v>2</v>
      </c>
      <c r="J456" s="2">
        <f>DF[[#This Row],[QUANTITY]]*DF[[#This Row],[UnitPrice]]</f>
        <v>15.9</v>
      </c>
    </row>
    <row r="457" spans="1:10" x14ac:dyDescent="0.25">
      <c r="A457" s="2">
        <v>536408</v>
      </c>
      <c r="B457" s="2">
        <v>48194</v>
      </c>
      <c r="C457" s="2" t="s">
        <v>366</v>
      </c>
      <c r="D457" s="2">
        <v>2</v>
      </c>
      <c r="E457" s="8">
        <v>40513.486805555556</v>
      </c>
      <c r="F457" s="2">
        <v>7.95</v>
      </c>
      <c r="G457" s="2">
        <v>14307</v>
      </c>
      <c r="H457" s="2" t="s">
        <v>10</v>
      </c>
      <c r="I457" s="2">
        <f>ABS(DF[[#This Row],[Quantity_BEFORE]])</f>
        <v>2</v>
      </c>
      <c r="J457" s="2">
        <f>DF[[#This Row],[QUANTITY]]*DF[[#This Row],[UnitPrice]]</f>
        <v>15.9</v>
      </c>
    </row>
    <row r="458" spans="1:10" x14ac:dyDescent="0.25">
      <c r="A458" s="2">
        <v>536408</v>
      </c>
      <c r="B458" s="2">
        <v>22488</v>
      </c>
      <c r="C458" s="2" t="s">
        <v>367</v>
      </c>
      <c r="D458" s="2">
        <v>12</v>
      </c>
      <c r="E458" s="8">
        <v>40513.486805555556</v>
      </c>
      <c r="F458" s="2">
        <v>1.65</v>
      </c>
      <c r="G458" s="2">
        <v>14307</v>
      </c>
      <c r="H458" s="2" t="s">
        <v>10</v>
      </c>
      <c r="I458" s="2">
        <f>ABS(DF[[#This Row],[Quantity_BEFORE]])</f>
        <v>12</v>
      </c>
      <c r="J458" s="2">
        <f>DF[[#This Row],[QUANTITY]]*DF[[#This Row],[UnitPrice]]</f>
        <v>19.799999999999997</v>
      </c>
    </row>
    <row r="459" spans="1:10" x14ac:dyDescent="0.25">
      <c r="A459" s="2">
        <v>536408</v>
      </c>
      <c r="B459" s="2">
        <v>22219</v>
      </c>
      <c r="C459" s="2" t="s">
        <v>368</v>
      </c>
      <c r="D459" s="2">
        <v>12</v>
      </c>
      <c r="E459" s="8">
        <v>40513.486805555556</v>
      </c>
      <c r="F459" s="2">
        <v>0.85</v>
      </c>
      <c r="G459" s="2">
        <v>14307</v>
      </c>
      <c r="H459" s="2" t="s">
        <v>10</v>
      </c>
      <c r="I459" s="2">
        <f>ABS(DF[[#This Row],[Quantity_BEFORE]])</f>
        <v>12</v>
      </c>
      <c r="J459" s="2">
        <f>DF[[#This Row],[QUANTITY]]*DF[[#This Row],[UnitPrice]]</f>
        <v>10.199999999999999</v>
      </c>
    </row>
    <row r="460" spans="1:10" x14ac:dyDescent="0.25">
      <c r="A460" s="2">
        <v>536408</v>
      </c>
      <c r="B460" s="2">
        <v>84879</v>
      </c>
      <c r="C460" s="2" t="s">
        <v>22</v>
      </c>
      <c r="D460" s="2">
        <v>8</v>
      </c>
      <c r="E460" s="8">
        <v>40513.486805555556</v>
      </c>
      <c r="F460" s="2">
        <v>1.69</v>
      </c>
      <c r="G460" s="2">
        <v>14307</v>
      </c>
      <c r="H460" s="2" t="s">
        <v>10</v>
      </c>
      <c r="I460" s="2">
        <f>ABS(DF[[#This Row],[Quantity_BEFORE]])</f>
        <v>8</v>
      </c>
      <c r="J460" s="2">
        <f>DF[[#This Row],[QUANTITY]]*DF[[#This Row],[UnitPrice]]</f>
        <v>13.52</v>
      </c>
    </row>
    <row r="461" spans="1:10" x14ac:dyDescent="0.25">
      <c r="A461" s="2">
        <v>536408</v>
      </c>
      <c r="B461" s="2">
        <v>21754</v>
      </c>
      <c r="C461" s="2" t="s">
        <v>30</v>
      </c>
      <c r="D461" s="2">
        <v>3</v>
      </c>
      <c r="E461" s="8">
        <v>40513.486805555556</v>
      </c>
      <c r="F461" s="2">
        <v>5.95</v>
      </c>
      <c r="G461" s="2">
        <v>14307</v>
      </c>
      <c r="H461" s="2" t="s">
        <v>10</v>
      </c>
      <c r="I461" s="2">
        <f>ABS(DF[[#This Row],[Quantity_BEFORE]])</f>
        <v>3</v>
      </c>
      <c r="J461" s="2">
        <f>DF[[#This Row],[QUANTITY]]*DF[[#This Row],[UnitPrice]]</f>
        <v>17.850000000000001</v>
      </c>
    </row>
    <row r="462" spans="1:10" x14ac:dyDescent="0.25">
      <c r="A462" s="2">
        <v>536408</v>
      </c>
      <c r="B462" s="2">
        <v>21755</v>
      </c>
      <c r="C462" s="2" t="s">
        <v>31</v>
      </c>
      <c r="D462" s="2">
        <v>3</v>
      </c>
      <c r="E462" s="8">
        <v>40513.486805555556</v>
      </c>
      <c r="F462" s="2">
        <v>5.95</v>
      </c>
      <c r="G462" s="2">
        <v>14307</v>
      </c>
      <c r="H462" s="2" t="s">
        <v>10</v>
      </c>
      <c r="I462" s="2">
        <f>ABS(DF[[#This Row],[Quantity_BEFORE]])</f>
        <v>3</v>
      </c>
      <c r="J462" s="2">
        <f>DF[[#This Row],[QUANTITY]]*DF[[#This Row],[UnitPrice]]</f>
        <v>17.850000000000001</v>
      </c>
    </row>
    <row r="463" spans="1:10" x14ac:dyDescent="0.25">
      <c r="A463" s="2">
        <v>536408</v>
      </c>
      <c r="B463" s="2">
        <v>22766</v>
      </c>
      <c r="C463" s="2" t="s">
        <v>265</v>
      </c>
      <c r="D463" s="2">
        <v>8</v>
      </c>
      <c r="E463" s="8">
        <v>40513.486805555556</v>
      </c>
      <c r="F463" s="2">
        <v>2.95</v>
      </c>
      <c r="G463" s="2">
        <v>14307</v>
      </c>
      <c r="H463" s="2" t="s">
        <v>10</v>
      </c>
      <c r="I463" s="2">
        <f>ABS(DF[[#This Row],[Quantity_BEFORE]])</f>
        <v>8</v>
      </c>
      <c r="J463" s="2">
        <f>DF[[#This Row],[QUANTITY]]*DF[[#This Row],[UnitPrice]]</f>
        <v>23.6</v>
      </c>
    </row>
    <row r="464" spans="1:10" x14ac:dyDescent="0.25">
      <c r="A464" s="2">
        <v>536408</v>
      </c>
      <c r="B464" s="2">
        <v>22610</v>
      </c>
      <c r="C464" s="2" t="s">
        <v>369</v>
      </c>
      <c r="D464" s="2">
        <v>36</v>
      </c>
      <c r="E464" s="8">
        <v>40513.486805555556</v>
      </c>
      <c r="F464" s="2">
        <v>0.85</v>
      </c>
      <c r="G464" s="2">
        <v>14307</v>
      </c>
      <c r="H464" s="2" t="s">
        <v>10</v>
      </c>
      <c r="I464" s="2">
        <f>ABS(DF[[#This Row],[Quantity_BEFORE]])</f>
        <v>36</v>
      </c>
      <c r="J464" s="2">
        <f>DF[[#This Row],[QUANTITY]]*DF[[#This Row],[UnitPrice]]</f>
        <v>30.599999999999998</v>
      </c>
    </row>
    <row r="465" spans="1:10" x14ac:dyDescent="0.25">
      <c r="A465" s="2">
        <v>536408</v>
      </c>
      <c r="B465" s="2">
        <v>22716</v>
      </c>
      <c r="C465" s="2" t="s">
        <v>370</v>
      </c>
      <c r="D465" s="2">
        <v>12</v>
      </c>
      <c r="E465" s="8">
        <v>40513.486805555556</v>
      </c>
      <c r="F465" s="2">
        <v>0.42</v>
      </c>
      <c r="G465" s="2">
        <v>14307</v>
      </c>
      <c r="H465" s="2" t="s">
        <v>10</v>
      </c>
      <c r="I465" s="2">
        <f>ABS(DF[[#This Row],[Quantity_BEFORE]])</f>
        <v>12</v>
      </c>
      <c r="J465" s="2">
        <f>DF[[#This Row],[QUANTITY]]*DF[[#This Row],[UnitPrice]]</f>
        <v>5.04</v>
      </c>
    </row>
    <row r="466" spans="1:10" x14ac:dyDescent="0.25">
      <c r="A466" s="2">
        <v>536408</v>
      </c>
      <c r="B466" s="2">
        <v>22706</v>
      </c>
      <c r="C466" s="2" t="s">
        <v>371</v>
      </c>
      <c r="D466" s="2">
        <v>25</v>
      </c>
      <c r="E466" s="8">
        <v>40513.486805555556</v>
      </c>
      <c r="F466" s="2">
        <v>0.42</v>
      </c>
      <c r="G466" s="2">
        <v>14307</v>
      </c>
      <c r="H466" s="2" t="s">
        <v>10</v>
      </c>
      <c r="I466" s="2">
        <f>ABS(DF[[#This Row],[Quantity_BEFORE]])</f>
        <v>25</v>
      </c>
      <c r="J466" s="2">
        <f>DF[[#This Row],[QUANTITY]]*DF[[#This Row],[UnitPrice]]</f>
        <v>10.5</v>
      </c>
    </row>
    <row r="467" spans="1:10" x14ac:dyDescent="0.25">
      <c r="A467" s="2">
        <v>536408</v>
      </c>
      <c r="B467" s="2">
        <v>22371</v>
      </c>
      <c r="C467" s="2" t="s">
        <v>372</v>
      </c>
      <c r="D467" s="2">
        <v>4</v>
      </c>
      <c r="E467" s="8">
        <v>40513.486805555556</v>
      </c>
      <c r="F467" s="2">
        <v>4.25</v>
      </c>
      <c r="G467" s="2">
        <v>14307</v>
      </c>
      <c r="H467" s="2" t="s">
        <v>10</v>
      </c>
      <c r="I467" s="2">
        <f>ABS(DF[[#This Row],[Quantity_BEFORE]])</f>
        <v>4</v>
      </c>
      <c r="J467" s="2">
        <f>DF[[#This Row],[QUANTITY]]*DF[[#This Row],[UnitPrice]]</f>
        <v>17</v>
      </c>
    </row>
    <row r="468" spans="1:10" x14ac:dyDescent="0.25">
      <c r="A468" s="2">
        <v>536408</v>
      </c>
      <c r="B468" s="2" t="s">
        <v>192</v>
      </c>
      <c r="C468" s="2" t="s">
        <v>193</v>
      </c>
      <c r="D468" s="2">
        <v>3</v>
      </c>
      <c r="E468" s="8">
        <v>40513.486805555556</v>
      </c>
      <c r="F468" s="2">
        <v>5.95</v>
      </c>
      <c r="G468" s="2">
        <v>14307</v>
      </c>
      <c r="H468" s="2" t="s">
        <v>10</v>
      </c>
      <c r="I468" s="2">
        <f>ABS(DF[[#This Row],[Quantity_BEFORE]])</f>
        <v>3</v>
      </c>
      <c r="J468" s="2">
        <f>DF[[#This Row],[QUANTITY]]*DF[[#This Row],[UnitPrice]]</f>
        <v>17.850000000000001</v>
      </c>
    </row>
    <row r="469" spans="1:10" x14ac:dyDescent="0.25">
      <c r="A469" s="2">
        <v>536408</v>
      </c>
      <c r="B469" s="2" t="s">
        <v>194</v>
      </c>
      <c r="C469" s="2" t="s">
        <v>195</v>
      </c>
      <c r="D469" s="2">
        <v>3</v>
      </c>
      <c r="E469" s="8">
        <v>40513.486805555556</v>
      </c>
      <c r="F469" s="2">
        <v>5.95</v>
      </c>
      <c r="G469" s="2">
        <v>14307</v>
      </c>
      <c r="H469" s="2" t="s">
        <v>10</v>
      </c>
      <c r="I469" s="2">
        <f>ABS(DF[[#This Row],[Quantity_BEFORE]])</f>
        <v>3</v>
      </c>
      <c r="J469" s="2">
        <f>DF[[#This Row],[QUANTITY]]*DF[[#This Row],[UnitPrice]]</f>
        <v>17.850000000000001</v>
      </c>
    </row>
    <row r="470" spans="1:10" x14ac:dyDescent="0.25">
      <c r="A470" s="2">
        <v>536408</v>
      </c>
      <c r="B470" s="2" t="s">
        <v>80</v>
      </c>
      <c r="C470" s="2" t="s">
        <v>81</v>
      </c>
      <c r="D470" s="2">
        <v>6</v>
      </c>
      <c r="E470" s="8">
        <v>40513.486805555556</v>
      </c>
      <c r="F470" s="2">
        <v>3.75</v>
      </c>
      <c r="G470" s="2">
        <v>14307</v>
      </c>
      <c r="H470" s="2" t="s">
        <v>10</v>
      </c>
      <c r="I470" s="2">
        <f>ABS(DF[[#This Row],[Quantity_BEFORE]])</f>
        <v>6</v>
      </c>
      <c r="J470" s="2">
        <f>DF[[#This Row],[QUANTITY]]*DF[[#This Row],[UnitPrice]]</f>
        <v>22.5</v>
      </c>
    </row>
    <row r="471" spans="1:10" x14ac:dyDescent="0.25">
      <c r="A471" s="2">
        <v>536408</v>
      </c>
      <c r="B471" s="2">
        <v>21212</v>
      </c>
      <c r="C471" s="2" t="s">
        <v>88</v>
      </c>
      <c r="D471" s="2">
        <v>24</v>
      </c>
      <c r="E471" s="8">
        <v>40513.486805555556</v>
      </c>
      <c r="F471" s="2">
        <v>0.55000000000000004</v>
      </c>
      <c r="G471" s="2">
        <v>14307</v>
      </c>
      <c r="H471" s="2" t="s">
        <v>10</v>
      </c>
      <c r="I471" s="2">
        <f>ABS(DF[[#This Row],[Quantity_BEFORE]])</f>
        <v>24</v>
      </c>
      <c r="J471" s="2">
        <f>DF[[#This Row],[QUANTITY]]*DF[[#This Row],[UnitPrice]]</f>
        <v>13.200000000000001</v>
      </c>
    </row>
    <row r="472" spans="1:10" x14ac:dyDescent="0.25">
      <c r="A472" s="2">
        <v>536408</v>
      </c>
      <c r="B472" s="2">
        <v>21210</v>
      </c>
      <c r="C472" s="2" t="s">
        <v>373</v>
      </c>
      <c r="D472" s="2">
        <v>12</v>
      </c>
      <c r="E472" s="8">
        <v>40513.486805555556</v>
      </c>
      <c r="F472" s="2">
        <v>1.45</v>
      </c>
      <c r="G472" s="2">
        <v>14307</v>
      </c>
      <c r="H472" s="2" t="s">
        <v>10</v>
      </c>
      <c r="I472" s="2">
        <f>ABS(DF[[#This Row],[Quantity_BEFORE]])</f>
        <v>12</v>
      </c>
      <c r="J472" s="2">
        <f>DF[[#This Row],[QUANTITY]]*DF[[#This Row],[UnitPrice]]</f>
        <v>17.399999999999999</v>
      </c>
    </row>
    <row r="473" spans="1:10" x14ac:dyDescent="0.25">
      <c r="A473" s="2">
        <v>536408</v>
      </c>
      <c r="B473" s="2">
        <v>22914</v>
      </c>
      <c r="C473" s="2" t="s">
        <v>37</v>
      </c>
      <c r="D473" s="2">
        <v>3</v>
      </c>
      <c r="E473" s="8">
        <v>40513.486805555556</v>
      </c>
      <c r="F473" s="2">
        <v>4.95</v>
      </c>
      <c r="G473" s="2">
        <v>14307</v>
      </c>
      <c r="H473" s="2" t="s">
        <v>10</v>
      </c>
      <c r="I473" s="2">
        <f>ABS(DF[[#This Row],[Quantity_BEFORE]])</f>
        <v>3</v>
      </c>
      <c r="J473" s="2">
        <f>DF[[#This Row],[QUANTITY]]*DF[[#This Row],[UnitPrice]]</f>
        <v>14.850000000000001</v>
      </c>
    </row>
    <row r="474" spans="1:10" x14ac:dyDescent="0.25">
      <c r="A474" s="2">
        <v>536408</v>
      </c>
      <c r="B474" s="2">
        <v>22553</v>
      </c>
      <c r="C474" s="2" t="s">
        <v>225</v>
      </c>
      <c r="D474" s="2">
        <v>12</v>
      </c>
      <c r="E474" s="8">
        <v>40513.486805555556</v>
      </c>
      <c r="F474" s="2">
        <v>1.65</v>
      </c>
      <c r="G474" s="2">
        <v>14307</v>
      </c>
      <c r="H474" s="2" t="s">
        <v>10</v>
      </c>
      <c r="I474" s="2">
        <f>ABS(DF[[#This Row],[Quantity_BEFORE]])</f>
        <v>12</v>
      </c>
      <c r="J474" s="2">
        <f>DF[[#This Row],[QUANTITY]]*DF[[#This Row],[UnitPrice]]</f>
        <v>19.799999999999997</v>
      </c>
    </row>
    <row r="475" spans="1:10" x14ac:dyDescent="0.25">
      <c r="A475" s="2">
        <v>536408</v>
      </c>
      <c r="B475" s="2">
        <v>16237</v>
      </c>
      <c r="C475" s="2" t="s">
        <v>374</v>
      </c>
      <c r="D475" s="2">
        <v>30</v>
      </c>
      <c r="E475" s="8">
        <v>40513.486805555556</v>
      </c>
      <c r="F475" s="2">
        <v>0.21</v>
      </c>
      <c r="G475" s="2">
        <v>14307</v>
      </c>
      <c r="H475" s="2" t="s">
        <v>10</v>
      </c>
      <c r="I475" s="2">
        <f>ABS(DF[[#This Row],[Quantity_BEFORE]])</f>
        <v>30</v>
      </c>
      <c r="J475" s="2">
        <f>DF[[#This Row],[QUANTITY]]*DF[[#This Row],[UnitPrice]]</f>
        <v>6.3</v>
      </c>
    </row>
    <row r="476" spans="1:10" x14ac:dyDescent="0.25">
      <c r="A476" s="2">
        <v>536408</v>
      </c>
      <c r="B476" s="2">
        <v>22714</v>
      </c>
      <c r="C476" s="2" t="s">
        <v>375</v>
      </c>
      <c r="D476" s="2">
        <v>12</v>
      </c>
      <c r="E476" s="8">
        <v>40513.486805555556</v>
      </c>
      <c r="F476" s="2">
        <v>0.42</v>
      </c>
      <c r="G476" s="2">
        <v>14307</v>
      </c>
      <c r="H476" s="2" t="s">
        <v>10</v>
      </c>
      <c r="I476" s="2">
        <f>ABS(DF[[#This Row],[Quantity_BEFORE]])</f>
        <v>12</v>
      </c>
      <c r="J476" s="2">
        <f>DF[[#This Row],[QUANTITY]]*DF[[#This Row],[UnitPrice]]</f>
        <v>5.04</v>
      </c>
    </row>
    <row r="477" spans="1:10" x14ac:dyDescent="0.25">
      <c r="A477" s="2">
        <v>536408</v>
      </c>
      <c r="B477" s="2">
        <v>22812</v>
      </c>
      <c r="C477" s="2" t="s">
        <v>376</v>
      </c>
      <c r="D477" s="2">
        <v>12</v>
      </c>
      <c r="E477" s="8">
        <v>40513.486805555556</v>
      </c>
      <c r="F477" s="2">
        <v>1.95</v>
      </c>
      <c r="G477" s="2">
        <v>14307</v>
      </c>
      <c r="H477" s="2" t="s">
        <v>10</v>
      </c>
      <c r="I477" s="2">
        <f>ABS(DF[[#This Row],[Quantity_BEFORE]])</f>
        <v>12</v>
      </c>
      <c r="J477" s="2">
        <f>DF[[#This Row],[QUANTITY]]*DF[[#This Row],[UnitPrice]]</f>
        <v>23.4</v>
      </c>
    </row>
    <row r="478" spans="1:10" x14ac:dyDescent="0.25">
      <c r="A478" s="2">
        <v>536408</v>
      </c>
      <c r="B478" s="2">
        <v>84347</v>
      </c>
      <c r="C478" s="2" t="s">
        <v>377</v>
      </c>
      <c r="D478" s="2">
        <v>6</v>
      </c>
      <c r="E478" s="8">
        <v>40513.486805555556</v>
      </c>
      <c r="F478" s="2">
        <v>2.5499999999999998</v>
      </c>
      <c r="G478" s="2">
        <v>14307</v>
      </c>
      <c r="H478" s="2" t="s">
        <v>10</v>
      </c>
      <c r="I478" s="2">
        <f>ABS(DF[[#This Row],[Quantity_BEFORE]])</f>
        <v>6</v>
      </c>
      <c r="J478" s="2">
        <f>DF[[#This Row],[QUANTITY]]*DF[[#This Row],[UnitPrice]]</f>
        <v>15.299999999999999</v>
      </c>
    </row>
    <row r="479" spans="1:10" x14ac:dyDescent="0.25">
      <c r="A479" s="2">
        <v>536408</v>
      </c>
      <c r="B479" s="2">
        <v>21587</v>
      </c>
      <c r="C479" s="2" t="s">
        <v>307</v>
      </c>
      <c r="D479" s="2">
        <v>12</v>
      </c>
      <c r="E479" s="8">
        <v>40513.486805555556</v>
      </c>
      <c r="F479" s="2">
        <v>2.5499999999999998</v>
      </c>
      <c r="G479" s="2">
        <v>14307</v>
      </c>
      <c r="H479" s="2" t="s">
        <v>10</v>
      </c>
      <c r="I479" s="2">
        <f>ABS(DF[[#This Row],[Quantity_BEFORE]])</f>
        <v>12</v>
      </c>
      <c r="J479" s="2">
        <f>DF[[#This Row],[QUANTITY]]*DF[[#This Row],[UnitPrice]]</f>
        <v>30.599999999999998</v>
      </c>
    </row>
    <row r="480" spans="1:10" x14ac:dyDescent="0.25">
      <c r="A480" s="2">
        <v>536408</v>
      </c>
      <c r="B480" s="2">
        <v>22736</v>
      </c>
      <c r="C480" s="2" t="s">
        <v>378</v>
      </c>
      <c r="D480" s="2">
        <v>10</v>
      </c>
      <c r="E480" s="8">
        <v>40513.486805555556</v>
      </c>
      <c r="F480" s="2">
        <v>1.65</v>
      </c>
      <c r="G480" s="2">
        <v>14307</v>
      </c>
      <c r="H480" s="2" t="s">
        <v>10</v>
      </c>
      <c r="I480" s="2">
        <f>ABS(DF[[#This Row],[Quantity_BEFORE]])</f>
        <v>10</v>
      </c>
      <c r="J480" s="2">
        <f>DF[[#This Row],[QUANTITY]]*DF[[#This Row],[UnitPrice]]</f>
        <v>16.5</v>
      </c>
    </row>
    <row r="481" spans="1:10" x14ac:dyDescent="0.25">
      <c r="A481" s="2">
        <v>536408</v>
      </c>
      <c r="B481" s="2">
        <v>22492</v>
      </c>
      <c r="C481" s="2" t="s">
        <v>58</v>
      </c>
      <c r="D481" s="2">
        <v>36</v>
      </c>
      <c r="E481" s="8">
        <v>40513.486805555556</v>
      </c>
      <c r="F481" s="2">
        <v>0.65</v>
      </c>
      <c r="G481" s="2">
        <v>14307</v>
      </c>
      <c r="H481" s="2" t="s">
        <v>10</v>
      </c>
      <c r="I481" s="2">
        <f>ABS(DF[[#This Row],[Quantity_BEFORE]])</f>
        <v>36</v>
      </c>
      <c r="J481" s="2">
        <f>DF[[#This Row],[QUANTITY]]*DF[[#This Row],[UnitPrice]]</f>
        <v>23.400000000000002</v>
      </c>
    </row>
    <row r="482" spans="1:10" x14ac:dyDescent="0.25">
      <c r="A482" s="2">
        <v>536408</v>
      </c>
      <c r="B482" s="2">
        <v>22620</v>
      </c>
      <c r="C482" s="2" t="s">
        <v>379</v>
      </c>
      <c r="D482" s="2">
        <v>12</v>
      </c>
      <c r="E482" s="8">
        <v>40513.486805555556</v>
      </c>
      <c r="F482" s="2">
        <v>1.25</v>
      </c>
      <c r="G482" s="2">
        <v>14307</v>
      </c>
      <c r="H482" s="2" t="s">
        <v>10</v>
      </c>
      <c r="I482" s="2">
        <f>ABS(DF[[#This Row],[Quantity_BEFORE]])</f>
        <v>12</v>
      </c>
      <c r="J482" s="2">
        <f>DF[[#This Row],[QUANTITY]]*DF[[#This Row],[UnitPrice]]</f>
        <v>15</v>
      </c>
    </row>
    <row r="483" spans="1:10" x14ac:dyDescent="0.25">
      <c r="A483" s="2">
        <v>536408</v>
      </c>
      <c r="B483" s="2">
        <v>22619</v>
      </c>
      <c r="C483" s="2" t="s">
        <v>227</v>
      </c>
      <c r="D483" s="2">
        <v>4</v>
      </c>
      <c r="E483" s="8">
        <v>40513.486805555556</v>
      </c>
      <c r="F483" s="2">
        <v>3.75</v>
      </c>
      <c r="G483" s="2">
        <v>14307</v>
      </c>
      <c r="H483" s="2" t="s">
        <v>10</v>
      </c>
      <c r="I483" s="2">
        <f>ABS(DF[[#This Row],[Quantity_BEFORE]])</f>
        <v>4</v>
      </c>
      <c r="J483" s="2">
        <f>DF[[#This Row],[QUANTITY]]*DF[[#This Row],[UnitPrice]]</f>
        <v>15</v>
      </c>
    </row>
    <row r="484" spans="1:10" x14ac:dyDescent="0.25">
      <c r="A484" s="2">
        <v>536408</v>
      </c>
      <c r="B484" s="2">
        <v>21705</v>
      </c>
      <c r="C484" s="2" t="s">
        <v>380</v>
      </c>
      <c r="D484" s="2">
        <v>12</v>
      </c>
      <c r="E484" s="8">
        <v>40513.486805555556</v>
      </c>
      <c r="F484" s="2">
        <v>1.65</v>
      </c>
      <c r="G484" s="2">
        <v>14307</v>
      </c>
      <c r="H484" s="2" t="s">
        <v>10</v>
      </c>
      <c r="I484" s="2">
        <f>ABS(DF[[#This Row],[Quantity_BEFORE]])</f>
        <v>12</v>
      </c>
      <c r="J484" s="2">
        <f>DF[[#This Row],[QUANTITY]]*DF[[#This Row],[UnitPrice]]</f>
        <v>19.799999999999997</v>
      </c>
    </row>
    <row r="485" spans="1:10" x14ac:dyDescent="0.25">
      <c r="A485" s="2">
        <v>536409</v>
      </c>
      <c r="B485" s="2" t="s">
        <v>381</v>
      </c>
      <c r="C485" s="2" t="s">
        <v>382</v>
      </c>
      <c r="D485" s="2">
        <v>3</v>
      </c>
      <c r="E485" s="8">
        <v>40513.489583333336</v>
      </c>
      <c r="F485" s="2">
        <v>6.35</v>
      </c>
      <c r="G485" s="2">
        <v>17908</v>
      </c>
      <c r="H485" s="2" t="s">
        <v>10</v>
      </c>
      <c r="I485" s="2">
        <f>ABS(DF[[#This Row],[Quantity_BEFORE]])</f>
        <v>3</v>
      </c>
      <c r="J485" s="2">
        <f>DF[[#This Row],[QUANTITY]]*DF[[#This Row],[UnitPrice]]</f>
        <v>19.049999999999997</v>
      </c>
    </row>
    <row r="486" spans="1:10" x14ac:dyDescent="0.25">
      <c r="A486" s="2">
        <v>536409</v>
      </c>
      <c r="B486" s="2">
        <v>21479</v>
      </c>
      <c r="C486" s="2" t="s">
        <v>260</v>
      </c>
      <c r="D486" s="2">
        <v>1</v>
      </c>
      <c r="E486" s="8">
        <v>40513.489583333336</v>
      </c>
      <c r="F486" s="2">
        <v>3.75</v>
      </c>
      <c r="G486" s="2">
        <v>17908</v>
      </c>
      <c r="H486" s="2" t="s">
        <v>10</v>
      </c>
      <c r="I486" s="2">
        <f>ABS(DF[[#This Row],[Quantity_BEFORE]])</f>
        <v>1</v>
      </c>
      <c r="J486" s="2">
        <f>DF[[#This Row],[QUANTITY]]*DF[[#This Row],[UnitPrice]]</f>
        <v>3.75</v>
      </c>
    </row>
    <row r="487" spans="1:10" x14ac:dyDescent="0.25">
      <c r="A487" s="2">
        <v>536409</v>
      </c>
      <c r="B487" s="2">
        <v>22111</v>
      </c>
      <c r="C487" s="2" t="s">
        <v>261</v>
      </c>
      <c r="D487" s="2">
        <v>1</v>
      </c>
      <c r="E487" s="8">
        <v>40513.489583333336</v>
      </c>
      <c r="F487" s="2">
        <v>4.95</v>
      </c>
      <c r="G487" s="2">
        <v>17908</v>
      </c>
      <c r="H487" s="2" t="s">
        <v>10</v>
      </c>
      <c r="I487" s="2">
        <f>ABS(DF[[#This Row],[Quantity_BEFORE]])</f>
        <v>1</v>
      </c>
      <c r="J487" s="2">
        <f>DF[[#This Row],[QUANTITY]]*DF[[#This Row],[UnitPrice]]</f>
        <v>4.95</v>
      </c>
    </row>
    <row r="488" spans="1:10" x14ac:dyDescent="0.25">
      <c r="A488" s="2">
        <v>536409</v>
      </c>
      <c r="B488" s="2">
        <v>22785</v>
      </c>
      <c r="C488" s="2" t="s">
        <v>383</v>
      </c>
      <c r="D488" s="2">
        <v>1</v>
      </c>
      <c r="E488" s="8">
        <v>40513.489583333336</v>
      </c>
      <c r="F488" s="2">
        <v>6.75</v>
      </c>
      <c r="G488" s="2">
        <v>17908</v>
      </c>
      <c r="H488" s="2" t="s">
        <v>10</v>
      </c>
      <c r="I488" s="2">
        <f>ABS(DF[[#This Row],[Quantity_BEFORE]])</f>
        <v>1</v>
      </c>
      <c r="J488" s="2">
        <f>DF[[#This Row],[QUANTITY]]*DF[[#This Row],[UnitPrice]]</f>
        <v>6.75</v>
      </c>
    </row>
    <row r="489" spans="1:10" x14ac:dyDescent="0.25">
      <c r="A489" s="2">
        <v>536409</v>
      </c>
      <c r="B489" s="2">
        <v>22975</v>
      </c>
      <c r="C489" s="2" t="s">
        <v>384</v>
      </c>
      <c r="D489" s="2">
        <v>1</v>
      </c>
      <c r="E489" s="8">
        <v>40513.489583333336</v>
      </c>
      <c r="F489" s="2">
        <v>1.25</v>
      </c>
      <c r="G489" s="2">
        <v>17908</v>
      </c>
      <c r="H489" s="2" t="s">
        <v>10</v>
      </c>
      <c r="I489" s="2">
        <f>ABS(DF[[#This Row],[Quantity_BEFORE]])</f>
        <v>1</v>
      </c>
      <c r="J489" s="2">
        <f>DF[[#This Row],[QUANTITY]]*DF[[#This Row],[UnitPrice]]</f>
        <v>1.25</v>
      </c>
    </row>
    <row r="490" spans="1:10" x14ac:dyDescent="0.25">
      <c r="A490" s="2">
        <v>536409</v>
      </c>
      <c r="B490" s="2">
        <v>22972</v>
      </c>
      <c r="C490" s="2" t="s">
        <v>385</v>
      </c>
      <c r="D490" s="2">
        <v>1</v>
      </c>
      <c r="E490" s="8">
        <v>40513.489583333336</v>
      </c>
      <c r="F490" s="2">
        <v>1.65</v>
      </c>
      <c r="G490" s="2">
        <v>17908</v>
      </c>
      <c r="H490" s="2" t="s">
        <v>10</v>
      </c>
      <c r="I490" s="2">
        <f>ABS(DF[[#This Row],[Quantity_BEFORE]])</f>
        <v>1</v>
      </c>
      <c r="J490" s="2">
        <f>DF[[#This Row],[QUANTITY]]*DF[[#This Row],[UnitPrice]]</f>
        <v>1.65</v>
      </c>
    </row>
    <row r="491" spans="1:10" x14ac:dyDescent="0.25">
      <c r="A491" s="2">
        <v>536409</v>
      </c>
      <c r="B491" s="2">
        <v>22866</v>
      </c>
      <c r="C491" s="2" t="s">
        <v>237</v>
      </c>
      <c r="D491" s="2">
        <v>1</v>
      </c>
      <c r="E491" s="8">
        <v>40513.489583333336</v>
      </c>
      <c r="F491" s="2">
        <v>2.1</v>
      </c>
      <c r="G491" s="2">
        <v>17908</v>
      </c>
      <c r="H491" s="2" t="s">
        <v>10</v>
      </c>
      <c r="I491" s="2">
        <f>ABS(DF[[#This Row],[Quantity_BEFORE]])</f>
        <v>1</v>
      </c>
      <c r="J491" s="2">
        <f>DF[[#This Row],[QUANTITY]]*DF[[#This Row],[UnitPrice]]</f>
        <v>2.1</v>
      </c>
    </row>
    <row r="492" spans="1:10" x14ac:dyDescent="0.25">
      <c r="A492" s="2">
        <v>536409</v>
      </c>
      <c r="B492" s="2">
        <v>22568</v>
      </c>
      <c r="C492" s="2" t="s">
        <v>386</v>
      </c>
      <c r="D492" s="2">
        <v>1</v>
      </c>
      <c r="E492" s="8">
        <v>40513.489583333336</v>
      </c>
      <c r="F492" s="2">
        <v>3.75</v>
      </c>
      <c r="G492" s="2">
        <v>17908</v>
      </c>
      <c r="H492" s="2" t="s">
        <v>10</v>
      </c>
      <c r="I492" s="2">
        <f>ABS(DF[[#This Row],[Quantity_BEFORE]])</f>
        <v>1</v>
      </c>
      <c r="J492" s="2">
        <f>DF[[#This Row],[QUANTITY]]*DF[[#This Row],[UnitPrice]]</f>
        <v>3.75</v>
      </c>
    </row>
    <row r="493" spans="1:10" x14ac:dyDescent="0.25">
      <c r="A493" s="2">
        <v>536409</v>
      </c>
      <c r="B493" s="2">
        <v>85116</v>
      </c>
      <c r="C493" s="2" t="s">
        <v>387</v>
      </c>
      <c r="D493" s="2">
        <v>1</v>
      </c>
      <c r="E493" s="8">
        <v>40513.489583333336</v>
      </c>
      <c r="F493" s="2">
        <v>2.1</v>
      </c>
      <c r="G493" s="2">
        <v>17908</v>
      </c>
      <c r="H493" s="2" t="s">
        <v>10</v>
      </c>
      <c r="I493" s="2">
        <f>ABS(DF[[#This Row],[Quantity_BEFORE]])</f>
        <v>1</v>
      </c>
      <c r="J493" s="2">
        <f>DF[[#This Row],[QUANTITY]]*DF[[#This Row],[UnitPrice]]</f>
        <v>2.1</v>
      </c>
    </row>
    <row r="494" spans="1:10" x14ac:dyDescent="0.25">
      <c r="A494" s="2">
        <v>536409</v>
      </c>
      <c r="B494" s="2">
        <v>22664</v>
      </c>
      <c r="C494" s="2" t="s">
        <v>388</v>
      </c>
      <c r="D494" s="2">
        <v>1</v>
      </c>
      <c r="E494" s="8">
        <v>40513.489583333336</v>
      </c>
      <c r="F494" s="2">
        <v>2.1</v>
      </c>
      <c r="G494" s="2">
        <v>17908</v>
      </c>
      <c r="H494" s="2" t="s">
        <v>10</v>
      </c>
      <c r="I494" s="2">
        <f>ABS(DF[[#This Row],[Quantity_BEFORE]])</f>
        <v>1</v>
      </c>
      <c r="J494" s="2">
        <f>DF[[#This Row],[QUANTITY]]*DF[[#This Row],[UnitPrice]]</f>
        <v>2.1</v>
      </c>
    </row>
    <row r="495" spans="1:10" x14ac:dyDescent="0.25">
      <c r="A495" s="2">
        <v>536409</v>
      </c>
      <c r="B495" s="2">
        <v>21609</v>
      </c>
      <c r="C495" s="2" t="s">
        <v>389</v>
      </c>
      <c r="D495" s="2">
        <v>1</v>
      </c>
      <c r="E495" s="8">
        <v>40513.489583333336</v>
      </c>
      <c r="F495" s="2">
        <v>2.95</v>
      </c>
      <c r="G495" s="2">
        <v>17908</v>
      </c>
      <c r="H495" s="2" t="s">
        <v>10</v>
      </c>
      <c r="I495" s="2">
        <f>ABS(DF[[#This Row],[Quantity_BEFORE]])</f>
        <v>1</v>
      </c>
      <c r="J495" s="2">
        <f>DF[[#This Row],[QUANTITY]]*DF[[#This Row],[UnitPrice]]</f>
        <v>2.95</v>
      </c>
    </row>
    <row r="496" spans="1:10" x14ac:dyDescent="0.25">
      <c r="A496" s="2">
        <v>536409</v>
      </c>
      <c r="B496" s="2">
        <v>21866</v>
      </c>
      <c r="C496" s="2" t="s">
        <v>390</v>
      </c>
      <c r="D496" s="2">
        <v>1</v>
      </c>
      <c r="E496" s="8">
        <v>40513.489583333336</v>
      </c>
      <c r="F496" s="2">
        <v>1.25</v>
      </c>
      <c r="G496" s="2">
        <v>17908</v>
      </c>
      <c r="H496" s="2" t="s">
        <v>10</v>
      </c>
      <c r="I496" s="2">
        <f>ABS(DF[[#This Row],[Quantity_BEFORE]])</f>
        <v>1</v>
      </c>
      <c r="J496" s="2">
        <f>DF[[#This Row],[QUANTITY]]*DF[[#This Row],[UnitPrice]]</f>
        <v>1.25</v>
      </c>
    </row>
    <row r="497" spans="1:10" x14ac:dyDescent="0.25">
      <c r="A497" s="2">
        <v>536409</v>
      </c>
      <c r="B497" s="2">
        <v>20669</v>
      </c>
      <c r="C497" s="2" t="s">
        <v>391</v>
      </c>
      <c r="D497" s="2">
        <v>1</v>
      </c>
      <c r="E497" s="8">
        <v>40513.489583333336</v>
      </c>
      <c r="F497" s="2">
        <v>1.25</v>
      </c>
      <c r="G497" s="2">
        <v>17908</v>
      </c>
      <c r="H497" s="2" t="s">
        <v>10</v>
      </c>
      <c r="I497" s="2">
        <f>ABS(DF[[#This Row],[Quantity_BEFORE]])</f>
        <v>1</v>
      </c>
      <c r="J497" s="2">
        <f>DF[[#This Row],[QUANTITY]]*DF[[#This Row],[UnitPrice]]</f>
        <v>1.25</v>
      </c>
    </row>
    <row r="498" spans="1:10" x14ac:dyDescent="0.25">
      <c r="A498" s="2">
        <v>536409</v>
      </c>
      <c r="B498" s="2" t="s">
        <v>392</v>
      </c>
      <c r="C498" s="2" t="s">
        <v>393</v>
      </c>
      <c r="D498" s="2">
        <v>1</v>
      </c>
      <c r="E498" s="8">
        <v>40513.489583333336</v>
      </c>
      <c r="F498" s="2">
        <v>2.95</v>
      </c>
      <c r="G498" s="2">
        <v>17908</v>
      </c>
      <c r="H498" s="2" t="s">
        <v>10</v>
      </c>
      <c r="I498" s="2">
        <f>ABS(DF[[#This Row],[Quantity_BEFORE]])</f>
        <v>1</v>
      </c>
      <c r="J498" s="2">
        <f>DF[[#This Row],[QUANTITY]]*DF[[#This Row],[UnitPrice]]</f>
        <v>2.95</v>
      </c>
    </row>
    <row r="499" spans="1:10" x14ac:dyDescent="0.25">
      <c r="A499" s="2">
        <v>536409</v>
      </c>
      <c r="B499" s="2" t="s">
        <v>394</v>
      </c>
      <c r="C499" s="2" t="s">
        <v>395</v>
      </c>
      <c r="D499" s="2">
        <v>1</v>
      </c>
      <c r="E499" s="8">
        <v>40513.489583333336</v>
      </c>
      <c r="F499" s="2">
        <v>2.95</v>
      </c>
      <c r="G499" s="2">
        <v>17908</v>
      </c>
      <c r="H499" s="2" t="s">
        <v>10</v>
      </c>
      <c r="I499" s="2">
        <f>ABS(DF[[#This Row],[Quantity_BEFORE]])</f>
        <v>1</v>
      </c>
      <c r="J499" s="2">
        <f>DF[[#This Row],[QUANTITY]]*DF[[#This Row],[UnitPrice]]</f>
        <v>2.95</v>
      </c>
    </row>
    <row r="500" spans="1:10" x14ac:dyDescent="0.25">
      <c r="A500" s="2">
        <v>536409</v>
      </c>
      <c r="B500" s="2" t="s">
        <v>381</v>
      </c>
      <c r="C500" s="2" t="s">
        <v>382</v>
      </c>
      <c r="D500" s="2">
        <v>1</v>
      </c>
      <c r="E500" s="8">
        <v>40513.489583333336</v>
      </c>
      <c r="F500" s="2">
        <v>6.35</v>
      </c>
      <c r="G500" s="2">
        <v>17908</v>
      </c>
      <c r="H500" s="2" t="s">
        <v>10</v>
      </c>
      <c r="I500" s="2">
        <f>ABS(DF[[#This Row],[Quantity_BEFORE]])</f>
        <v>1</v>
      </c>
      <c r="J500" s="2">
        <f>DF[[#This Row],[QUANTITY]]*DF[[#This Row],[UnitPrice]]</f>
        <v>6.35</v>
      </c>
    </row>
    <row r="501" spans="1:10" x14ac:dyDescent="0.25">
      <c r="A501" s="2">
        <v>536409</v>
      </c>
      <c r="B501" s="2">
        <v>21955</v>
      </c>
      <c r="C501" s="2" t="s">
        <v>396</v>
      </c>
      <c r="D501" s="2">
        <v>1</v>
      </c>
      <c r="E501" s="8">
        <v>40513.489583333336</v>
      </c>
      <c r="F501" s="2">
        <v>7.95</v>
      </c>
      <c r="G501" s="2">
        <v>17908</v>
      </c>
      <c r="H501" s="2" t="s">
        <v>10</v>
      </c>
      <c r="I501" s="2">
        <f>ABS(DF[[#This Row],[Quantity_BEFORE]])</f>
        <v>1</v>
      </c>
      <c r="J501" s="2">
        <f>DF[[#This Row],[QUANTITY]]*DF[[#This Row],[UnitPrice]]</f>
        <v>7.95</v>
      </c>
    </row>
    <row r="502" spans="1:10" x14ac:dyDescent="0.25">
      <c r="A502" s="2">
        <v>536409</v>
      </c>
      <c r="B502" s="2" t="s">
        <v>397</v>
      </c>
      <c r="C502" s="2" t="s">
        <v>398</v>
      </c>
      <c r="D502" s="2">
        <v>1</v>
      </c>
      <c r="E502" s="8">
        <v>40513.489583333336</v>
      </c>
      <c r="F502" s="2">
        <v>4.25</v>
      </c>
      <c r="G502" s="2">
        <v>17908</v>
      </c>
      <c r="H502" s="2" t="s">
        <v>10</v>
      </c>
      <c r="I502" s="2">
        <f>ABS(DF[[#This Row],[Quantity_BEFORE]])</f>
        <v>1</v>
      </c>
      <c r="J502" s="2">
        <f>DF[[#This Row],[QUANTITY]]*DF[[#This Row],[UnitPrice]]</f>
        <v>4.25</v>
      </c>
    </row>
    <row r="503" spans="1:10" x14ac:dyDescent="0.25">
      <c r="A503" s="2">
        <v>536409</v>
      </c>
      <c r="B503" s="2">
        <v>22109</v>
      </c>
      <c r="C503" s="2" t="s">
        <v>399</v>
      </c>
      <c r="D503" s="2">
        <v>1</v>
      </c>
      <c r="E503" s="8">
        <v>40513.489583333336</v>
      </c>
      <c r="F503" s="2">
        <v>3.75</v>
      </c>
      <c r="G503" s="2">
        <v>17908</v>
      </c>
      <c r="H503" s="2" t="s">
        <v>10</v>
      </c>
      <c r="I503" s="2">
        <f>ABS(DF[[#This Row],[Quantity_BEFORE]])</f>
        <v>1</v>
      </c>
      <c r="J503" s="2">
        <f>DF[[#This Row],[QUANTITY]]*DF[[#This Row],[UnitPrice]]</f>
        <v>3.75</v>
      </c>
    </row>
    <row r="504" spans="1:10" x14ac:dyDescent="0.25">
      <c r="A504" s="2">
        <v>536409</v>
      </c>
      <c r="B504" s="2">
        <v>85116</v>
      </c>
      <c r="C504" s="2" t="s">
        <v>387</v>
      </c>
      <c r="D504" s="2">
        <v>5</v>
      </c>
      <c r="E504" s="8">
        <v>40513.489583333336</v>
      </c>
      <c r="F504" s="2">
        <v>2.1</v>
      </c>
      <c r="G504" s="2">
        <v>17908</v>
      </c>
      <c r="H504" s="2" t="s">
        <v>10</v>
      </c>
      <c r="I504" s="2">
        <f>ABS(DF[[#This Row],[Quantity_BEFORE]])</f>
        <v>5</v>
      </c>
      <c r="J504" s="2">
        <f>DF[[#This Row],[QUANTITY]]*DF[[#This Row],[UnitPrice]]</f>
        <v>10.5</v>
      </c>
    </row>
    <row r="505" spans="1:10" x14ac:dyDescent="0.25">
      <c r="A505" s="2">
        <v>536409</v>
      </c>
      <c r="B505" s="2">
        <v>22531</v>
      </c>
      <c r="C505" s="2" t="s">
        <v>400</v>
      </c>
      <c r="D505" s="2">
        <v>1</v>
      </c>
      <c r="E505" s="8">
        <v>40513.489583333336</v>
      </c>
      <c r="F505" s="2">
        <v>0.42</v>
      </c>
      <c r="G505" s="2">
        <v>17908</v>
      </c>
      <c r="H505" s="2" t="s">
        <v>10</v>
      </c>
      <c r="I505" s="2">
        <f>ABS(DF[[#This Row],[Quantity_BEFORE]])</f>
        <v>1</v>
      </c>
      <c r="J505" s="2">
        <f>DF[[#This Row],[QUANTITY]]*DF[[#This Row],[UnitPrice]]</f>
        <v>0.42</v>
      </c>
    </row>
    <row r="506" spans="1:10" x14ac:dyDescent="0.25">
      <c r="A506" s="2">
        <v>536409</v>
      </c>
      <c r="B506" s="2">
        <v>21811</v>
      </c>
      <c r="C506" s="2" t="s">
        <v>401</v>
      </c>
      <c r="D506" s="2">
        <v>1</v>
      </c>
      <c r="E506" s="8">
        <v>40513.489583333336</v>
      </c>
      <c r="F506" s="2">
        <v>1.25</v>
      </c>
      <c r="G506" s="2">
        <v>17908</v>
      </c>
      <c r="H506" s="2" t="s">
        <v>10</v>
      </c>
      <c r="I506" s="2">
        <f>ABS(DF[[#This Row],[Quantity_BEFORE]])</f>
        <v>1</v>
      </c>
      <c r="J506" s="2">
        <f>DF[[#This Row],[QUANTITY]]*DF[[#This Row],[UnitPrice]]</f>
        <v>1.25</v>
      </c>
    </row>
    <row r="507" spans="1:10" x14ac:dyDescent="0.25">
      <c r="A507" s="2">
        <v>536409</v>
      </c>
      <c r="B507" s="2">
        <v>22183</v>
      </c>
      <c r="C507" s="2" t="s">
        <v>402</v>
      </c>
      <c r="D507" s="2">
        <v>1</v>
      </c>
      <c r="E507" s="8">
        <v>40513.489583333336</v>
      </c>
      <c r="F507" s="2">
        <v>6.75</v>
      </c>
      <c r="G507" s="2">
        <v>17908</v>
      </c>
      <c r="H507" s="2" t="s">
        <v>10</v>
      </c>
      <c r="I507" s="2">
        <f>ABS(DF[[#This Row],[Quantity_BEFORE]])</f>
        <v>1</v>
      </c>
      <c r="J507" s="2">
        <f>DF[[#This Row],[QUANTITY]]*DF[[#This Row],[UnitPrice]]</f>
        <v>6.75</v>
      </c>
    </row>
    <row r="508" spans="1:10" x14ac:dyDescent="0.25">
      <c r="A508" s="2">
        <v>536409</v>
      </c>
      <c r="B508" s="2">
        <v>21678</v>
      </c>
      <c r="C508" s="2" t="s">
        <v>403</v>
      </c>
      <c r="D508" s="2">
        <v>6</v>
      </c>
      <c r="E508" s="8">
        <v>40513.489583333336</v>
      </c>
      <c r="F508" s="2">
        <v>0.85</v>
      </c>
      <c r="G508" s="2">
        <v>17908</v>
      </c>
      <c r="H508" s="2" t="s">
        <v>10</v>
      </c>
      <c r="I508" s="2">
        <f>ABS(DF[[#This Row],[Quantity_BEFORE]])</f>
        <v>6</v>
      </c>
      <c r="J508" s="2">
        <f>DF[[#This Row],[QUANTITY]]*DF[[#This Row],[UnitPrice]]</f>
        <v>5.0999999999999996</v>
      </c>
    </row>
    <row r="509" spans="1:10" x14ac:dyDescent="0.25">
      <c r="A509" s="2">
        <v>536409</v>
      </c>
      <c r="B509" s="2">
        <v>21676</v>
      </c>
      <c r="C509" s="2" t="s">
        <v>404</v>
      </c>
      <c r="D509" s="2">
        <v>6</v>
      </c>
      <c r="E509" s="8">
        <v>40513.489583333336</v>
      </c>
      <c r="F509" s="2">
        <v>0.85</v>
      </c>
      <c r="G509" s="2">
        <v>17908</v>
      </c>
      <c r="H509" s="2" t="s">
        <v>10</v>
      </c>
      <c r="I509" s="2">
        <f>ABS(DF[[#This Row],[Quantity_BEFORE]])</f>
        <v>6</v>
      </c>
      <c r="J509" s="2">
        <f>DF[[#This Row],[QUANTITY]]*DF[[#This Row],[UnitPrice]]</f>
        <v>5.0999999999999996</v>
      </c>
    </row>
    <row r="510" spans="1:10" x14ac:dyDescent="0.25">
      <c r="A510" s="2">
        <v>536409</v>
      </c>
      <c r="B510" s="2" t="s">
        <v>317</v>
      </c>
      <c r="C510" s="2" t="s">
        <v>318</v>
      </c>
      <c r="D510" s="2">
        <v>1</v>
      </c>
      <c r="E510" s="8">
        <v>40513.489583333336</v>
      </c>
      <c r="F510" s="2">
        <v>2.95</v>
      </c>
      <c r="G510" s="2">
        <v>17908</v>
      </c>
      <c r="H510" s="2" t="s">
        <v>10</v>
      </c>
      <c r="I510" s="2">
        <f>ABS(DF[[#This Row],[Quantity_BEFORE]])</f>
        <v>1</v>
      </c>
      <c r="J510" s="2">
        <f>DF[[#This Row],[QUANTITY]]*DF[[#This Row],[UnitPrice]]</f>
        <v>2.95</v>
      </c>
    </row>
    <row r="511" spans="1:10" x14ac:dyDescent="0.25">
      <c r="A511" s="2">
        <v>536409</v>
      </c>
      <c r="B511" s="2" t="s">
        <v>315</v>
      </c>
      <c r="C511" s="2" t="s">
        <v>316</v>
      </c>
      <c r="D511" s="2">
        <v>3</v>
      </c>
      <c r="E511" s="8">
        <v>40513.489583333336</v>
      </c>
      <c r="F511" s="2">
        <v>2.95</v>
      </c>
      <c r="G511" s="2">
        <v>17908</v>
      </c>
      <c r="H511" s="2" t="s">
        <v>10</v>
      </c>
      <c r="I511" s="2">
        <f>ABS(DF[[#This Row],[Quantity_BEFORE]])</f>
        <v>3</v>
      </c>
      <c r="J511" s="2">
        <f>DF[[#This Row],[QUANTITY]]*DF[[#This Row],[UnitPrice]]</f>
        <v>8.8500000000000014</v>
      </c>
    </row>
    <row r="512" spans="1:10" x14ac:dyDescent="0.25">
      <c r="A512" s="2">
        <v>536409</v>
      </c>
      <c r="B512" s="2">
        <v>21931</v>
      </c>
      <c r="C512" s="2" t="s">
        <v>98</v>
      </c>
      <c r="D512" s="2">
        <v>2</v>
      </c>
      <c r="E512" s="8">
        <v>40513.489583333336</v>
      </c>
      <c r="F512" s="2">
        <v>1.95</v>
      </c>
      <c r="G512" s="2">
        <v>17908</v>
      </c>
      <c r="H512" s="2" t="s">
        <v>10</v>
      </c>
      <c r="I512" s="2">
        <f>ABS(DF[[#This Row],[Quantity_BEFORE]])</f>
        <v>2</v>
      </c>
      <c r="J512" s="2">
        <f>DF[[#This Row],[QUANTITY]]*DF[[#This Row],[UnitPrice]]</f>
        <v>3.9</v>
      </c>
    </row>
    <row r="513" spans="1:10" x14ac:dyDescent="0.25">
      <c r="A513" s="2">
        <v>536409</v>
      </c>
      <c r="B513" s="2" t="s">
        <v>405</v>
      </c>
      <c r="C513" s="2" t="s">
        <v>406</v>
      </c>
      <c r="D513" s="2">
        <v>12</v>
      </c>
      <c r="E513" s="8">
        <v>40513.489583333336</v>
      </c>
      <c r="F513" s="2">
        <v>1.25</v>
      </c>
      <c r="G513" s="2">
        <v>17908</v>
      </c>
      <c r="H513" s="2" t="s">
        <v>10</v>
      </c>
      <c r="I513" s="2">
        <f>ABS(DF[[#This Row],[Quantity_BEFORE]])</f>
        <v>12</v>
      </c>
      <c r="J513" s="2">
        <f>DF[[#This Row],[QUANTITY]]*DF[[#This Row],[UnitPrice]]</f>
        <v>15</v>
      </c>
    </row>
    <row r="514" spans="1:10" x14ac:dyDescent="0.25">
      <c r="A514" s="2">
        <v>536409</v>
      </c>
      <c r="B514" s="2">
        <v>16238</v>
      </c>
      <c r="C514" s="2" t="s">
        <v>407</v>
      </c>
      <c r="D514" s="2">
        <v>28</v>
      </c>
      <c r="E514" s="8">
        <v>40513.489583333336</v>
      </c>
      <c r="F514" s="2">
        <v>0.21</v>
      </c>
      <c r="G514" s="2">
        <v>17908</v>
      </c>
      <c r="H514" s="2" t="s">
        <v>10</v>
      </c>
      <c r="I514" s="2">
        <f>ABS(DF[[#This Row],[Quantity_BEFORE]])</f>
        <v>28</v>
      </c>
      <c r="J514" s="2">
        <f>DF[[#This Row],[QUANTITY]]*DF[[#This Row],[UnitPrice]]</f>
        <v>5.88</v>
      </c>
    </row>
    <row r="515" spans="1:10" x14ac:dyDescent="0.25">
      <c r="A515" s="2">
        <v>536409</v>
      </c>
      <c r="B515" s="2">
        <v>20668</v>
      </c>
      <c r="C515" s="2" t="s">
        <v>207</v>
      </c>
      <c r="D515" s="2">
        <v>24</v>
      </c>
      <c r="E515" s="8">
        <v>40513.489583333336</v>
      </c>
      <c r="F515" s="2">
        <v>0.12</v>
      </c>
      <c r="G515" s="2">
        <v>17908</v>
      </c>
      <c r="H515" s="2" t="s">
        <v>10</v>
      </c>
      <c r="I515" s="2">
        <f>ABS(DF[[#This Row],[Quantity_BEFORE]])</f>
        <v>24</v>
      </c>
      <c r="J515" s="2">
        <f>DF[[#This Row],[QUANTITY]]*DF[[#This Row],[UnitPrice]]</f>
        <v>2.88</v>
      </c>
    </row>
    <row r="516" spans="1:10" x14ac:dyDescent="0.25">
      <c r="A516" s="2">
        <v>536409</v>
      </c>
      <c r="B516" s="2">
        <v>84906</v>
      </c>
      <c r="C516" s="2" t="s">
        <v>408</v>
      </c>
      <c r="D516" s="2">
        <v>1</v>
      </c>
      <c r="E516" s="8">
        <v>40513.489583333336</v>
      </c>
      <c r="F516" s="2">
        <v>5.95</v>
      </c>
      <c r="G516" s="2">
        <v>17908</v>
      </c>
      <c r="H516" s="2" t="s">
        <v>10</v>
      </c>
      <c r="I516" s="2">
        <f>ABS(DF[[#This Row],[Quantity_BEFORE]])</f>
        <v>1</v>
      </c>
      <c r="J516" s="2">
        <f>DF[[#This Row],[QUANTITY]]*DF[[#This Row],[UnitPrice]]</f>
        <v>5.95</v>
      </c>
    </row>
    <row r="517" spans="1:10" x14ac:dyDescent="0.25">
      <c r="A517" s="2">
        <v>536409</v>
      </c>
      <c r="B517" s="2">
        <v>21867</v>
      </c>
      <c r="C517" s="2" t="s">
        <v>409</v>
      </c>
      <c r="D517" s="2">
        <v>1</v>
      </c>
      <c r="E517" s="8">
        <v>40513.489583333336</v>
      </c>
      <c r="F517" s="2">
        <v>1.25</v>
      </c>
      <c r="G517" s="2">
        <v>17908</v>
      </c>
      <c r="H517" s="2" t="s">
        <v>10</v>
      </c>
      <c r="I517" s="2">
        <f>ABS(DF[[#This Row],[Quantity_BEFORE]])</f>
        <v>1</v>
      </c>
      <c r="J517" s="2">
        <f>DF[[#This Row],[QUANTITY]]*DF[[#This Row],[UnitPrice]]</f>
        <v>1.25</v>
      </c>
    </row>
    <row r="518" spans="1:10" x14ac:dyDescent="0.25">
      <c r="A518" s="2">
        <v>536409</v>
      </c>
      <c r="B518" s="2">
        <v>22075</v>
      </c>
      <c r="C518" s="2" t="s">
        <v>410</v>
      </c>
      <c r="D518" s="2">
        <v>1</v>
      </c>
      <c r="E518" s="8">
        <v>40513.489583333336</v>
      </c>
      <c r="F518" s="2">
        <v>1.65</v>
      </c>
      <c r="G518" s="2">
        <v>17908</v>
      </c>
      <c r="H518" s="2" t="s">
        <v>10</v>
      </c>
      <c r="I518" s="2">
        <f>ABS(DF[[#This Row],[Quantity_BEFORE]])</f>
        <v>1</v>
      </c>
      <c r="J518" s="2">
        <f>DF[[#This Row],[QUANTITY]]*DF[[#This Row],[UnitPrice]]</f>
        <v>1.65</v>
      </c>
    </row>
    <row r="519" spans="1:10" x14ac:dyDescent="0.25">
      <c r="A519" s="2">
        <v>536409</v>
      </c>
      <c r="B519" s="2">
        <v>21866</v>
      </c>
      <c r="C519" s="2" t="s">
        <v>390</v>
      </c>
      <c r="D519" s="2">
        <v>1</v>
      </c>
      <c r="E519" s="8">
        <v>40513.489583333336</v>
      </c>
      <c r="F519" s="2">
        <v>1.25</v>
      </c>
      <c r="G519" s="2">
        <v>17908</v>
      </c>
      <c r="H519" s="2" t="s">
        <v>10</v>
      </c>
      <c r="I519" s="2">
        <f>ABS(DF[[#This Row],[Quantity_BEFORE]])</f>
        <v>1</v>
      </c>
      <c r="J519" s="2">
        <f>DF[[#This Row],[QUANTITY]]*DF[[#This Row],[UnitPrice]]</f>
        <v>1.25</v>
      </c>
    </row>
    <row r="520" spans="1:10" x14ac:dyDescent="0.25">
      <c r="A520" s="2">
        <v>536409</v>
      </c>
      <c r="B520" s="2">
        <v>21326</v>
      </c>
      <c r="C520" s="2" t="s">
        <v>411</v>
      </c>
      <c r="D520" s="2">
        <v>12</v>
      </c>
      <c r="E520" s="8">
        <v>40513.489583333336</v>
      </c>
      <c r="F520" s="2">
        <v>0.65</v>
      </c>
      <c r="G520" s="2">
        <v>17908</v>
      </c>
      <c r="H520" s="2" t="s">
        <v>10</v>
      </c>
      <c r="I520" s="2">
        <f>ABS(DF[[#This Row],[Quantity_BEFORE]])</f>
        <v>12</v>
      </c>
      <c r="J520" s="2">
        <f>DF[[#This Row],[QUANTITY]]*DF[[#This Row],[UnitPrice]]</f>
        <v>7.8000000000000007</v>
      </c>
    </row>
    <row r="521" spans="1:10" x14ac:dyDescent="0.25">
      <c r="A521" s="2">
        <v>536409</v>
      </c>
      <c r="B521" s="2">
        <v>21065</v>
      </c>
      <c r="C521" s="2" t="s">
        <v>412</v>
      </c>
      <c r="D521" s="2">
        <v>1</v>
      </c>
      <c r="E521" s="8">
        <v>40513.489583333336</v>
      </c>
      <c r="F521" s="2">
        <v>5.95</v>
      </c>
      <c r="G521" s="2">
        <v>17908</v>
      </c>
      <c r="H521" s="2" t="s">
        <v>10</v>
      </c>
      <c r="I521" s="2">
        <f>ABS(DF[[#This Row],[Quantity_BEFORE]])</f>
        <v>1</v>
      </c>
      <c r="J521" s="2">
        <f>DF[[#This Row],[QUANTITY]]*DF[[#This Row],[UnitPrice]]</f>
        <v>5.95</v>
      </c>
    </row>
    <row r="522" spans="1:10" x14ac:dyDescent="0.25">
      <c r="A522" s="2">
        <v>536409</v>
      </c>
      <c r="B522" s="2">
        <v>22074</v>
      </c>
      <c r="C522" s="2" t="s">
        <v>413</v>
      </c>
      <c r="D522" s="2">
        <v>1</v>
      </c>
      <c r="E522" s="8">
        <v>40513.489583333336</v>
      </c>
      <c r="F522" s="2">
        <v>1.65</v>
      </c>
      <c r="G522" s="2">
        <v>17908</v>
      </c>
      <c r="H522" s="2" t="s">
        <v>10</v>
      </c>
      <c r="I522" s="2">
        <f>ABS(DF[[#This Row],[Quantity_BEFORE]])</f>
        <v>1</v>
      </c>
      <c r="J522" s="2">
        <f>DF[[#This Row],[QUANTITY]]*DF[[#This Row],[UnitPrice]]</f>
        <v>1.65</v>
      </c>
    </row>
    <row r="523" spans="1:10" x14ac:dyDescent="0.25">
      <c r="A523" s="2">
        <v>536409</v>
      </c>
      <c r="B523" s="2">
        <v>22900</v>
      </c>
      <c r="C523" s="2" t="s">
        <v>54</v>
      </c>
      <c r="D523" s="2">
        <v>1</v>
      </c>
      <c r="E523" s="8">
        <v>40513.489583333336</v>
      </c>
      <c r="F523" s="2">
        <v>2.95</v>
      </c>
      <c r="G523" s="2">
        <v>17908</v>
      </c>
      <c r="H523" s="2" t="s">
        <v>10</v>
      </c>
      <c r="I523" s="2">
        <f>ABS(DF[[#This Row],[Quantity_BEFORE]])</f>
        <v>1</v>
      </c>
      <c r="J523" s="2">
        <f>DF[[#This Row],[QUANTITY]]*DF[[#This Row],[UnitPrice]]</f>
        <v>2.95</v>
      </c>
    </row>
    <row r="524" spans="1:10" x14ac:dyDescent="0.25">
      <c r="A524" s="2">
        <v>536409</v>
      </c>
      <c r="B524" s="2">
        <v>20713</v>
      </c>
      <c r="C524" s="2" t="s">
        <v>414</v>
      </c>
      <c r="D524" s="2">
        <v>1</v>
      </c>
      <c r="E524" s="8">
        <v>40513.489583333336</v>
      </c>
      <c r="F524" s="2">
        <v>1.95</v>
      </c>
      <c r="G524" s="2">
        <v>17908</v>
      </c>
      <c r="H524" s="2" t="s">
        <v>10</v>
      </c>
      <c r="I524" s="2">
        <f>ABS(DF[[#This Row],[Quantity_BEFORE]])</f>
        <v>1</v>
      </c>
      <c r="J524" s="2">
        <f>DF[[#This Row],[QUANTITY]]*DF[[#This Row],[UnitPrice]]</f>
        <v>1.95</v>
      </c>
    </row>
    <row r="525" spans="1:10" x14ac:dyDescent="0.25">
      <c r="A525" s="2">
        <v>536409</v>
      </c>
      <c r="B525" s="2">
        <v>20966</v>
      </c>
      <c r="C525" s="2" t="s">
        <v>298</v>
      </c>
      <c r="D525" s="2">
        <v>2</v>
      </c>
      <c r="E525" s="8">
        <v>40513.489583333336</v>
      </c>
      <c r="F525" s="2">
        <v>1.25</v>
      </c>
      <c r="G525" s="2">
        <v>17908</v>
      </c>
      <c r="H525" s="2" t="s">
        <v>10</v>
      </c>
      <c r="I525" s="2">
        <f>ABS(DF[[#This Row],[Quantity_BEFORE]])</f>
        <v>2</v>
      </c>
      <c r="J525" s="2">
        <f>DF[[#This Row],[QUANTITY]]*DF[[#This Row],[UnitPrice]]</f>
        <v>2.5</v>
      </c>
    </row>
    <row r="526" spans="1:10" x14ac:dyDescent="0.25">
      <c r="A526" s="2">
        <v>536409</v>
      </c>
      <c r="B526" s="2">
        <v>21116</v>
      </c>
      <c r="C526" s="2" t="s">
        <v>415</v>
      </c>
      <c r="D526" s="2">
        <v>1</v>
      </c>
      <c r="E526" s="8">
        <v>40513.489583333336</v>
      </c>
      <c r="F526" s="2">
        <v>4.95</v>
      </c>
      <c r="G526" s="2">
        <v>17908</v>
      </c>
      <c r="H526" s="2" t="s">
        <v>10</v>
      </c>
      <c r="I526" s="2">
        <f>ABS(DF[[#This Row],[Quantity_BEFORE]])</f>
        <v>1</v>
      </c>
      <c r="J526" s="2">
        <f>DF[[#This Row],[QUANTITY]]*DF[[#This Row],[UnitPrice]]</f>
        <v>4.95</v>
      </c>
    </row>
    <row r="527" spans="1:10" x14ac:dyDescent="0.25">
      <c r="A527" s="2">
        <v>536409</v>
      </c>
      <c r="B527" s="2" t="s">
        <v>381</v>
      </c>
      <c r="C527" s="2" t="s">
        <v>382</v>
      </c>
      <c r="D527" s="2">
        <v>2</v>
      </c>
      <c r="E527" s="8">
        <v>40513.489583333336</v>
      </c>
      <c r="F527" s="2">
        <v>6.35</v>
      </c>
      <c r="G527" s="2">
        <v>17908</v>
      </c>
      <c r="H527" s="2" t="s">
        <v>10</v>
      </c>
      <c r="I527" s="2">
        <f>ABS(DF[[#This Row],[Quantity_BEFORE]])</f>
        <v>2</v>
      </c>
      <c r="J527" s="2">
        <f>DF[[#This Row],[QUANTITY]]*DF[[#This Row],[UnitPrice]]</f>
        <v>12.7</v>
      </c>
    </row>
    <row r="528" spans="1:10" x14ac:dyDescent="0.25">
      <c r="A528" s="2">
        <v>536409</v>
      </c>
      <c r="B528" s="2">
        <v>22633</v>
      </c>
      <c r="C528" s="2" t="s">
        <v>20</v>
      </c>
      <c r="D528" s="2">
        <v>1</v>
      </c>
      <c r="E528" s="8">
        <v>40513.489583333336</v>
      </c>
      <c r="F528" s="2">
        <v>2.1</v>
      </c>
      <c r="G528" s="2">
        <v>17908</v>
      </c>
      <c r="H528" s="2" t="s">
        <v>10</v>
      </c>
      <c r="I528" s="2">
        <f>ABS(DF[[#This Row],[Quantity_BEFORE]])</f>
        <v>1</v>
      </c>
      <c r="J528" s="2">
        <f>DF[[#This Row],[QUANTITY]]*DF[[#This Row],[UnitPrice]]</f>
        <v>2.1</v>
      </c>
    </row>
    <row r="529" spans="1:10" x14ac:dyDescent="0.25">
      <c r="A529" s="2">
        <v>536409</v>
      </c>
      <c r="B529" s="2">
        <v>22866</v>
      </c>
      <c r="C529" s="2" t="s">
        <v>237</v>
      </c>
      <c r="D529" s="2">
        <v>1</v>
      </c>
      <c r="E529" s="8">
        <v>40513.489583333336</v>
      </c>
      <c r="F529" s="2">
        <v>2.1</v>
      </c>
      <c r="G529" s="2">
        <v>17908</v>
      </c>
      <c r="H529" s="2" t="s">
        <v>10</v>
      </c>
      <c r="I529" s="2">
        <f>ABS(DF[[#This Row],[Quantity_BEFORE]])</f>
        <v>1</v>
      </c>
      <c r="J529" s="2">
        <f>DF[[#This Row],[QUANTITY]]*DF[[#This Row],[UnitPrice]]</f>
        <v>2.1</v>
      </c>
    </row>
    <row r="530" spans="1:10" x14ac:dyDescent="0.25">
      <c r="A530" s="2">
        <v>536409</v>
      </c>
      <c r="B530" s="2">
        <v>22198</v>
      </c>
      <c r="C530" s="2" t="s">
        <v>209</v>
      </c>
      <c r="D530" s="2">
        <v>1</v>
      </c>
      <c r="E530" s="8">
        <v>40513.489583333336</v>
      </c>
      <c r="F530" s="2">
        <v>1.65</v>
      </c>
      <c r="G530" s="2">
        <v>17908</v>
      </c>
      <c r="H530" s="2" t="s">
        <v>10</v>
      </c>
      <c r="I530" s="2">
        <f>ABS(DF[[#This Row],[Quantity_BEFORE]])</f>
        <v>1</v>
      </c>
      <c r="J530" s="2">
        <f>DF[[#This Row],[QUANTITY]]*DF[[#This Row],[UnitPrice]]</f>
        <v>1.65</v>
      </c>
    </row>
    <row r="531" spans="1:10" x14ac:dyDescent="0.25">
      <c r="A531" s="2">
        <v>536409</v>
      </c>
      <c r="B531" s="2">
        <v>21824</v>
      </c>
      <c r="C531" s="2" t="s">
        <v>416</v>
      </c>
      <c r="D531" s="2">
        <v>3</v>
      </c>
      <c r="E531" s="8">
        <v>40513.489583333336</v>
      </c>
      <c r="F531" s="2">
        <v>1.45</v>
      </c>
      <c r="G531" s="2">
        <v>17908</v>
      </c>
      <c r="H531" s="2" t="s">
        <v>10</v>
      </c>
      <c r="I531" s="2">
        <f>ABS(DF[[#This Row],[Quantity_BEFORE]])</f>
        <v>3</v>
      </c>
      <c r="J531" s="2">
        <f>DF[[#This Row],[QUANTITY]]*DF[[#This Row],[UnitPrice]]</f>
        <v>4.3499999999999996</v>
      </c>
    </row>
    <row r="532" spans="1:10" x14ac:dyDescent="0.25">
      <c r="A532" s="2">
        <v>536409</v>
      </c>
      <c r="B532" s="2">
        <v>21823</v>
      </c>
      <c r="C532" s="2" t="s">
        <v>417</v>
      </c>
      <c r="D532" s="2">
        <v>3</v>
      </c>
      <c r="E532" s="8">
        <v>40513.489583333336</v>
      </c>
      <c r="F532" s="2">
        <v>1.45</v>
      </c>
      <c r="G532" s="2">
        <v>17908</v>
      </c>
      <c r="H532" s="2" t="s">
        <v>10</v>
      </c>
      <c r="I532" s="2">
        <f>ABS(DF[[#This Row],[Quantity_BEFORE]])</f>
        <v>3</v>
      </c>
      <c r="J532" s="2">
        <f>DF[[#This Row],[QUANTITY]]*DF[[#This Row],[UnitPrice]]</f>
        <v>4.3499999999999996</v>
      </c>
    </row>
    <row r="533" spans="1:10" x14ac:dyDescent="0.25">
      <c r="A533" s="2">
        <v>536409</v>
      </c>
      <c r="B533" s="2">
        <v>22153</v>
      </c>
      <c r="C533" s="2" t="s">
        <v>418</v>
      </c>
      <c r="D533" s="2">
        <v>6</v>
      </c>
      <c r="E533" s="8">
        <v>40513.489583333336</v>
      </c>
      <c r="F533" s="2">
        <v>0.42</v>
      </c>
      <c r="G533" s="2">
        <v>17908</v>
      </c>
      <c r="H533" s="2" t="s">
        <v>10</v>
      </c>
      <c r="I533" s="2">
        <f>ABS(DF[[#This Row],[Quantity_BEFORE]])</f>
        <v>6</v>
      </c>
      <c r="J533" s="2">
        <f>DF[[#This Row],[QUANTITY]]*DF[[#This Row],[UnitPrice]]</f>
        <v>2.52</v>
      </c>
    </row>
    <row r="534" spans="1:10" x14ac:dyDescent="0.25">
      <c r="A534" s="2">
        <v>536409</v>
      </c>
      <c r="B534" s="2">
        <v>22197</v>
      </c>
      <c r="C534" s="2" t="s">
        <v>208</v>
      </c>
      <c r="D534" s="2">
        <v>2</v>
      </c>
      <c r="E534" s="8">
        <v>40513.489583333336</v>
      </c>
      <c r="F534" s="2">
        <v>0.85</v>
      </c>
      <c r="G534" s="2">
        <v>17908</v>
      </c>
      <c r="H534" s="2" t="s">
        <v>10</v>
      </c>
      <c r="I534" s="2">
        <f>ABS(DF[[#This Row],[Quantity_BEFORE]])</f>
        <v>2</v>
      </c>
      <c r="J534" s="2">
        <f>DF[[#This Row],[QUANTITY]]*DF[[#This Row],[UnitPrice]]</f>
        <v>1.7</v>
      </c>
    </row>
    <row r="535" spans="1:10" x14ac:dyDescent="0.25">
      <c r="A535" s="2">
        <v>536409</v>
      </c>
      <c r="B535" s="2" t="s">
        <v>172</v>
      </c>
      <c r="C535" s="2" t="s">
        <v>173</v>
      </c>
      <c r="D535" s="2">
        <v>2</v>
      </c>
      <c r="E535" s="8">
        <v>40513.489583333336</v>
      </c>
      <c r="F535" s="2">
        <v>1.95</v>
      </c>
      <c r="G535" s="2">
        <v>17908</v>
      </c>
      <c r="H535" s="2" t="s">
        <v>10</v>
      </c>
      <c r="I535" s="2">
        <f>ABS(DF[[#This Row],[Quantity_BEFORE]])</f>
        <v>2</v>
      </c>
      <c r="J535" s="2">
        <f>DF[[#This Row],[QUANTITY]]*DF[[#This Row],[UnitPrice]]</f>
        <v>3.9</v>
      </c>
    </row>
    <row r="536" spans="1:10" x14ac:dyDescent="0.25">
      <c r="A536" s="2">
        <v>536409</v>
      </c>
      <c r="B536" s="2" t="s">
        <v>419</v>
      </c>
      <c r="C536" s="2" t="s">
        <v>420</v>
      </c>
      <c r="D536" s="2">
        <v>1</v>
      </c>
      <c r="E536" s="8">
        <v>40513.489583333336</v>
      </c>
      <c r="F536" s="2">
        <v>1.95</v>
      </c>
      <c r="G536" s="2">
        <v>17908</v>
      </c>
      <c r="H536" s="2" t="s">
        <v>10</v>
      </c>
      <c r="I536" s="2">
        <f>ABS(DF[[#This Row],[Quantity_BEFORE]])</f>
        <v>1</v>
      </c>
      <c r="J536" s="2">
        <f>DF[[#This Row],[QUANTITY]]*DF[[#This Row],[UnitPrice]]</f>
        <v>1.95</v>
      </c>
    </row>
    <row r="537" spans="1:10" x14ac:dyDescent="0.25">
      <c r="A537" s="2">
        <v>536409</v>
      </c>
      <c r="B537" s="2">
        <v>20717</v>
      </c>
      <c r="C537" s="2" t="s">
        <v>421</v>
      </c>
      <c r="D537" s="2">
        <v>1</v>
      </c>
      <c r="E537" s="8">
        <v>40513.489583333336</v>
      </c>
      <c r="F537" s="2">
        <v>1.25</v>
      </c>
      <c r="G537" s="2">
        <v>17908</v>
      </c>
      <c r="H537" s="2" t="s">
        <v>10</v>
      </c>
      <c r="I537" s="2">
        <f>ABS(DF[[#This Row],[Quantity_BEFORE]])</f>
        <v>1</v>
      </c>
      <c r="J537" s="2">
        <f>DF[[#This Row],[QUANTITY]]*DF[[#This Row],[UnitPrice]]</f>
        <v>1.25</v>
      </c>
    </row>
    <row r="538" spans="1:10" x14ac:dyDescent="0.25">
      <c r="A538" s="2">
        <v>536409</v>
      </c>
      <c r="B538" s="2">
        <v>20723</v>
      </c>
      <c r="C538" s="2" t="s">
        <v>79</v>
      </c>
      <c r="D538" s="2">
        <v>1</v>
      </c>
      <c r="E538" s="8">
        <v>40513.489583333336</v>
      </c>
      <c r="F538" s="2">
        <v>0.85</v>
      </c>
      <c r="G538" s="2">
        <v>17908</v>
      </c>
      <c r="H538" s="2" t="s">
        <v>10</v>
      </c>
      <c r="I538" s="2">
        <f>ABS(DF[[#This Row],[Quantity_BEFORE]])</f>
        <v>1</v>
      </c>
      <c r="J538" s="2">
        <f>DF[[#This Row],[QUANTITY]]*DF[[#This Row],[UnitPrice]]</f>
        <v>0.85</v>
      </c>
    </row>
    <row r="539" spans="1:10" x14ac:dyDescent="0.25">
      <c r="A539" s="2">
        <v>536409</v>
      </c>
      <c r="B539" s="2">
        <v>22900</v>
      </c>
      <c r="C539" s="2" t="s">
        <v>54</v>
      </c>
      <c r="D539" s="2">
        <v>1</v>
      </c>
      <c r="E539" s="8">
        <v>40513.489583333336</v>
      </c>
      <c r="F539" s="2">
        <v>2.95</v>
      </c>
      <c r="G539" s="2">
        <v>17908</v>
      </c>
      <c r="H539" s="2" t="s">
        <v>10</v>
      </c>
      <c r="I539" s="2">
        <f>ABS(DF[[#This Row],[Quantity_BEFORE]])</f>
        <v>1</v>
      </c>
      <c r="J539" s="2">
        <f>DF[[#This Row],[QUANTITY]]*DF[[#This Row],[UnitPrice]]</f>
        <v>2.95</v>
      </c>
    </row>
    <row r="540" spans="1:10" x14ac:dyDescent="0.25">
      <c r="A540" s="2">
        <v>536409</v>
      </c>
      <c r="B540" s="2">
        <v>21980</v>
      </c>
      <c r="C540" s="2" t="s">
        <v>222</v>
      </c>
      <c r="D540" s="2">
        <v>12</v>
      </c>
      <c r="E540" s="8">
        <v>40513.489583333336</v>
      </c>
      <c r="F540" s="2">
        <v>0.28999999999999998</v>
      </c>
      <c r="G540" s="2">
        <v>17908</v>
      </c>
      <c r="H540" s="2" t="s">
        <v>10</v>
      </c>
      <c r="I540" s="2">
        <f>ABS(DF[[#This Row],[Quantity_BEFORE]])</f>
        <v>12</v>
      </c>
      <c r="J540" s="2">
        <f>DF[[#This Row],[QUANTITY]]*DF[[#This Row],[UnitPrice]]</f>
        <v>3.4799999999999995</v>
      </c>
    </row>
    <row r="541" spans="1:10" x14ac:dyDescent="0.25">
      <c r="A541" s="2">
        <v>536409</v>
      </c>
      <c r="B541" s="2">
        <v>22111</v>
      </c>
      <c r="C541" s="2" t="s">
        <v>261</v>
      </c>
      <c r="D541" s="2">
        <v>1</v>
      </c>
      <c r="E541" s="8">
        <v>40513.489583333336</v>
      </c>
      <c r="F541" s="2">
        <v>4.95</v>
      </c>
      <c r="G541" s="2">
        <v>17908</v>
      </c>
      <c r="H541" s="2" t="s">
        <v>10</v>
      </c>
      <c r="I541" s="2">
        <f>ABS(DF[[#This Row],[Quantity_BEFORE]])</f>
        <v>1</v>
      </c>
      <c r="J541" s="2">
        <f>DF[[#This Row],[QUANTITY]]*DF[[#This Row],[UnitPrice]]</f>
        <v>4.95</v>
      </c>
    </row>
    <row r="542" spans="1:10" x14ac:dyDescent="0.25">
      <c r="A542" s="2">
        <v>536409</v>
      </c>
      <c r="B542" s="2">
        <v>22112</v>
      </c>
      <c r="C542" s="2" t="s">
        <v>259</v>
      </c>
      <c r="D542" s="2">
        <v>1</v>
      </c>
      <c r="E542" s="8">
        <v>40513.489583333336</v>
      </c>
      <c r="F542" s="2">
        <v>4.95</v>
      </c>
      <c r="G542" s="2">
        <v>17908</v>
      </c>
      <c r="H542" s="2" t="s">
        <v>10</v>
      </c>
      <c r="I542" s="2">
        <f>ABS(DF[[#This Row],[Quantity_BEFORE]])</f>
        <v>1</v>
      </c>
      <c r="J542" s="2">
        <f>DF[[#This Row],[QUANTITY]]*DF[[#This Row],[UnitPrice]]</f>
        <v>4.95</v>
      </c>
    </row>
    <row r="543" spans="1:10" x14ac:dyDescent="0.25">
      <c r="A543" s="2">
        <v>536412</v>
      </c>
      <c r="B543" s="2">
        <v>20728</v>
      </c>
      <c r="C543" s="2" t="s">
        <v>347</v>
      </c>
      <c r="D543" s="2">
        <v>3</v>
      </c>
      <c r="E543" s="8">
        <v>40513.492361111108</v>
      </c>
      <c r="F543" s="2">
        <v>1.65</v>
      </c>
      <c r="G543" s="2">
        <v>17920</v>
      </c>
      <c r="H543" s="2" t="s">
        <v>10</v>
      </c>
      <c r="I543" s="2">
        <f>ABS(DF[[#This Row],[Quantity_BEFORE]])</f>
        <v>3</v>
      </c>
      <c r="J543" s="2">
        <f>DF[[#This Row],[QUANTITY]]*DF[[#This Row],[UnitPrice]]</f>
        <v>4.9499999999999993</v>
      </c>
    </row>
    <row r="544" spans="1:10" x14ac:dyDescent="0.25">
      <c r="A544" s="2">
        <v>536412</v>
      </c>
      <c r="B544" s="2">
        <v>22382</v>
      </c>
      <c r="C544" s="2" t="s">
        <v>311</v>
      </c>
      <c r="D544" s="2">
        <v>3</v>
      </c>
      <c r="E544" s="8">
        <v>40513.492361111108</v>
      </c>
      <c r="F544" s="2">
        <v>1.65</v>
      </c>
      <c r="G544" s="2">
        <v>17920</v>
      </c>
      <c r="H544" s="2" t="s">
        <v>10</v>
      </c>
      <c r="I544" s="2">
        <f>ABS(DF[[#This Row],[Quantity_BEFORE]])</f>
        <v>3</v>
      </c>
      <c r="J544" s="2">
        <f>DF[[#This Row],[QUANTITY]]*DF[[#This Row],[UnitPrice]]</f>
        <v>4.9499999999999993</v>
      </c>
    </row>
    <row r="545" spans="1:10" x14ac:dyDescent="0.25">
      <c r="A545" s="2">
        <v>536412</v>
      </c>
      <c r="B545" s="2">
        <v>22326</v>
      </c>
      <c r="C545" s="2" t="s">
        <v>48</v>
      </c>
      <c r="D545" s="2">
        <v>1</v>
      </c>
      <c r="E545" s="8">
        <v>40513.492361111108</v>
      </c>
      <c r="F545" s="2">
        <v>2.95</v>
      </c>
      <c r="G545" s="2">
        <v>17920</v>
      </c>
      <c r="H545" s="2" t="s">
        <v>10</v>
      </c>
      <c r="I545" s="2">
        <f>ABS(DF[[#This Row],[Quantity_BEFORE]])</f>
        <v>1</v>
      </c>
      <c r="J545" s="2">
        <f>DF[[#This Row],[QUANTITY]]*DF[[#This Row],[UnitPrice]]</f>
        <v>2.95</v>
      </c>
    </row>
    <row r="546" spans="1:10" x14ac:dyDescent="0.25">
      <c r="A546" s="2">
        <v>536412</v>
      </c>
      <c r="B546" s="2">
        <v>22662</v>
      </c>
      <c r="C546" s="2" t="s">
        <v>170</v>
      </c>
      <c r="D546" s="2">
        <v>4</v>
      </c>
      <c r="E546" s="8">
        <v>40513.492361111108</v>
      </c>
      <c r="F546" s="2">
        <v>1.65</v>
      </c>
      <c r="G546" s="2">
        <v>17920</v>
      </c>
      <c r="H546" s="2" t="s">
        <v>10</v>
      </c>
      <c r="I546" s="2">
        <f>ABS(DF[[#This Row],[Quantity_BEFORE]])</f>
        <v>4</v>
      </c>
      <c r="J546" s="2">
        <f>DF[[#This Row],[QUANTITY]]*DF[[#This Row],[UnitPrice]]</f>
        <v>6.6</v>
      </c>
    </row>
    <row r="547" spans="1:10" x14ac:dyDescent="0.25">
      <c r="A547" s="2">
        <v>536412</v>
      </c>
      <c r="B547" s="2">
        <v>22383</v>
      </c>
      <c r="C547" s="2" t="s">
        <v>346</v>
      </c>
      <c r="D547" s="2">
        <v>3</v>
      </c>
      <c r="E547" s="8">
        <v>40513.492361111108</v>
      </c>
      <c r="F547" s="2">
        <v>1.65</v>
      </c>
      <c r="G547" s="2">
        <v>17920</v>
      </c>
      <c r="H547" s="2" t="s">
        <v>10</v>
      </c>
      <c r="I547" s="2">
        <f>ABS(DF[[#This Row],[Quantity_BEFORE]])</f>
        <v>3</v>
      </c>
      <c r="J547" s="2">
        <f>DF[[#This Row],[QUANTITY]]*DF[[#This Row],[UnitPrice]]</f>
        <v>4.9499999999999993</v>
      </c>
    </row>
    <row r="548" spans="1:10" x14ac:dyDescent="0.25">
      <c r="A548" s="2">
        <v>536412</v>
      </c>
      <c r="B548" s="2">
        <v>20727</v>
      </c>
      <c r="C548" s="2" t="s">
        <v>348</v>
      </c>
      <c r="D548" s="2">
        <v>3</v>
      </c>
      <c r="E548" s="8">
        <v>40513.492361111108</v>
      </c>
      <c r="F548" s="2">
        <v>1.65</v>
      </c>
      <c r="G548" s="2">
        <v>17920</v>
      </c>
      <c r="H548" s="2" t="s">
        <v>10</v>
      </c>
      <c r="I548" s="2">
        <f>ABS(DF[[#This Row],[Quantity_BEFORE]])</f>
        <v>3</v>
      </c>
      <c r="J548" s="2">
        <f>DF[[#This Row],[QUANTITY]]*DF[[#This Row],[UnitPrice]]</f>
        <v>4.9499999999999993</v>
      </c>
    </row>
    <row r="549" spans="1:10" x14ac:dyDescent="0.25">
      <c r="A549" s="2">
        <v>536412</v>
      </c>
      <c r="B549" s="2">
        <v>22328</v>
      </c>
      <c r="C549" s="2" t="s">
        <v>422</v>
      </c>
      <c r="D549" s="2">
        <v>1</v>
      </c>
      <c r="E549" s="8">
        <v>40513.492361111108</v>
      </c>
      <c r="F549" s="2">
        <v>2.95</v>
      </c>
      <c r="G549" s="2">
        <v>17920</v>
      </c>
      <c r="H549" s="2" t="s">
        <v>10</v>
      </c>
      <c r="I549" s="2">
        <f>ABS(DF[[#This Row],[Quantity_BEFORE]])</f>
        <v>1</v>
      </c>
      <c r="J549" s="2">
        <f>DF[[#This Row],[QUANTITY]]*DF[[#This Row],[UnitPrice]]</f>
        <v>2.95</v>
      </c>
    </row>
    <row r="550" spans="1:10" x14ac:dyDescent="0.25">
      <c r="A550" s="2">
        <v>536412</v>
      </c>
      <c r="B550" s="2">
        <v>22327</v>
      </c>
      <c r="C550" s="2" t="s">
        <v>423</v>
      </c>
      <c r="D550" s="2">
        <v>1</v>
      </c>
      <c r="E550" s="8">
        <v>40513.492361111108</v>
      </c>
      <c r="F550" s="2">
        <v>2.95</v>
      </c>
      <c r="G550" s="2">
        <v>17920</v>
      </c>
      <c r="H550" s="2" t="s">
        <v>10</v>
      </c>
      <c r="I550" s="2">
        <f>ABS(DF[[#This Row],[Quantity_BEFORE]])</f>
        <v>1</v>
      </c>
      <c r="J550" s="2">
        <f>DF[[#This Row],[QUANTITY]]*DF[[#This Row],[UnitPrice]]</f>
        <v>2.95</v>
      </c>
    </row>
    <row r="551" spans="1:10" x14ac:dyDescent="0.25">
      <c r="A551" s="2">
        <v>536412</v>
      </c>
      <c r="B551" s="2">
        <v>22630</v>
      </c>
      <c r="C551" s="2" t="s">
        <v>424</v>
      </c>
      <c r="D551" s="2">
        <v>1</v>
      </c>
      <c r="E551" s="8">
        <v>40513.492361111108</v>
      </c>
      <c r="F551" s="2">
        <v>1.95</v>
      </c>
      <c r="G551" s="2">
        <v>17920</v>
      </c>
      <c r="H551" s="2" t="s">
        <v>10</v>
      </c>
      <c r="I551" s="2">
        <f>ABS(DF[[#This Row],[Quantity_BEFORE]])</f>
        <v>1</v>
      </c>
      <c r="J551" s="2">
        <f>DF[[#This Row],[QUANTITY]]*DF[[#This Row],[UnitPrice]]</f>
        <v>1.95</v>
      </c>
    </row>
    <row r="552" spans="1:10" x14ac:dyDescent="0.25">
      <c r="A552" s="2">
        <v>536412</v>
      </c>
      <c r="B552" s="2">
        <v>22629</v>
      </c>
      <c r="C552" s="2" t="s">
        <v>49</v>
      </c>
      <c r="D552" s="2">
        <v>1</v>
      </c>
      <c r="E552" s="8">
        <v>40513.492361111108</v>
      </c>
      <c r="F552" s="2">
        <v>1.95</v>
      </c>
      <c r="G552" s="2">
        <v>17920</v>
      </c>
      <c r="H552" s="2" t="s">
        <v>10</v>
      </c>
      <c r="I552" s="2">
        <f>ABS(DF[[#This Row],[Quantity_BEFORE]])</f>
        <v>1</v>
      </c>
      <c r="J552" s="2">
        <f>DF[[#This Row],[QUANTITY]]*DF[[#This Row],[UnitPrice]]</f>
        <v>1.95</v>
      </c>
    </row>
    <row r="553" spans="1:10" x14ac:dyDescent="0.25">
      <c r="A553" s="2">
        <v>536412</v>
      </c>
      <c r="B553" s="2">
        <v>21245</v>
      </c>
      <c r="C553" s="2" t="s">
        <v>425</v>
      </c>
      <c r="D553" s="2">
        <v>1</v>
      </c>
      <c r="E553" s="8">
        <v>40513.492361111108</v>
      </c>
      <c r="F553" s="2">
        <v>1.69</v>
      </c>
      <c r="G553" s="2">
        <v>17920</v>
      </c>
      <c r="H553" s="2" t="s">
        <v>10</v>
      </c>
      <c r="I553" s="2">
        <f>ABS(DF[[#This Row],[Quantity_BEFORE]])</f>
        <v>1</v>
      </c>
      <c r="J553" s="2">
        <f>DF[[#This Row],[QUANTITY]]*DF[[#This Row],[UnitPrice]]</f>
        <v>1.69</v>
      </c>
    </row>
    <row r="554" spans="1:10" x14ac:dyDescent="0.25">
      <c r="A554" s="2">
        <v>536412</v>
      </c>
      <c r="B554" s="2">
        <v>21244</v>
      </c>
      <c r="C554" s="2" t="s">
        <v>426</v>
      </c>
      <c r="D554" s="2">
        <v>1</v>
      </c>
      <c r="E554" s="8">
        <v>40513.492361111108</v>
      </c>
      <c r="F554" s="2">
        <v>1.69</v>
      </c>
      <c r="G554" s="2">
        <v>17920</v>
      </c>
      <c r="H554" s="2" t="s">
        <v>10</v>
      </c>
      <c r="I554" s="2">
        <f>ABS(DF[[#This Row],[Quantity_BEFORE]])</f>
        <v>1</v>
      </c>
      <c r="J554" s="2">
        <f>DF[[#This Row],[QUANTITY]]*DF[[#This Row],[UnitPrice]]</f>
        <v>1.69</v>
      </c>
    </row>
    <row r="555" spans="1:10" x14ac:dyDescent="0.25">
      <c r="A555" s="2">
        <v>536412</v>
      </c>
      <c r="B555" s="2">
        <v>21242</v>
      </c>
      <c r="C555" s="2" t="s">
        <v>427</v>
      </c>
      <c r="D555" s="2">
        <v>1</v>
      </c>
      <c r="E555" s="8">
        <v>40513.492361111108</v>
      </c>
      <c r="F555" s="2">
        <v>1.69</v>
      </c>
      <c r="G555" s="2">
        <v>17920</v>
      </c>
      <c r="H555" s="2" t="s">
        <v>10</v>
      </c>
      <c r="I555" s="2">
        <f>ABS(DF[[#This Row],[Quantity_BEFORE]])</f>
        <v>1</v>
      </c>
      <c r="J555" s="2">
        <f>DF[[#This Row],[QUANTITY]]*DF[[#This Row],[UnitPrice]]</f>
        <v>1.69</v>
      </c>
    </row>
    <row r="556" spans="1:10" x14ac:dyDescent="0.25">
      <c r="A556" s="2">
        <v>536412</v>
      </c>
      <c r="B556" s="2">
        <v>21243</v>
      </c>
      <c r="C556" s="2" t="s">
        <v>428</v>
      </c>
      <c r="D556" s="2">
        <v>1</v>
      </c>
      <c r="E556" s="8">
        <v>40513.492361111108</v>
      </c>
      <c r="F556" s="2">
        <v>1.69</v>
      </c>
      <c r="G556" s="2">
        <v>17920</v>
      </c>
      <c r="H556" s="2" t="s">
        <v>10</v>
      </c>
      <c r="I556" s="2">
        <f>ABS(DF[[#This Row],[Quantity_BEFORE]])</f>
        <v>1</v>
      </c>
      <c r="J556" s="2">
        <f>DF[[#This Row],[QUANTITY]]*DF[[#This Row],[UnitPrice]]</f>
        <v>1.69</v>
      </c>
    </row>
    <row r="557" spans="1:10" x14ac:dyDescent="0.25">
      <c r="A557" s="2">
        <v>536412</v>
      </c>
      <c r="B557" s="2">
        <v>22327</v>
      </c>
      <c r="C557" s="2" t="s">
        <v>423</v>
      </c>
      <c r="D557" s="2">
        <v>1</v>
      </c>
      <c r="E557" s="8">
        <v>40513.492361111108</v>
      </c>
      <c r="F557" s="2">
        <v>2.95</v>
      </c>
      <c r="G557" s="2">
        <v>17920</v>
      </c>
      <c r="H557" s="2" t="s">
        <v>10</v>
      </c>
      <c r="I557" s="2">
        <f>ABS(DF[[#This Row],[Quantity_BEFORE]])</f>
        <v>1</v>
      </c>
      <c r="J557" s="2">
        <f>DF[[#This Row],[QUANTITY]]*DF[[#This Row],[UnitPrice]]</f>
        <v>2.95</v>
      </c>
    </row>
    <row r="558" spans="1:10" x14ac:dyDescent="0.25">
      <c r="A558" s="2">
        <v>536412</v>
      </c>
      <c r="B558" s="2">
        <v>22273</v>
      </c>
      <c r="C558" s="2" t="s">
        <v>429</v>
      </c>
      <c r="D558" s="2">
        <v>1</v>
      </c>
      <c r="E558" s="8">
        <v>40513.492361111108</v>
      </c>
      <c r="F558" s="2">
        <v>2.95</v>
      </c>
      <c r="G558" s="2">
        <v>17920</v>
      </c>
      <c r="H558" s="2" t="s">
        <v>10</v>
      </c>
      <c r="I558" s="2">
        <f>ABS(DF[[#This Row],[Quantity_BEFORE]])</f>
        <v>1</v>
      </c>
      <c r="J558" s="2">
        <f>DF[[#This Row],[QUANTITY]]*DF[[#This Row],[UnitPrice]]</f>
        <v>2.95</v>
      </c>
    </row>
    <row r="559" spans="1:10" x14ac:dyDescent="0.25">
      <c r="A559" s="2">
        <v>536412</v>
      </c>
      <c r="B559" s="2">
        <v>22940</v>
      </c>
      <c r="C559" s="2" t="s">
        <v>430</v>
      </c>
      <c r="D559" s="2">
        <v>3</v>
      </c>
      <c r="E559" s="8">
        <v>40513.492361111108</v>
      </c>
      <c r="F559" s="2">
        <v>4.25</v>
      </c>
      <c r="G559" s="2">
        <v>17920</v>
      </c>
      <c r="H559" s="2" t="s">
        <v>10</v>
      </c>
      <c r="I559" s="2">
        <f>ABS(DF[[#This Row],[Quantity_BEFORE]])</f>
        <v>3</v>
      </c>
      <c r="J559" s="2">
        <f>DF[[#This Row],[QUANTITY]]*DF[[#This Row],[UnitPrice]]</f>
        <v>12.75</v>
      </c>
    </row>
    <row r="560" spans="1:10" x14ac:dyDescent="0.25">
      <c r="A560" s="2">
        <v>536412</v>
      </c>
      <c r="B560" s="2">
        <v>22652</v>
      </c>
      <c r="C560" s="2" t="s">
        <v>243</v>
      </c>
      <c r="D560" s="2">
        <v>5</v>
      </c>
      <c r="E560" s="8">
        <v>40513.492361111108</v>
      </c>
      <c r="F560" s="2">
        <v>1.65</v>
      </c>
      <c r="G560" s="2">
        <v>17920</v>
      </c>
      <c r="H560" s="2" t="s">
        <v>10</v>
      </c>
      <c r="I560" s="2">
        <f>ABS(DF[[#This Row],[Quantity_BEFORE]])</f>
        <v>5</v>
      </c>
      <c r="J560" s="2">
        <f>DF[[#This Row],[QUANTITY]]*DF[[#This Row],[UnitPrice]]</f>
        <v>8.25</v>
      </c>
    </row>
    <row r="561" spans="1:10" x14ac:dyDescent="0.25">
      <c r="A561" s="2">
        <v>536412</v>
      </c>
      <c r="B561" s="2">
        <v>22759</v>
      </c>
      <c r="C561" s="2" t="s">
        <v>431</v>
      </c>
      <c r="D561" s="2">
        <v>1</v>
      </c>
      <c r="E561" s="8">
        <v>40513.492361111108</v>
      </c>
      <c r="F561" s="2">
        <v>1.65</v>
      </c>
      <c r="G561" s="2">
        <v>17920</v>
      </c>
      <c r="H561" s="2" t="s">
        <v>10</v>
      </c>
      <c r="I561" s="2">
        <f>ABS(DF[[#This Row],[Quantity_BEFORE]])</f>
        <v>1</v>
      </c>
      <c r="J561" s="2">
        <f>DF[[#This Row],[QUANTITY]]*DF[[#This Row],[UnitPrice]]</f>
        <v>1.65</v>
      </c>
    </row>
    <row r="562" spans="1:10" x14ac:dyDescent="0.25">
      <c r="A562" s="2">
        <v>536412</v>
      </c>
      <c r="B562" s="2">
        <v>21880</v>
      </c>
      <c r="C562" s="2" t="s">
        <v>432</v>
      </c>
      <c r="D562" s="2">
        <v>10</v>
      </c>
      <c r="E562" s="8">
        <v>40513.492361111108</v>
      </c>
      <c r="F562" s="2">
        <v>0.65</v>
      </c>
      <c r="G562" s="2">
        <v>17920</v>
      </c>
      <c r="H562" s="2" t="s">
        <v>10</v>
      </c>
      <c r="I562" s="2">
        <f>ABS(DF[[#This Row],[Quantity_BEFORE]])</f>
        <v>10</v>
      </c>
      <c r="J562" s="2">
        <f>DF[[#This Row],[QUANTITY]]*DF[[#This Row],[UnitPrice]]</f>
        <v>6.5</v>
      </c>
    </row>
    <row r="563" spans="1:10" x14ac:dyDescent="0.25">
      <c r="A563" s="2">
        <v>536412</v>
      </c>
      <c r="B563" s="2">
        <v>21738</v>
      </c>
      <c r="C563" s="2" t="s">
        <v>433</v>
      </c>
      <c r="D563" s="2">
        <v>1</v>
      </c>
      <c r="E563" s="8">
        <v>40513.492361111108</v>
      </c>
      <c r="F563" s="2">
        <v>2.95</v>
      </c>
      <c r="G563" s="2">
        <v>17920</v>
      </c>
      <c r="H563" s="2" t="s">
        <v>10</v>
      </c>
      <c r="I563" s="2">
        <f>ABS(DF[[#This Row],[Quantity_BEFORE]])</f>
        <v>1</v>
      </c>
      <c r="J563" s="2">
        <f>DF[[#This Row],[QUANTITY]]*DF[[#This Row],[UnitPrice]]</f>
        <v>2.95</v>
      </c>
    </row>
    <row r="564" spans="1:10" x14ac:dyDescent="0.25">
      <c r="A564" s="2">
        <v>536412</v>
      </c>
      <c r="B564" s="2">
        <v>22077</v>
      </c>
      <c r="C564" s="2" t="s">
        <v>434</v>
      </c>
      <c r="D564" s="2">
        <v>1</v>
      </c>
      <c r="E564" s="8">
        <v>40513.492361111108</v>
      </c>
      <c r="F564" s="2">
        <v>1.65</v>
      </c>
      <c r="G564" s="2">
        <v>17920</v>
      </c>
      <c r="H564" s="2" t="s">
        <v>10</v>
      </c>
      <c r="I564" s="2">
        <f>ABS(DF[[#This Row],[Quantity_BEFORE]])</f>
        <v>1</v>
      </c>
      <c r="J564" s="2">
        <f>DF[[#This Row],[QUANTITY]]*DF[[#This Row],[UnitPrice]]</f>
        <v>1.65</v>
      </c>
    </row>
    <row r="565" spans="1:10" x14ac:dyDescent="0.25">
      <c r="A565" s="2">
        <v>536412</v>
      </c>
      <c r="B565" s="2" t="s">
        <v>269</v>
      </c>
      <c r="C565" s="2" t="s">
        <v>270</v>
      </c>
      <c r="D565" s="2">
        <v>3</v>
      </c>
      <c r="E565" s="8">
        <v>40513.492361111108</v>
      </c>
      <c r="F565" s="2">
        <v>1.25</v>
      </c>
      <c r="G565" s="2">
        <v>17920</v>
      </c>
      <c r="H565" s="2" t="s">
        <v>10</v>
      </c>
      <c r="I565" s="2">
        <f>ABS(DF[[#This Row],[Quantity_BEFORE]])</f>
        <v>3</v>
      </c>
      <c r="J565" s="2">
        <f>DF[[#This Row],[QUANTITY]]*DF[[#This Row],[UnitPrice]]</f>
        <v>3.75</v>
      </c>
    </row>
    <row r="566" spans="1:10" x14ac:dyDescent="0.25">
      <c r="A566" s="2">
        <v>536412</v>
      </c>
      <c r="B566" s="2">
        <v>22961</v>
      </c>
      <c r="C566" s="2" t="s">
        <v>100</v>
      </c>
      <c r="D566" s="2">
        <v>24</v>
      </c>
      <c r="E566" s="8">
        <v>40513.492361111108</v>
      </c>
      <c r="F566" s="2">
        <v>1.45</v>
      </c>
      <c r="G566" s="2">
        <v>17920</v>
      </c>
      <c r="H566" s="2" t="s">
        <v>10</v>
      </c>
      <c r="I566" s="2">
        <f>ABS(DF[[#This Row],[Quantity_BEFORE]])</f>
        <v>24</v>
      </c>
      <c r="J566" s="2">
        <f>DF[[#This Row],[QUANTITY]]*DF[[#This Row],[UnitPrice]]</f>
        <v>34.799999999999997</v>
      </c>
    </row>
    <row r="567" spans="1:10" x14ac:dyDescent="0.25">
      <c r="A567" s="2">
        <v>536412</v>
      </c>
      <c r="B567" s="2">
        <v>21448</v>
      </c>
      <c r="C567" s="2" t="s">
        <v>435</v>
      </c>
      <c r="D567" s="2">
        <v>2</v>
      </c>
      <c r="E567" s="8">
        <v>40513.492361111108</v>
      </c>
      <c r="F567" s="2">
        <v>1.65</v>
      </c>
      <c r="G567" s="2">
        <v>17920</v>
      </c>
      <c r="H567" s="2" t="s">
        <v>10</v>
      </c>
      <c r="I567" s="2">
        <f>ABS(DF[[#This Row],[Quantity_BEFORE]])</f>
        <v>2</v>
      </c>
      <c r="J567" s="2">
        <f>DF[[#This Row],[QUANTITY]]*DF[[#This Row],[UnitPrice]]</f>
        <v>3.3</v>
      </c>
    </row>
    <row r="568" spans="1:10" x14ac:dyDescent="0.25">
      <c r="A568" s="2">
        <v>536412</v>
      </c>
      <c r="B568" s="2">
        <v>22837</v>
      </c>
      <c r="C568" s="2" t="s">
        <v>323</v>
      </c>
      <c r="D568" s="2">
        <v>3</v>
      </c>
      <c r="E568" s="8">
        <v>40513.492361111108</v>
      </c>
      <c r="F568" s="2">
        <v>4.6500000000000004</v>
      </c>
      <c r="G568" s="2">
        <v>17920</v>
      </c>
      <c r="H568" s="2" t="s">
        <v>10</v>
      </c>
      <c r="I568" s="2">
        <f>ABS(DF[[#This Row],[Quantity_BEFORE]])</f>
        <v>3</v>
      </c>
      <c r="J568" s="2">
        <f>DF[[#This Row],[QUANTITY]]*DF[[#This Row],[UnitPrice]]</f>
        <v>13.950000000000001</v>
      </c>
    </row>
    <row r="569" spans="1:10" x14ac:dyDescent="0.25">
      <c r="A569" s="2">
        <v>536412</v>
      </c>
      <c r="B569" s="2">
        <v>22749</v>
      </c>
      <c r="C569" s="2" t="s">
        <v>25</v>
      </c>
      <c r="D569" s="2">
        <v>2</v>
      </c>
      <c r="E569" s="8">
        <v>40513.492361111108</v>
      </c>
      <c r="F569" s="2">
        <v>3.75</v>
      </c>
      <c r="G569" s="2">
        <v>17920</v>
      </c>
      <c r="H569" s="2" t="s">
        <v>10</v>
      </c>
      <c r="I569" s="2">
        <f>ABS(DF[[#This Row],[Quantity_BEFORE]])</f>
        <v>2</v>
      </c>
      <c r="J569" s="2">
        <f>DF[[#This Row],[QUANTITY]]*DF[[#This Row],[UnitPrice]]</f>
        <v>7.5</v>
      </c>
    </row>
    <row r="570" spans="1:10" x14ac:dyDescent="0.25">
      <c r="A570" s="2">
        <v>536412</v>
      </c>
      <c r="B570" s="2">
        <v>22940</v>
      </c>
      <c r="C570" s="2" t="s">
        <v>430</v>
      </c>
      <c r="D570" s="2">
        <v>1</v>
      </c>
      <c r="E570" s="8">
        <v>40513.492361111108</v>
      </c>
      <c r="F570" s="2">
        <v>4.25</v>
      </c>
      <c r="G570" s="2">
        <v>17920</v>
      </c>
      <c r="H570" s="2" t="s">
        <v>10</v>
      </c>
      <c r="I570" s="2">
        <f>ABS(DF[[#This Row],[Quantity_BEFORE]])</f>
        <v>1</v>
      </c>
      <c r="J570" s="2">
        <f>DF[[#This Row],[QUANTITY]]*DF[[#This Row],[UnitPrice]]</f>
        <v>4.25</v>
      </c>
    </row>
    <row r="571" spans="1:10" x14ac:dyDescent="0.25">
      <c r="A571" s="2">
        <v>536412</v>
      </c>
      <c r="B571" s="2">
        <v>22749</v>
      </c>
      <c r="C571" s="2" t="s">
        <v>25</v>
      </c>
      <c r="D571" s="2">
        <v>1</v>
      </c>
      <c r="E571" s="8">
        <v>40513.492361111108</v>
      </c>
      <c r="F571" s="2">
        <v>3.75</v>
      </c>
      <c r="G571" s="2">
        <v>17920</v>
      </c>
      <c r="H571" s="2" t="s">
        <v>10</v>
      </c>
      <c r="I571" s="2">
        <f>ABS(DF[[#This Row],[Quantity_BEFORE]])</f>
        <v>1</v>
      </c>
      <c r="J571" s="2">
        <f>DF[[#This Row],[QUANTITY]]*DF[[#This Row],[UnitPrice]]</f>
        <v>3.75</v>
      </c>
    </row>
    <row r="572" spans="1:10" x14ac:dyDescent="0.25">
      <c r="A572" s="2">
        <v>536412</v>
      </c>
      <c r="B572" s="2">
        <v>22077</v>
      </c>
      <c r="C572" s="2" t="s">
        <v>434</v>
      </c>
      <c r="D572" s="2">
        <v>2</v>
      </c>
      <c r="E572" s="8">
        <v>40513.492361111108</v>
      </c>
      <c r="F572" s="2">
        <v>1.65</v>
      </c>
      <c r="G572" s="2">
        <v>17920</v>
      </c>
      <c r="H572" s="2" t="s">
        <v>10</v>
      </c>
      <c r="I572" s="2">
        <f>ABS(DF[[#This Row],[Quantity_BEFORE]])</f>
        <v>2</v>
      </c>
      <c r="J572" s="2">
        <f>DF[[#This Row],[QUANTITY]]*DF[[#This Row],[UnitPrice]]</f>
        <v>3.3</v>
      </c>
    </row>
    <row r="573" spans="1:10" x14ac:dyDescent="0.25">
      <c r="A573" s="2">
        <v>536412</v>
      </c>
      <c r="B573" s="2">
        <v>21738</v>
      </c>
      <c r="C573" s="2" t="s">
        <v>433</v>
      </c>
      <c r="D573" s="2">
        <v>2</v>
      </c>
      <c r="E573" s="8">
        <v>40513.492361111108</v>
      </c>
      <c r="F573" s="2">
        <v>2.95</v>
      </c>
      <c r="G573" s="2">
        <v>17920</v>
      </c>
      <c r="H573" s="2" t="s">
        <v>10</v>
      </c>
      <c r="I573" s="2">
        <f>ABS(DF[[#This Row],[Quantity_BEFORE]])</f>
        <v>2</v>
      </c>
      <c r="J573" s="2">
        <f>DF[[#This Row],[QUANTITY]]*DF[[#This Row],[UnitPrice]]</f>
        <v>5.9</v>
      </c>
    </row>
    <row r="574" spans="1:10" x14ac:dyDescent="0.25">
      <c r="A574" s="2">
        <v>536412</v>
      </c>
      <c r="B574" s="2" t="s">
        <v>269</v>
      </c>
      <c r="C574" s="2" t="s">
        <v>270</v>
      </c>
      <c r="D574" s="2">
        <v>1</v>
      </c>
      <c r="E574" s="8">
        <v>40513.492361111108</v>
      </c>
      <c r="F574" s="2">
        <v>1.25</v>
      </c>
      <c r="G574" s="2">
        <v>17920</v>
      </c>
      <c r="H574" s="2" t="s">
        <v>10</v>
      </c>
      <c r="I574" s="2">
        <f>ABS(DF[[#This Row],[Quantity_BEFORE]])</f>
        <v>1</v>
      </c>
      <c r="J574" s="2">
        <f>DF[[#This Row],[QUANTITY]]*DF[[#This Row],[UnitPrice]]</f>
        <v>1.25</v>
      </c>
    </row>
    <row r="575" spans="1:10" x14ac:dyDescent="0.25">
      <c r="A575" s="2">
        <v>536412</v>
      </c>
      <c r="B575" s="2">
        <v>22243</v>
      </c>
      <c r="C575" s="2" t="s">
        <v>436</v>
      </c>
      <c r="D575" s="2">
        <v>6</v>
      </c>
      <c r="E575" s="8">
        <v>40513.492361111108</v>
      </c>
      <c r="F575" s="2">
        <v>1.65</v>
      </c>
      <c r="G575" s="2">
        <v>17920</v>
      </c>
      <c r="H575" s="2" t="s">
        <v>10</v>
      </c>
      <c r="I575" s="2">
        <f>ABS(DF[[#This Row],[Quantity_BEFORE]])</f>
        <v>6</v>
      </c>
      <c r="J575" s="2">
        <f>DF[[#This Row],[QUANTITY]]*DF[[#This Row],[UnitPrice]]</f>
        <v>9.8999999999999986</v>
      </c>
    </row>
    <row r="576" spans="1:10" x14ac:dyDescent="0.25">
      <c r="A576" s="2">
        <v>536412</v>
      </c>
      <c r="B576" s="2">
        <v>22141</v>
      </c>
      <c r="C576" s="2" t="s">
        <v>437</v>
      </c>
      <c r="D576" s="2">
        <v>1</v>
      </c>
      <c r="E576" s="8">
        <v>40513.492361111108</v>
      </c>
      <c r="F576" s="2">
        <v>2.1</v>
      </c>
      <c r="G576" s="2">
        <v>17920</v>
      </c>
      <c r="H576" s="2" t="s">
        <v>10</v>
      </c>
      <c r="I576" s="2">
        <f>ABS(DF[[#This Row],[Quantity_BEFORE]])</f>
        <v>1</v>
      </c>
      <c r="J576" s="2">
        <f>DF[[#This Row],[QUANTITY]]*DF[[#This Row],[UnitPrice]]</f>
        <v>2.1</v>
      </c>
    </row>
    <row r="577" spans="1:10" x14ac:dyDescent="0.25">
      <c r="A577" s="2">
        <v>536412</v>
      </c>
      <c r="B577" s="2">
        <v>22144</v>
      </c>
      <c r="C577" s="2" t="s">
        <v>438</v>
      </c>
      <c r="D577" s="2">
        <v>2</v>
      </c>
      <c r="E577" s="8">
        <v>40513.492361111108</v>
      </c>
      <c r="F577" s="2">
        <v>2.1</v>
      </c>
      <c r="G577" s="2">
        <v>17920</v>
      </c>
      <c r="H577" s="2" t="s">
        <v>10</v>
      </c>
      <c r="I577" s="2">
        <f>ABS(DF[[#This Row],[Quantity_BEFORE]])</f>
        <v>2</v>
      </c>
      <c r="J577" s="2">
        <f>DF[[#This Row],[QUANTITY]]*DF[[#This Row],[UnitPrice]]</f>
        <v>4.2</v>
      </c>
    </row>
    <row r="578" spans="1:10" x14ac:dyDescent="0.25">
      <c r="A578" s="2">
        <v>536412</v>
      </c>
      <c r="B578" s="2">
        <v>22243</v>
      </c>
      <c r="C578" s="2" t="s">
        <v>436</v>
      </c>
      <c r="D578" s="2">
        <v>3</v>
      </c>
      <c r="E578" s="8">
        <v>40513.492361111108</v>
      </c>
      <c r="F578" s="2">
        <v>1.65</v>
      </c>
      <c r="G578" s="2">
        <v>17920</v>
      </c>
      <c r="H578" s="2" t="s">
        <v>10</v>
      </c>
      <c r="I578" s="2">
        <f>ABS(DF[[#This Row],[Quantity_BEFORE]])</f>
        <v>3</v>
      </c>
      <c r="J578" s="2">
        <f>DF[[#This Row],[QUANTITY]]*DF[[#This Row],[UnitPrice]]</f>
        <v>4.9499999999999993</v>
      </c>
    </row>
    <row r="579" spans="1:10" x14ac:dyDescent="0.25">
      <c r="A579" s="2">
        <v>536412</v>
      </c>
      <c r="B579" s="2">
        <v>22077</v>
      </c>
      <c r="C579" s="2" t="s">
        <v>434</v>
      </c>
      <c r="D579" s="2">
        <v>7</v>
      </c>
      <c r="E579" s="8">
        <v>40513.492361111108</v>
      </c>
      <c r="F579" s="2">
        <v>1.65</v>
      </c>
      <c r="G579" s="2">
        <v>17920</v>
      </c>
      <c r="H579" s="2" t="s">
        <v>10</v>
      </c>
      <c r="I579" s="2">
        <f>ABS(DF[[#This Row],[Quantity_BEFORE]])</f>
        <v>7</v>
      </c>
      <c r="J579" s="2">
        <f>DF[[#This Row],[QUANTITY]]*DF[[#This Row],[UnitPrice]]</f>
        <v>11.549999999999999</v>
      </c>
    </row>
    <row r="580" spans="1:10" x14ac:dyDescent="0.25">
      <c r="A580" s="2">
        <v>536412</v>
      </c>
      <c r="B580" s="2">
        <v>21448</v>
      </c>
      <c r="C580" s="2" t="s">
        <v>435</v>
      </c>
      <c r="D580" s="2">
        <v>1</v>
      </c>
      <c r="E580" s="8">
        <v>40513.492361111108</v>
      </c>
      <c r="F580" s="2">
        <v>1.65</v>
      </c>
      <c r="G580" s="2">
        <v>17920</v>
      </c>
      <c r="H580" s="2" t="s">
        <v>10</v>
      </c>
      <c r="I580" s="2">
        <f>ABS(DF[[#This Row],[Quantity_BEFORE]])</f>
        <v>1</v>
      </c>
      <c r="J580" s="2">
        <f>DF[[#This Row],[QUANTITY]]*DF[[#This Row],[UnitPrice]]</f>
        <v>1.65</v>
      </c>
    </row>
    <row r="581" spans="1:10" x14ac:dyDescent="0.25">
      <c r="A581" s="2">
        <v>536412</v>
      </c>
      <c r="B581" s="2">
        <v>22759</v>
      </c>
      <c r="C581" s="2" t="s">
        <v>431</v>
      </c>
      <c r="D581" s="2">
        <v>5</v>
      </c>
      <c r="E581" s="8">
        <v>40513.492361111108</v>
      </c>
      <c r="F581" s="2">
        <v>1.65</v>
      </c>
      <c r="G581" s="2">
        <v>17920</v>
      </c>
      <c r="H581" s="2" t="s">
        <v>10</v>
      </c>
      <c r="I581" s="2">
        <f>ABS(DF[[#This Row],[Quantity_BEFORE]])</f>
        <v>5</v>
      </c>
      <c r="J581" s="2">
        <f>DF[[#This Row],[QUANTITY]]*DF[[#This Row],[UnitPrice]]</f>
        <v>8.25</v>
      </c>
    </row>
    <row r="582" spans="1:10" x14ac:dyDescent="0.25">
      <c r="A582" s="2">
        <v>536412</v>
      </c>
      <c r="B582" s="2">
        <v>22242</v>
      </c>
      <c r="C582" s="2" t="s">
        <v>186</v>
      </c>
      <c r="D582" s="2">
        <v>5</v>
      </c>
      <c r="E582" s="8">
        <v>40513.492361111108</v>
      </c>
      <c r="F582" s="2">
        <v>1.65</v>
      </c>
      <c r="G582" s="2">
        <v>17920</v>
      </c>
      <c r="H582" s="2" t="s">
        <v>10</v>
      </c>
      <c r="I582" s="2">
        <f>ABS(DF[[#This Row],[Quantity_BEFORE]])</f>
        <v>5</v>
      </c>
      <c r="J582" s="2">
        <f>DF[[#This Row],[QUANTITY]]*DF[[#This Row],[UnitPrice]]</f>
        <v>8.25</v>
      </c>
    </row>
    <row r="583" spans="1:10" x14ac:dyDescent="0.25">
      <c r="A583" s="2">
        <v>536412</v>
      </c>
      <c r="B583" s="2" t="s">
        <v>269</v>
      </c>
      <c r="C583" s="2" t="s">
        <v>270</v>
      </c>
      <c r="D583" s="2">
        <v>12</v>
      </c>
      <c r="E583" s="8">
        <v>40513.492361111108</v>
      </c>
      <c r="F583" s="2">
        <v>1.25</v>
      </c>
      <c r="G583" s="2">
        <v>17920</v>
      </c>
      <c r="H583" s="2" t="s">
        <v>10</v>
      </c>
      <c r="I583" s="2">
        <f>ABS(DF[[#This Row],[Quantity_BEFORE]])</f>
        <v>12</v>
      </c>
      <c r="J583" s="2">
        <f>DF[[#This Row],[QUANTITY]]*DF[[#This Row],[UnitPrice]]</f>
        <v>15</v>
      </c>
    </row>
    <row r="584" spans="1:10" x14ac:dyDescent="0.25">
      <c r="A584" s="2">
        <v>536412</v>
      </c>
      <c r="B584" s="2">
        <v>21731</v>
      </c>
      <c r="C584" s="2" t="s">
        <v>53</v>
      </c>
      <c r="D584" s="2">
        <v>5</v>
      </c>
      <c r="E584" s="8">
        <v>40513.492361111108</v>
      </c>
      <c r="F584" s="2">
        <v>1.65</v>
      </c>
      <c r="G584" s="2">
        <v>17920</v>
      </c>
      <c r="H584" s="2" t="s">
        <v>10</v>
      </c>
      <c r="I584" s="2">
        <f>ABS(DF[[#This Row],[Quantity_BEFORE]])</f>
        <v>5</v>
      </c>
      <c r="J584" s="2">
        <f>DF[[#This Row],[QUANTITY]]*DF[[#This Row],[UnitPrice]]</f>
        <v>8.25</v>
      </c>
    </row>
    <row r="585" spans="1:10" x14ac:dyDescent="0.25">
      <c r="A585" s="2">
        <v>536412</v>
      </c>
      <c r="B585" s="2">
        <v>22243</v>
      </c>
      <c r="C585" s="2" t="s">
        <v>436</v>
      </c>
      <c r="D585" s="2">
        <v>1</v>
      </c>
      <c r="E585" s="8">
        <v>40513.492361111108</v>
      </c>
      <c r="F585" s="2">
        <v>1.65</v>
      </c>
      <c r="G585" s="2">
        <v>17920</v>
      </c>
      <c r="H585" s="2" t="s">
        <v>10</v>
      </c>
      <c r="I585" s="2">
        <f>ABS(DF[[#This Row],[Quantity_BEFORE]])</f>
        <v>1</v>
      </c>
      <c r="J585" s="2">
        <f>DF[[#This Row],[QUANTITY]]*DF[[#This Row],[UnitPrice]]</f>
        <v>1.65</v>
      </c>
    </row>
    <row r="586" spans="1:10" x14ac:dyDescent="0.25">
      <c r="A586" s="2">
        <v>536412</v>
      </c>
      <c r="B586" s="2">
        <v>21739</v>
      </c>
      <c r="C586" s="2" t="s">
        <v>439</v>
      </c>
      <c r="D586" s="2">
        <v>2</v>
      </c>
      <c r="E586" s="8">
        <v>40513.492361111108</v>
      </c>
      <c r="F586" s="2">
        <v>2.95</v>
      </c>
      <c r="G586" s="2">
        <v>17920</v>
      </c>
      <c r="H586" s="2" t="s">
        <v>10</v>
      </c>
      <c r="I586" s="2">
        <f>ABS(DF[[#This Row],[Quantity_BEFORE]])</f>
        <v>2</v>
      </c>
      <c r="J586" s="2">
        <f>DF[[#This Row],[QUANTITY]]*DF[[#This Row],[UnitPrice]]</f>
        <v>5.9</v>
      </c>
    </row>
    <row r="587" spans="1:10" x14ac:dyDescent="0.25">
      <c r="A587" s="2">
        <v>536412</v>
      </c>
      <c r="B587" s="2">
        <v>21738</v>
      </c>
      <c r="C587" s="2" t="s">
        <v>433</v>
      </c>
      <c r="D587" s="2">
        <v>5</v>
      </c>
      <c r="E587" s="8">
        <v>40513.492361111108</v>
      </c>
      <c r="F587" s="2">
        <v>2.95</v>
      </c>
      <c r="G587" s="2">
        <v>17920</v>
      </c>
      <c r="H587" s="2" t="s">
        <v>10</v>
      </c>
      <c r="I587" s="2">
        <f>ABS(DF[[#This Row],[Quantity_BEFORE]])</f>
        <v>5</v>
      </c>
      <c r="J587" s="2">
        <f>DF[[#This Row],[QUANTITY]]*DF[[#This Row],[UnitPrice]]</f>
        <v>14.75</v>
      </c>
    </row>
    <row r="588" spans="1:10" x14ac:dyDescent="0.25">
      <c r="A588" s="2">
        <v>536412</v>
      </c>
      <c r="B588" s="2">
        <v>22271</v>
      </c>
      <c r="C588" s="2" t="s">
        <v>440</v>
      </c>
      <c r="D588" s="2">
        <v>2</v>
      </c>
      <c r="E588" s="8">
        <v>40513.492361111108</v>
      </c>
      <c r="F588" s="2">
        <v>2.95</v>
      </c>
      <c r="G588" s="2">
        <v>17920</v>
      </c>
      <c r="H588" s="2" t="s">
        <v>10</v>
      </c>
      <c r="I588" s="2">
        <f>ABS(DF[[#This Row],[Quantity_BEFORE]])</f>
        <v>2</v>
      </c>
      <c r="J588" s="2">
        <f>DF[[#This Row],[QUANTITY]]*DF[[#This Row],[UnitPrice]]</f>
        <v>5.9</v>
      </c>
    </row>
    <row r="589" spans="1:10" x14ac:dyDescent="0.25">
      <c r="A589" s="2">
        <v>536412</v>
      </c>
      <c r="B589" s="2">
        <v>22273</v>
      </c>
      <c r="C589" s="2" t="s">
        <v>429</v>
      </c>
      <c r="D589" s="2">
        <v>1</v>
      </c>
      <c r="E589" s="8">
        <v>40513.492361111108</v>
      </c>
      <c r="F589" s="2">
        <v>2.95</v>
      </c>
      <c r="G589" s="2">
        <v>17920</v>
      </c>
      <c r="H589" s="2" t="s">
        <v>10</v>
      </c>
      <c r="I589" s="2">
        <f>ABS(DF[[#This Row],[Quantity_BEFORE]])</f>
        <v>1</v>
      </c>
      <c r="J589" s="2">
        <f>DF[[#This Row],[QUANTITY]]*DF[[#This Row],[UnitPrice]]</f>
        <v>2.95</v>
      </c>
    </row>
    <row r="590" spans="1:10" x14ac:dyDescent="0.25">
      <c r="A590" s="2">
        <v>536412</v>
      </c>
      <c r="B590" s="2">
        <v>22274</v>
      </c>
      <c r="C590" s="2" t="s">
        <v>441</v>
      </c>
      <c r="D590" s="2">
        <v>2</v>
      </c>
      <c r="E590" s="8">
        <v>40513.492361111108</v>
      </c>
      <c r="F590" s="2">
        <v>2.95</v>
      </c>
      <c r="G590" s="2">
        <v>17920</v>
      </c>
      <c r="H590" s="2" t="s">
        <v>10</v>
      </c>
      <c r="I590" s="2">
        <f>ABS(DF[[#This Row],[Quantity_BEFORE]])</f>
        <v>2</v>
      </c>
      <c r="J590" s="2">
        <f>DF[[#This Row],[QUANTITY]]*DF[[#This Row],[UnitPrice]]</f>
        <v>5.9</v>
      </c>
    </row>
    <row r="591" spans="1:10" x14ac:dyDescent="0.25">
      <c r="A591" s="2">
        <v>536412</v>
      </c>
      <c r="B591" s="2">
        <v>22749</v>
      </c>
      <c r="C591" s="2" t="s">
        <v>25</v>
      </c>
      <c r="D591" s="2">
        <v>1</v>
      </c>
      <c r="E591" s="8">
        <v>40513.492361111108</v>
      </c>
      <c r="F591" s="2">
        <v>3.75</v>
      </c>
      <c r="G591" s="2">
        <v>17920</v>
      </c>
      <c r="H591" s="2" t="s">
        <v>10</v>
      </c>
      <c r="I591" s="2">
        <f>ABS(DF[[#This Row],[Quantity_BEFORE]])</f>
        <v>1</v>
      </c>
      <c r="J591" s="2">
        <f>DF[[#This Row],[QUANTITY]]*DF[[#This Row],[UnitPrice]]</f>
        <v>3.75</v>
      </c>
    </row>
    <row r="592" spans="1:10" x14ac:dyDescent="0.25">
      <c r="A592" s="2">
        <v>536412</v>
      </c>
      <c r="B592" s="2">
        <v>22751</v>
      </c>
      <c r="C592" s="2" t="s">
        <v>442</v>
      </c>
      <c r="D592" s="2">
        <v>2</v>
      </c>
      <c r="E592" s="8">
        <v>40513.492361111108</v>
      </c>
      <c r="F592" s="2">
        <v>3.75</v>
      </c>
      <c r="G592" s="2">
        <v>17920</v>
      </c>
      <c r="H592" s="2" t="s">
        <v>10</v>
      </c>
      <c r="I592" s="2">
        <f>ABS(DF[[#This Row],[Quantity_BEFORE]])</f>
        <v>2</v>
      </c>
      <c r="J592" s="2">
        <f>DF[[#This Row],[QUANTITY]]*DF[[#This Row],[UnitPrice]]</f>
        <v>7.5</v>
      </c>
    </row>
    <row r="593" spans="1:10" x14ac:dyDescent="0.25">
      <c r="A593" s="2">
        <v>536412</v>
      </c>
      <c r="B593" s="2">
        <v>21034</v>
      </c>
      <c r="C593" s="2" t="s">
        <v>443</v>
      </c>
      <c r="D593" s="2">
        <v>1</v>
      </c>
      <c r="E593" s="8">
        <v>40513.492361111108</v>
      </c>
      <c r="F593" s="2">
        <v>0.95</v>
      </c>
      <c r="G593" s="2">
        <v>17920</v>
      </c>
      <c r="H593" s="2" t="s">
        <v>10</v>
      </c>
      <c r="I593" s="2">
        <f>ABS(DF[[#This Row],[Quantity_BEFORE]])</f>
        <v>1</v>
      </c>
      <c r="J593" s="2">
        <f>DF[[#This Row],[QUANTITY]]*DF[[#This Row],[UnitPrice]]</f>
        <v>0.95</v>
      </c>
    </row>
    <row r="594" spans="1:10" x14ac:dyDescent="0.25">
      <c r="A594" s="2">
        <v>536412</v>
      </c>
      <c r="B594" s="2">
        <v>22273</v>
      </c>
      <c r="C594" s="2" t="s">
        <v>429</v>
      </c>
      <c r="D594" s="2">
        <v>2</v>
      </c>
      <c r="E594" s="8">
        <v>40513.492361111108</v>
      </c>
      <c r="F594" s="2">
        <v>2.95</v>
      </c>
      <c r="G594" s="2">
        <v>17920</v>
      </c>
      <c r="H594" s="2" t="s">
        <v>10</v>
      </c>
      <c r="I594" s="2">
        <f>ABS(DF[[#This Row],[Quantity_BEFORE]])</f>
        <v>2</v>
      </c>
      <c r="J594" s="2">
        <f>DF[[#This Row],[QUANTITY]]*DF[[#This Row],[UnitPrice]]</f>
        <v>5.9</v>
      </c>
    </row>
    <row r="595" spans="1:10" x14ac:dyDescent="0.25">
      <c r="A595" s="2">
        <v>536412</v>
      </c>
      <c r="B595" s="2">
        <v>22568</v>
      </c>
      <c r="C595" s="2" t="s">
        <v>386</v>
      </c>
      <c r="D595" s="2">
        <v>3</v>
      </c>
      <c r="E595" s="8">
        <v>40513.492361111108</v>
      </c>
      <c r="F595" s="2">
        <v>3.75</v>
      </c>
      <c r="G595" s="2">
        <v>17920</v>
      </c>
      <c r="H595" s="2" t="s">
        <v>10</v>
      </c>
      <c r="I595" s="2">
        <f>ABS(DF[[#This Row],[Quantity_BEFORE]])</f>
        <v>3</v>
      </c>
      <c r="J595" s="2">
        <f>DF[[#This Row],[QUANTITY]]*DF[[#This Row],[UnitPrice]]</f>
        <v>11.25</v>
      </c>
    </row>
    <row r="596" spans="1:10" x14ac:dyDescent="0.25">
      <c r="A596" s="2">
        <v>536412</v>
      </c>
      <c r="B596" s="2">
        <v>22141</v>
      </c>
      <c r="C596" s="2" t="s">
        <v>437</v>
      </c>
      <c r="D596" s="2">
        <v>1</v>
      </c>
      <c r="E596" s="8">
        <v>40513.492361111108</v>
      </c>
      <c r="F596" s="2">
        <v>2.1</v>
      </c>
      <c r="G596" s="2">
        <v>17920</v>
      </c>
      <c r="H596" s="2" t="s">
        <v>10</v>
      </c>
      <c r="I596" s="2">
        <f>ABS(DF[[#This Row],[Quantity_BEFORE]])</f>
        <v>1</v>
      </c>
      <c r="J596" s="2">
        <f>DF[[#This Row],[QUANTITY]]*DF[[#This Row],[UnitPrice]]</f>
        <v>2.1</v>
      </c>
    </row>
    <row r="597" spans="1:10" x14ac:dyDescent="0.25">
      <c r="A597" s="2">
        <v>536412</v>
      </c>
      <c r="B597" s="2">
        <v>22144</v>
      </c>
      <c r="C597" s="2" t="s">
        <v>438</v>
      </c>
      <c r="D597" s="2">
        <v>1</v>
      </c>
      <c r="E597" s="8">
        <v>40513.492361111108</v>
      </c>
      <c r="F597" s="2">
        <v>2.1</v>
      </c>
      <c r="G597" s="2">
        <v>17920</v>
      </c>
      <c r="H597" s="2" t="s">
        <v>10</v>
      </c>
      <c r="I597" s="2">
        <f>ABS(DF[[#This Row],[Quantity_BEFORE]])</f>
        <v>1</v>
      </c>
      <c r="J597" s="2">
        <f>DF[[#This Row],[QUANTITY]]*DF[[#This Row],[UnitPrice]]</f>
        <v>2.1</v>
      </c>
    </row>
    <row r="598" spans="1:10" x14ac:dyDescent="0.25">
      <c r="A598" s="2">
        <v>536412</v>
      </c>
      <c r="B598" s="2">
        <v>22570</v>
      </c>
      <c r="C598" s="2" t="s">
        <v>444</v>
      </c>
      <c r="D598" s="2">
        <v>3</v>
      </c>
      <c r="E598" s="8">
        <v>40513.492361111108</v>
      </c>
      <c r="F598" s="2">
        <v>3.75</v>
      </c>
      <c r="G598" s="2">
        <v>17920</v>
      </c>
      <c r="H598" s="2" t="s">
        <v>10</v>
      </c>
      <c r="I598" s="2">
        <f>ABS(DF[[#This Row],[Quantity_BEFORE]])</f>
        <v>3</v>
      </c>
      <c r="J598" s="2">
        <f>DF[[#This Row],[QUANTITY]]*DF[[#This Row],[UnitPrice]]</f>
        <v>11.25</v>
      </c>
    </row>
    <row r="599" spans="1:10" x14ac:dyDescent="0.25">
      <c r="A599" s="2">
        <v>536412</v>
      </c>
      <c r="B599" s="2">
        <v>22569</v>
      </c>
      <c r="C599" s="2" t="s">
        <v>445</v>
      </c>
      <c r="D599" s="2">
        <v>2</v>
      </c>
      <c r="E599" s="8">
        <v>40513.492361111108</v>
      </c>
      <c r="F599" s="2">
        <v>3.75</v>
      </c>
      <c r="G599" s="2">
        <v>17920</v>
      </c>
      <c r="H599" s="2" t="s">
        <v>10</v>
      </c>
      <c r="I599" s="2">
        <f>ABS(DF[[#This Row],[Quantity_BEFORE]])</f>
        <v>2</v>
      </c>
      <c r="J599" s="2">
        <f>DF[[#This Row],[QUANTITY]]*DF[[#This Row],[UnitPrice]]</f>
        <v>7.5</v>
      </c>
    </row>
    <row r="600" spans="1:10" x14ac:dyDescent="0.25">
      <c r="A600" s="2">
        <v>536412</v>
      </c>
      <c r="B600" s="2">
        <v>21448</v>
      </c>
      <c r="C600" s="2" t="s">
        <v>435</v>
      </c>
      <c r="D600" s="2">
        <v>1</v>
      </c>
      <c r="E600" s="8">
        <v>40513.492361111108</v>
      </c>
      <c r="F600" s="2">
        <v>1.65</v>
      </c>
      <c r="G600" s="2">
        <v>17920</v>
      </c>
      <c r="H600" s="2" t="s">
        <v>10</v>
      </c>
      <c r="I600" s="2">
        <f>ABS(DF[[#This Row],[Quantity_BEFORE]])</f>
        <v>1</v>
      </c>
      <c r="J600" s="2">
        <f>DF[[#This Row],[QUANTITY]]*DF[[#This Row],[UnitPrice]]</f>
        <v>1.65</v>
      </c>
    </row>
    <row r="601" spans="1:10" x14ac:dyDescent="0.25">
      <c r="A601" s="2">
        <v>536412</v>
      </c>
      <c r="B601" s="2">
        <v>22086</v>
      </c>
      <c r="C601" s="2" t="s">
        <v>61</v>
      </c>
      <c r="D601" s="2">
        <v>1</v>
      </c>
      <c r="E601" s="8">
        <v>40513.492361111108</v>
      </c>
      <c r="F601" s="2">
        <v>2.95</v>
      </c>
      <c r="G601" s="2">
        <v>17920</v>
      </c>
      <c r="H601" s="2" t="s">
        <v>10</v>
      </c>
      <c r="I601" s="2">
        <f>ABS(DF[[#This Row],[Quantity_BEFORE]])</f>
        <v>1</v>
      </c>
      <c r="J601" s="2">
        <f>DF[[#This Row],[QUANTITY]]*DF[[#This Row],[UnitPrice]]</f>
        <v>2.95</v>
      </c>
    </row>
    <row r="602" spans="1:10" x14ac:dyDescent="0.25">
      <c r="A602" s="2">
        <v>536412</v>
      </c>
      <c r="B602" s="2">
        <v>22569</v>
      </c>
      <c r="C602" s="2" t="s">
        <v>445</v>
      </c>
      <c r="D602" s="2">
        <v>2</v>
      </c>
      <c r="E602" s="8">
        <v>40513.492361111108</v>
      </c>
      <c r="F602" s="2">
        <v>3.75</v>
      </c>
      <c r="G602" s="2">
        <v>17920</v>
      </c>
      <c r="H602" s="2" t="s">
        <v>10</v>
      </c>
      <c r="I602" s="2">
        <f>ABS(DF[[#This Row],[Quantity_BEFORE]])</f>
        <v>2</v>
      </c>
      <c r="J602" s="2">
        <f>DF[[#This Row],[QUANTITY]]*DF[[#This Row],[UnitPrice]]</f>
        <v>7.5</v>
      </c>
    </row>
    <row r="603" spans="1:10" x14ac:dyDescent="0.25">
      <c r="A603" s="2">
        <v>536412</v>
      </c>
      <c r="B603" s="2">
        <v>21448</v>
      </c>
      <c r="C603" s="2" t="s">
        <v>435</v>
      </c>
      <c r="D603" s="2">
        <v>2</v>
      </c>
      <c r="E603" s="8">
        <v>40513.492361111108</v>
      </c>
      <c r="F603" s="2">
        <v>1.65</v>
      </c>
      <c r="G603" s="2">
        <v>17920</v>
      </c>
      <c r="H603" s="2" t="s">
        <v>10</v>
      </c>
      <c r="I603" s="2">
        <f>ABS(DF[[#This Row],[Quantity_BEFORE]])</f>
        <v>2</v>
      </c>
      <c r="J603" s="2">
        <f>DF[[#This Row],[QUANTITY]]*DF[[#This Row],[UnitPrice]]</f>
        <v>3.3</v>
      </c>
    </row>
    <row r="604" spans="1:10" x14ac:dyDescent="0.25">
      <c r="A604" s="2">
        <v>536412</v>
      </c>
      <c r="B604" s="2">
        <v>22968</v>
      </c>
      <c r="C604" s="2" t="s">
        <v>203</v>
      </c>
      <c r="D604" s="2">
        <v>4</v>
      </c>
      <c r="E604" s="8">
        <v>40513.492361111108</v>
      </c>
      <c r="F604" s="2">
        <v>9.9499999999999993</v>
      </c>
      <c r="G604" s="2">
        <v>17920</v>
      </c>
      <c r="H604" s="2" t="s">
        <v>10</v>
      </c>
      <c r="I604" s="2">
        <f>ABS(DF[[#This Row],[Quantity_BEFORE]])</f>
        <v>4</v>
      </c>
      <c r="J604" s="2">
        <f>DF[[#This Row],[QUANTITY]]*DF[[#This Row],[UnitPrice]]</f>
        <v>39.799999999999997</v>
      </c>
    </row>
    <row r="605" spans="1:10" x14ac:dyDescent="0.25">
      <c r="A605" s="2">
        <v>536412</v>
      </c>
      <c r="B605" s="2">
        <v>22902</v>
      </c>
      <c r="C605" s="2" t="s">
        <v>446</v>
      </c>
      <c r="D605" s="2">
        <v>7</v>
      </c>
      <c r="E605" s="8">
        <v>40513.492361111108</v>
      </c>
      <c r="F605" s="2">
        <v>2.1</v>
      </c>
      <c r="G605" s="2">
        <v>17920</v>
      </c>
      <c r="H605" s="2" t="s">
        <v>10</v>
      </c>
      <c r="I605" s="2">
        <f>ABS(DF[[#This Row],[Quantity_BEFORE]])</f>
        <v>7</v>
      </c>
      <c r="J605" s="2">
        <f>DF[[#This Row],[QUANTITY]]*DF[[#This Row],[UnitPrice]]</f>
        <v>14.700000000000001</v>
      </c>
    </row>
    <row r="606" spans="1:10" x14ac:dyDescent="0.25">
      <c r="A606" s="2">
        <v>536412</v>
      </c>
      <c r="B606" s="2">
        <v>21448</v>
      </c>
      <c r="C606" s="2" t="s">
        <v>435</v>
      </c>
      <c r="D606" s="2">
        <v>2</v>
      </c>
      <c r="E606" s="8">
        <v>40513.492361111108</v>
      </c>
      <c r="F606" s="2">
        <v>1.65</v>
      </c>
      <c r="G606" s="2">
        <v>17920</v>
      </c>
      <c r="H606" s="2" t="s">
        <v>10</v>
      </c>
      <c r="I606" s="2">
        <f>ABS(DF[[#This Row],[Quantity_BEFORE]])</f>
        <v>2</v>
      </c>
      <c r="J606" s="2">
        <f>DF[[#This Row],[QUANTITY]]*DF[[#This Row],[UnitPrice]]</f>
        <v>3.3</v>
      </c>
    </row>
    <row r="607" spans="1:10" x14ac:dyDescent="0.25">
      <c r="A607" s="2">
        <v>536412</v>
      </c>
      <c r="B607" s="2">
        <v>22902</v>
      </c>
      <c r="C607" s="2" t="s">
        <v>446</v>
      </c>
      <c r="D607" s="2">
        <v>7</v>
      </c>
      <c r="E607" s="8">
        <v>40513.492361111108</v>
      </c>
      <c r="F607" s="2">
        <v>2.1</v>
      </c>
      <c r="G607" s="2">
        <v>17920</v>
      </c>
      <c r="H607" s="2" t="s">
        <v>10</v>
      </c>
      <c r="I607" s="2">
        <f>ABS(DF[[#This Row],[Quantity_BEFORE]])</f>
        <v>7</v>
      </c>
      <c r="J607" s="2">
        <f>DF[[#This Row],[QUANTITY]]*DF[[#This Row],[UnitPrice]]</f>
        <v>14.700000000000001</v>
      </c>
    </row>
    <row r="608" spans="1:10" x14ac:dyDescent="0.25">
      <c r="A608" s="2">
        <v>536412</v>
      </c>
      <c r="B608" s="2">
        <v>21710</v>
      </c>
      <c r="C608" s="2" t="s">
        <v>447</v>
      </c>
      <c r="D608" s="2">
        <v>1</v>
      </c>
      <c r="E608" s="8">
        <v>40513.492361111108</v>
      </c>
      <c r="F608" s="2">
        <v>4.95</v>
      </c>
      <c r="G608" s="2">
        <v>17920</v>
      </c>
      <c r="H608" s="2" t="s">
        <v>10</v>
      </c>
      <c r="I608" s="2">
        <f>ABS(DF[[#This Row],[Quantity_BEFORE]])</f>
        <v>1</v>
      </c>
      <c r="J608" s="2">
        <f>DF[[#This Row],[QUANTITY]]*DF[[#This Row],[UnitPrice]]</f>
        <v>4.95</v>
      </c>
    </row>
    <row r="609" spans="1:10" x14ac:dyDescent="0.25">
      <c r="A609" s="2">
        <v>536412</v>
      </c>
      <c r="B609" s="2">
        <v>21708</v>
      </c>
      <c r="C609" s="2" t="s">
        <v>448</v>
      </c>
      <c r="D609" s="2">
        <v>1</v>
      </c>
      <c r="E609" s="8">
        <v>40513.492361111108</v>
      </c>
      <c r="F609" s="2">
        <v>4.95</v>
      </c>
      <c r="G609" s="2">
        <v>17920</v>
      </c>
      <c r="H609" s="2" t="s">
        <v>10</v>
      </c>
      <c r="I609" s="2">
        <f>ABS(DF[[#This Row],[Quantity_BEFORE]])</f>
        <v>1</v>
      </c>
      <c r="J609" s="2">
        <f>DF[[#This Row],[QUANTITY]]*DF[[#This Row],[UnitPrice]]</f>
        <v>4.95</v>
      </c>
    </row>
    <row r="610" spans="1:10" x14ac:dyDescent="0.25">
      <c r="A610" s="2">
        <v>536412</v>
      </c>
      <c r="B610" s="2">
        <v>21711</v>
      </c>
      <c r="C610" s="2" t="s">
        <v>449</v>
      </c>
      <c r="D610" s="2">
        <v>1</v>
      </c>
      <c r="E610" s="8">
        <v>40513.492361111108</v>
      </c>
      <c r="F610" s="2">
        <v>4.95</v>
      </c>
      <c r="G610" s="2">
        <v>17920</v>
      </c>
      <c r="H610" s="2" t="s">
        <v>10</v>
      </c>
      <c r="I610" s="2">
        <f>ABS(DF[[#This Row],[Quantity_BEFORE]])</f>
        <v>1</v>
      </c>
      <c r="J610" s="2">
        <f>DF[[#This Row],[QUANTITY]]*DF[[#This Row],[UnitPrice]]</f>
        <v>4.95</v>
      </c>
    </row>
    <row r="611" spans="1:10" x14ac:dyDescent="0.25">
      <c r="A611" s="2">
        <v>536412</v>
      </c>
      <c r="B611" s="2">
        <v>22179</v>
      </c>
      <c r="C611" s="2" t="s">
        <v>450</v>
      </c>
      <c r="D611" s="2">
        <v>2</v>
      </c>
      <c r="E611" s="8">
        <v>40513.492361111108</v>
      </c>
      <c r="F611" s="2">
        <v>6.75</v>
      </c>
      <c r="G611" s="2">
        <v>17920</v>
      </c>
      <c r="H611" s="2" t="s">
        <v>10</v>
      </c>
      <c r="I611" s="2">
        <f>ABS(DF[[#This Row],[Quantity_BEFORE]])</f>
        <v>2</v>
      </c>
      <c r="J611" s="2">
        <f>DF[[#This Row],[QUANTITY]]*DF[[#This Row],[UnitPrice]]</f>
        <v>13.5</v>
      </c>
    </row>
    <row r="612" spans="1:10" x14ac:dyDescent="0.25">
      <c r="A612" s="2">
        <v>536412</v>
      </c>
      <c r="B612" s="2">
        <v>22197</v>
      </c>
      <c r="C612" s="2" t="s">
        <v>208</v>
      </c>
      <c r="D612" s="2">
        <v>5</v>
      </c>
      <c r="E612" s="8">
        <v>40513.492361111108</v>
      </c>
      <c r="F612" s="2">
        <v>0.85</v>
      </c>
      <c r="G612" s="2">
        <v>17920</v>
      </c>
      <c r="H612" s="2" t="s">
        <v>10</v>
      </c>
      <c r="I612" s="2">
        <f>ABS(DF[[#This Row],[Quantity_BEFORE]])</f>
        <v>5</v>
      </c>
      <c r="J612" s="2">
        <f>DF[[#This Row],[QUANTITY]]*DF[[#This Row],[UnitPrice]]</f>
        <v>4.25</v>
      </c>
    </row>
    <row r="613" spans="1:10" x14ac:dyDescent="0.25">
      <c r="A613" s="2">
        <v>536412</v>
      </c>
      <c r="B613" s="2">
        <v>22900</v>
      </c>
      <c r="C613" s="2" t="s">
        <v>54</v>
      </c>
      <c r="D613" s="2">
        <v>2</v>
      </c>
      <c r="E613" s="8">
        <v>40513.492361111108</v>
      </c>
      <c r="F613" s="2">
        <v>2.95</v>
      </c>
      <c r="G613" s="2">
        <v>17920</v>
      </c>
      <c r="H613" s="2" t="s">
        <v>10</v>
      </c>
      <c r="I613" s="2">
        <f>ABS(DF[[#This Row],[Quantity_BEFORE]])</f>
        <v>2</v>
      </c>
      <c r="J613" s="2">
        <f>DF[[#This Row],[QUANTITY]]*DF[[#This Row],[UnitPrice]]</f>
        <v>5.9</v>
      </c>
    </row>
    <row r="614" spans="1:10" x14ac:dyDescent="0.25">
      <c r="A614" s="2">
        <v>536412</v>
      </c>
      <c r="B614" s="2">
        <v>21706</v>
      </c>
      <c r="C614" s="2" t="s">
        <v>451</v>
      </c>
      <c r="D614" s="2">
        <v>1</v>
      </c>
      <c r="E614" s="8">
        <v>40513.492361111108</v>
      </c>
      <c r="F614" s="2">
        <v>4.95</v>
      </c>
      <c r="G614" s="2">
        <v>17920</v>
      </c>
      <c r="H614" s="2" t="s">
        <v>10</v>
      </c>
      <c r="I614" s="2">
        <f>ABS(DF[[#This Row],[Quantity_BEFORE]])</f>
        <v>1</v>
      </c>
      <c r="J614" s="2">
        <f>DF[[#This Row],[QUANTITY]]*DF[[#This Row],[UnitPrice]]</f>
        <v>4.95</v>
      </c>
    </row>
    <row r="615" spans="1:10" x14ac:dyDescent="0.25">
      <c r="A615" s="2">
        <v>536412</v>
      </c>
      <c r="B615" s="2">
        <v>22468</v>
      </c>
      <c r="C615" s="2" t="s">
        <v>253</v>
      </c>
      <c r="D615" s="2">
        <v>2</v>
      </c>
      <c r="E615" s="8">
        <v>40513.492361111108</v>
      </c>
      <c r="F615" s="2">
        <v>6.75</v>
      </c>
      <c r="G615" s="2">
        <v>17920</v>
      </c>
      <c r="H615" s="2" t="s">
        <v>10</v>
      </c>
      <c r="I615" s="2">
        <f>ABS(DF[[#This Row],[Quantity_BEFORE]])</f>
        <v>2</v>
      </c>
      <c r="J615" s="2">
        <f>DF[[#This Row],[QUANTITY]]*DF[[#This Row],[UnitPrice]]</f>
        <v>13.5</v>
      </c>
    </row>
    <row r="616" spans="1:10" x14ac:dyDescent="0.25">
      <c r="A616" s="2">
        <v>536412</v>
      </c>
      <c r="B616" s="2">
        <v>20725</v>
      </c>
      <c r="C616" s="2" t="s">
        <v>85</v>
      </c>
      <c r="D616" s="2">
        <v>1</v>
      </c>
      <c r="E616" s="8">
        <v>40513.492361111108</v>
      </c>
      <c r="F616" s="2">
        <v>1.65</v>
      </c>
      <c r="G616" s="2">
        <v>17920</v>
      </c>
      <c r="H616" s="2" t="s">
        <v>10</v>
      </c>
      <c r="I616" s="2">
        <f>ABS(DF[[#This Row],[Quantity_BEFORE]])</f>
        <v>1</v>
      </c>
      <c r="J616" s="2">
        <f>DF[[#This Row],[QUANTITY]]*DF[[#This Row],[UnitPrice]]</f>
        <v>1.65</v>
      </c>
    </row>
    <row r="617" spans="1:10" x14ac:dyDescent="0.25">
      <c r="A617" s="2">
        <v>536412</v>
      </c>
      <c r="B617" s="2" t="s">
        <v>452</v>
      </c>
      <c r="C617" s="2" t="s">
        <v>453</v>
      </c>
      <c r="D617" s="2">
        <v>1</v>
      </c>
      <c r="E617" s="8">
        <v>40513.492361111108</v>
      </c>
      <c r="F617" s="2">
        <v>2.95</v>
      </c>
      <c r="G617" s="2">
        <v>17920</v>
      </c>
      <c r="H617" s="2" t="s">
        <v>10</v>
      </c>
      <c r="I617" s="2">
        <f>ABS(DF[[#This Row],[Quantity_BEFORE]])</f>
        <v>1</v>
      </c>
      <c r="J617" s="2">
        <f>DF[[#This Row],[QUANTITY]]*DF[[#This Row],[UnitPrice]]</f>
        <v>2.95</v>
      </c>
    </row>
    <row r="618" spans="1:10" x14ac:dyDescent="0.25">
      <c r="A618" s="2">
        <v>536412</v>
      </c>
      <c r="B618" s="2">
        <v>21708</v>
      </c>
      <c r="C618" s="2" t="s">
        <v>448</v>
      </c>
      <c r="D618" s="2">
        <v>1</v>
      </c>
      <c r="E618" s="8">
        <v>40513.492361111108</v>
      </c>
      <c r="F618" s="2">
        <v>4.95</v>
      </c>
      <c r="G618" s="2">
        <v>17920</v>
      </c>
      <c r="H618" s="2" t="s">
        <v>10</v>
      </c>
      <c r="I618" s="2">
        <f>ABS(DF[[#This Row],[Quantity_BEFORE]])</f>
        <v>1</v>
      </c>
      <c r="J618" s="2">
        <f>DF[[#This Row],[QUANTITY]]*DF[[#This Row],[UnitPrice]]</f>
        <v>4.95</v>
      </c>
    </row>
    <row r="619" spans="1:10" x14ac:dyDescent="0.25">
      <c r="A619" s="2">
        <v>536412</v>
      </c>
      <c r="B619" s="2">
        <v>22900</v>
      </c>
      <c r="C619" s="2" t="s">
        <v>54</v>
      </c>
      <c r="D619" s="2">
        <v>2</v>
      </c>
      <c r="E619" s="8">
        <v>40513.492361111108</v>
      </c>
      <c r="F619" s="2">
        <v>2.95</v>
      </c>
      <c r="G619" s="2">
        <v>17920</v>
      </c>
      <c r="H619" s="2" t="s">
        <v>10</v>
      </c>
      <c r="I619" s="2">
        <f>ABS(DF[[#This Row],[Quantity_BEFORE]])</f>
        <v>2</v>
      </c>
      <c r="J619" s="2">
        <f>DF[[#This Row],[QUANTITY]]*DF[[#This Row],[UnitPrice]]</f>
        <v>5.9</v>
      </c>
    </row>
    <row r="620" spans="1:10" x14ac:dyDescent="0.25">
      <c r="A620" s="2">
        <v>536412</v>
      </c>
      <c r="B620" s="2">
        <v>21706</v>
      </c>
      <c r="C620" s="2" t="s">
        <v>451</v>
      </c>
      <c r="D620" s="2">
        <v>1</v>
      </c>
      <c r="E620" s="8">
        <v>40513.492361111108</v>
      </c>
      <c r="F620" s="2">
        <v>4.95</v>
      </c>
      <c r="G620" s="2">
        <v>17920</v>
      </c>
      <c r="H620" s="2" t="s">
        <v>10</v>
      </c>
      <c r="I620" s="2">
        <f>ABS(DF[[#This Row],[Quantity_BEFORE]])</f>
        <v>1</v>
      </c>
      <c r="J620" s="2">
        <f>DF[[#This Row],[QUANTITY]]*DF[[#This Row],[UnitPrice]]</f>
        <v>4.95</v>
      </c>
    </row>
    <row r="621" spans="1:10" x14ac:dyDescent="0.25">
      <c r="A621" s="2">
        <v>536412</v>
      </c>
      <c r="B621" s="2">
        <v>22988</v>
      </c>
      <c r="C621" s="2" t="s">
        <v>454</v>
      </c>
      <c r="D621" s="2">
        <v>6</v>
      </c>
      <c r="E621" s="8">
        <v>40513.492361111108</v>
      </c>
      <c r="F621" s="2">
        <v>1.25</v>
      </c>
      <c r="G621" s="2">
        <v>17920</v>
      </c>
      <c r="H621" s="2" t="s">
        <v>10</v>
      </c>
      <c r="I621" s="2">
        <f>ABS(DF[[#This Row],[Quantity_BEFORE]])</f>
        <v>6</v>
      </c>
      <c r="J621" s="2">
        <f>DF[[#This Row],[QUANTITY]]*DF[[#This Row],[UnitPrice]]</f>
        <v>7.5</v>
      </c>
    </row>
    <row r="622" spans="1:10" x14ac:dyDescent="0.25">
      <c r="A622" s="2">
        <v>536412</v>
      </c>
      <c r="B622" s="2" t="s">
        <v>452</v>
      </c>
      <c r="C622" s="2" t="s">
        <v>453</v>
      </c>
      <c r="D622" s="2">
        <v>1</v>
      </c>
      <c r="E622" s="8">
        <v>40513.492361111108</v>
      </c>
      <c r="F622" s="2">
        <v>2.95</v>
      </c>
      <c r="G622" s="2">
        <v>17920</v>
      </c>
      <c r="H622" s="2" t="s">
        <v>10</v>
      </c>
      <c r="I622" s="2">
        <f>ABS(DF[[#This Row],[Quantity_BEFORE]])</f>
        <v>1</v>
      </c>
      <c r="J622" s="2">
        <f>DF[[#This Row],[QUANTITY]]*DF[[#This Row],[UnitPrice]]</f>
        <v>2.95</v>
      </c>
    </row>
    <row r="623" spans="1:10" x14ac:dyDescent="0.25">
      <c r="A623" s="2">
        <v>536412</v>
      </c>
      <c r="B623" s="2">
        <v>20750</v>
      </c>
      <c r="C623" s="2" t="s">
        <v>455</v>
      </c>
      <c r="D623" s="2">
        <v>1</v>
      </c>
      <c r="E623" s="8">
        <v>40513.492361111108</v>
      </c>
      <c r="F623" s="2">
        <v>7.95</v>
      </c>
      <c r="G623" s="2">
        <v>17920</v>
      </c>
      <c r="H623" s="2" t="s">
        <v>10</v>
      </c>
      <c r="I623" s="2">
        <f>ABS(DF[[#This Row],[Quantity_BEFORE]])</f>
        <v>1</v>
      </c>
      <c r="J623" s="2">
        <f>DF[[#This Row],[QUANTITY]]*DF[[#This Row],[UnitPrice]]</f>
        <v>7.95</v>
      </c>
    </row>
    <row r="624" spans="1:10" x14ac:dyDescent="0.25">
      <c r="A624" s="2">
        <v>536414</v>
      </c>
      <c r="B624" s="2">
        <v>22139</v>
      </c>
      <c r="C624" s="2"/>
      <c r="D624" s="2">
        <v>56</v>
      </c>
      <c r="E624" s="8">
        <v>40513.494444444441</v>
      </c>
      <c r="F624" s="2">
        <v>0</v>
      </c>
      <c r="G624" s="2"/>
      <c r="H624" s="2" t="s">
        <v>10</v>
      </c>
      <c r="I624" s="2">
        <f>ABS(DF[[#This Row],[Quantity_BEFORE]])</f>
        <v>56</v>
      </c>
      <c r="J624" s="2">
        <f>DF[[#This Row],[QUANTITY]]*DF[[#This Row],[UnitPrice]]</f>
        <v>0</v>
      </c>
    </row>
    <row r="625" spans="1:10" x14ac:dyDescent="0.25">
      <c r="A625" s="2">
        <v>536415</v>
      </c>
      <c r="B625" s="2">
        <v>22952</v>
      </c>
      <c r="C625" s="2" t="s">
        <v>456</v>
      </c>
      <c r="D625" s="2">
        <v>10</v>
      </c>
      <c r="E625" s="8">
        <v>40513.497916666667</v>
      </c>
      <c r="F625" s="2">
        <v>0.55000000000000004</v>
      </c>
      <c r="G625" s="2">
        <v>12838</v>
      </c>
      <c r="H625" s="2" t="s">
        <v>10</v>
      </c>
      <c r="I625" s="2">
        <f>ABS(DF[[#This Row],[Quantity_BEFORE]])</f>
        <v>10</v>
      </c>
      <c r="J625" s="2">
        <f>DF[[#This Row],[QUANTITY]]*DF[[#This Row],[UnitPrice]]</f>
        <v>5.5</v>
      </c>
    </row>
    <row r="626" spans="1:10" x14ac:dyDescent="0.25">
      <c r="A626" s="2">
        <v>536415</v>
      </c>
      <c r="B626" s="2">
        <v>22910</v>
      </c>
      <c r="C626" s="2" t="s">
        <v>206</v>
      </c>
      <c r="D626" s="2">
        <v>5</v>
      </c>
      <c r="E626" s="8">
        <v>40513.497916666667</v>
      </c>
      <c r="F626" s="2">
        <v>2.95</v>
      </c>
      <c r="G626" s="2">
        <v>12838</v>
      </c>
      <c r="H626" s="2" t="s">
        <v>10</v>
      </c>
      <c r="I626" s="2">
        <f>ABS(DF[[#This Row],[Quantity_BEFORE]])</f>
        <v>5</v>
      </c>
      <c r="J626" s="2">
        <f>DF[[#This Row],[QUANTITY]]*DF[[#This Row],[UnitPrice]]</f>
        <v>14.75</v>
      </c>
    </row>
    <row r="627" spans="1:10" x14ac:dyDescent="0.25">
      <c r="A627" s="2">
        <v>536415</v>
      </c>
      <c r="B627" s="2">
        <v>22739</v>
      </c>
      <c r="C627" s="2" t="s">
        <v>457</v>
      </c>
      <c r="D627" s="2">
        <v>3</v>
      </c>
      <c r="E627" s="8">
        <v>40513.497916666667</v>
      </c>
      <c r="F627" s="2">
        <v>1.65</v>
      </c>
      <c r="G627" s="2">
        <v>12838</v>
      </c>
      <c r="H627" s="2" t="s">
        <v>10</v>
      </c>
      <c r="I627" s="2">
        <f>ABS(DF[[#This Row],[Quantity_BEFORE]])</f>
        <v>3</v>
      </c>
      <c r="J627" s="2">
        <f>DF[[#This Row],[QUANTITY]]*DF[[#This Row],[UnitPrice]]</f>
        <v>4.9499999999999993</v>
      </c>
    </row>
    <row r="628" spans="1:10" x14ac:dyDescent="0.25">
      <c r="A628" s="2">
        <v>536415</v>
      </c>
      <c r="B628" s="2">
        <v>22738</v>
      </c>
      <c r="C628" s="2" t="s">
        <v>458</v>
      </c>
      <c r="D628" s="2">
        <v>3</v>
      </c>
      <c r="E628" s="8">
        <v>40513.497916666667</v>
      </c>
      <c r="F628" s="2">
        <v>1.65</v>
      </c>
      <c r="G628" s="2">
        <v>12838</v>
      </c>
      <c r="H628" s="2" t="s">
        <v>10</v>
      </c>
      <c r="I628" s="2">
        <f>ABS(DF[[#This Row],[Quantity_BEFORE]])</f>
        <v>3</v>
      </c>
      <c r="J628" s="2">
        <f>DF[[#This Row],[QUANTITY]]*DF[[#This Row],[UnitPrice]]</f>
        <v>4.9499999999999993</v>
      </c>
    </row>
    <row r="629" spans="1:10" x14ac:dyDescent="0.25">
      <c r="A629" s="2">
        <v>536415</v>
      </c>
      <c r="B629" s="2">
        <v>22736</v>
      </c>
      <c r="C629" s="2" t="s">
        <v>378</v>
      </c>
      <c r="D629" s="2">
        <v>3</v>
      </c>
      <c r="E629" s="8">
        <v>40513.497916666667</v>
      </c>
      <c r="F629" s="2">
        <v>1.65</v>
      </c>
      <c r="G629" s="2">
        <v>12838</v>
      </c>
      <c r="H629" s="2" t="s">
        <v>10</v>
      </c>
      <c r="I629" s="2">
        <f>ABS(DF[[#This Row],[Quantity_BEFORE]])</f>
        <v>3</v>
      </c>
      <c r="J629" s="2">
        <f>DF[[#This Row],[QUANTITY]]*DF[[#This Row],[UnitPrice]]</f>
        <v>4.9499999999999993</v>
      </c>
    </row>
    <row r="630" spans="1:10" x14ac:dyDescent="0.25">
      <c r="A630" s="2">
        <v>536415</v>
      </c>
      <c r="B630" s="2">
        <v>22909</v>
      </c>
      <c r="C630" s="2" t="s">
        <v>459</v>
      </c>
      <c r="D630" s="2">
        <v>5</v>
      </c>
      <c r="E630" s="8">
        <v>40513.497916666667</v>
      </c>
      <c r="F630" s="2">
        <v>0.85</v>
      </c>
      <c r="G630" s="2">
        <v>12838</v>
      </c>
      <c r="H630" s="2" t="s">
        <v>10</v>
      </c>
      <c r="I630" s="2">
        <f>ABS(DF[[#This Row],[Quantity_BEFORE]])</f>
        <v>5</v>
      </c>
      <c r="J630" s="2">
        <f>DF[[#This Row],[QUANTITY]]*DF[[#This Row],[UnitPrice]]</f>
        <v>4.25</v>
      </c>
    </row>
    <row r="631" spans="1:10" x14ac:dyDescent="0.25">
      <c r="A631" s="2">
        <v>536415</v>
      </c>
      <c r="B631" s="2" t="s">
        <v>460</v>
      </c>
      <c r="C631" s="2" t="s">
        <v>461</v>
      </c>
      <c r="D631" s="2">
        <v>2</v>
      </c>
      <c r="E631" s="8">
        <v>40513.497916666667</v>
      </c>
      <c r="F631" s="2">
        <v>1.25</v>
      </c>
      <c r="G631" s="2">
        <v>12838</v>
      </c>
      <c r="H631" s="2" t="s">
        <v>10</v>
      </c>
      <c r="I631" s="2">
        <f>ABS(DF[[#This Row],[Quantity_BEFORE]])</f>
        <v>2</v>
      </c>
      <c r="J631" s="2">
        <f>DF[[#This Row],[QUANTITY]]*DF[[#This Row],[UnitPrice]]</f>
        <v>2.5</v>
      </c>
    </row>
    <row r="632" spans="1:10" x14ac:dyDescent="0.25">
      <c r="A632" s="2">
        <v>536415</v>
      </c>
      <c r="B632" s="2">
        <v>22186</v>
      </c>
      <c r="C632" s="2" t="s">
        <v>462</v>
      </c>
      <c r="D632" s="2">
        <v>5</v>
      </c>
      <c r="E632" s="8">
        <v>40513.497916666667</v>
      </c>
      <c r="F632" s="2">
        <v>2.95</v>
      </c>
      <c r="G632" s="2">
        <v>12838</v>
      </c>
      <c r="H632" s="2" t="s">
        <v>10</v>
      </c>
      <c r="I632" s="2">
        <f>ABS(DF[[#This Row],[Quantity_BEFORE]])</f>
        <v>5</v>
      </c>
      <c r="J632" s="2">
        <f>DF[[#This Row],[QUANTITY]]*DF[[#This Row],[UnitPrice]]</f>
        <v>14.75</v>
      </c>
    </row>
    <row r="633" spans="1:10" x14ac:dyDescent="0.25">
      <c r="A633" s="2">
        <v>536415</v>
      </c>
      <c r="B633" s="2">
        <v>22695</v>
      </c>
      <c r="C633" s="2" t="s">
        <v>463</v>
      </c>
      <c r="D633" s="2">
        <v>3</v>
      </c>
      <c r="E633" s="8">
        <v>40513.497916666667</v>
      </c>
      <c r="F633" s="2">
        <v>1.45</v>
      </c>
      <c r="G633" s="2">
        <v>12838</v>
      </c>
      <c r="H633" s="2" t="s">
        <v>10</v>
      </c>
      <c r="I633" s="2">
        <f>ABS(DF[[#This Row],[Quantity_BEFORE]])</f>
        <v>3</v>
      </c>
      <c r="J633" s="2">
        <f>DF[[#This Row],[QUANTITY]]*DF[[#This Row],[UnitPrice]]</f>
        <v>4.3499999999999996</v>
      </c>
    </row>
    <row r="634" spans="1:10" x14ac:dyDescent="0.25">
      <c r="A634" s="2">
        <v>536415</v>
      </c>
      <c r="B634" s="2">
        <v>22470</v>
      </c>
      <c r="C634" s="2" t="s">
        <v>159</v>
      </c>
      <c r="D634" s="2">
        <v>1</v>
      </c>
      <c r="E634" s="8">
        <v>40513.497916666667</v>
      </c>
      <c r="F634" s="2">
        <v>2.95</v>
      </c>
      <c r="G634" s="2">
        <v>12838</v>
      </c>
      <c r="H634" s="2" t="s">
        <v>10</v>
      </c>
      <c r="I634" s="2">
        <f>ABS(DF[[#This Row],[Quantity_BEFORE]])</f>
        <v>1</v>
      </c>
      <c r="J634" s="2">
        <f>DF[[#This Row],[QUANTITY]]*DF[[#This Row],[UnitPrice]]</f>
        <v>2.95</v>
      </c>
    </row>
    <row r="635" spans="1:10" x14ac:dyDescent="0.25">
      <c r="A635" s="2">
        <v>536415</v>
      </c>
      <c r="B635" s="2">
        <v>22580</v>
      </c>
      <c r="C635" s="2" t="s">
        <v>464</v>
      </c>
      <c r="D635" s="2">
        <v>1</v>
      </c>
      <c r="E635" s="8">
        <v>40513.497916666667</v>
      </c>
      <c r="F635" s="2">
        <v>5.95</v>
      </c>
      <c r="G635" s="2">
        <v>12838</v>
      </c>
      <c r="H635" s="2" t="s">
        <v>10</v>
      </c>
      <c r="I635" s="2">
        <f>ABS(DF[[#This Row],[Quantity_BEFORE]])</f>
        <v>1</v>
      </c>
      <c r="J635" s="2">
        <f>DF[[#This Row],[QUANTITY]]*DF[[#This Row],[UnitPrice]]</f>
        <v>5.95</v>
      </c>
    </row>
    <row r="636" spans="1:10" x14ac:dyDescent="0.25">
      <c r="A636" s="2">
        <v>536415</v>
      </c>
      <c r="B636" s="2">
        <v>22469</v>
      </c>
      <c r="C636" s="2" t="s">
        <v>158</v>
      </c>
      <c r="D636" s="2">
        <v>5</v>
      </c>
      <c r="E636" s="8">
        <v>40513.497916666667</v>
      </c>
      <c r="F636" s="2">
        <v>1.65</v>
      </c>
      <c r="G636" s="2">
        <v>12838</v>
      </c>
      <c r="H636" s="2" t="s">
        <v>10</v>
      </c>
      <c r="I636" s="2">
        <f>ABS(DF[[#This Row],[Quantity_BEFORE]])</f>
        <v>5</v>
      </c>
      <c r="J636" s="2">
        <f>DF[[#This Row],[QUANTITY]]*DF[[#This Row],[UnitPrice]]</f>
        <v>8.25</v>
      </c>
    </row>
    <row r="637" spans="1:10" x14ac:dyDescent="0.25">
      <c r="A637" s="2">
        <v>536415</v>
      </c>
      <c r="B637" s="2">
        <v>22147</v>
      </c>
      <c r="C637" s="2" t="s">
        <v>465</v>
      </c>
      <c r="D637" s="2">
        <v>4</v>
      </c>
      <c r="E637" s="8">
        <v>40513.497916666667</v>
      </c>
      <c r="F637" s="2">
        <v>1.45</v>
      </c>
      <c r="G637" s="2">
        <v>12838</v>
      </c>
      <c r="H637" s="2" t="s">
        <v>10</v>
      </c>
      <c r="I637" s="2">
        <f>ABS(DF[[#This Row],[Quantity_BEFORE]])</f>
        <v>4</v>
      </c>
      <c r="J637" s="2">
        <f>DF[[#This Row],[QUANTITY]]*DF[[#This Row],[UnitPrice]]</f>
        <v>5.8</v>
      </c>
    </row>
    <row r="638" spans="1:10" x14ac:dyDescent="0.25">
      <c r="A638" s="2">
        <v>536415</v>
      </c>
      <c r="B638" s="2">
        <v>22130</v>
      </c>
      <c r="C638" s="2" t="s">
        <v>466</v>
      </c>
      <c r="D638" s="2">
        <v>6</v>
      </c>
      <c r="E638" s="8">
        <v>40513.497916666667</v>
      </c>
      <c r="F638" s="2">
        <v>0.85</v>
      </c>
      <c r="G638" s="2">
        <v>12838</v>
      </c>
      <c r="H638" s="2" t="s">
        <v>10</v>
      </c>
      <c r="I638" s="2">
        <f>ABS(DF[[#This Row],[Quantity_BEFORE]])</f>
        <v>6</v>
      </c>
      <c r="J638" s="2">
        <f>DF[[#This Row],[QUANTITY]]*DF[[#This Row],[UnitPrice]]</f>
        <v>5.0999999999999996</v>
      </c>
    </row>
    <row r="639" spans="1:10" x14ac:dyDescent="0.25">
      <c r="A639" s="2">
        <v>536415</v>
      </c>
      <c r="B639" s="2">
        <v>21791</v>
      </c>
      <c r="C639" s="2" t="s">
        <v>46</v>
      </c>
      <c r="D639" s="2">
        <v>3</v>
      </c>
      <c r="E639" s="8">
        <v>40513.497916666667</v>
      </c>
      <c r="F639" s="2">
        <v>1.25</v>
      </c>
      <c r="G639" s="2">
        <v>12838</v>
      </c>
      <c r="H639" s="2" t="s">
        <v>10</v>
      </c>
      <c r="I639" s="2">
        <f>ABS(DF[[#This Row],[Quantity_BEFORE]])</f>
        <v>3</v>
      </c>
      <c r="J639" s="2">
        <f>DF[[#This Row],[QUANTITY]]*DF[[#This Row],[UnitPrice]]</f>
        <v>3.75</v>
      </c>
    </row>
    <row r="640" spans="1:10" x14ac:dyDescent="0.25">
      <c r="A640" s="2">
        <v>536415</v>
      </c>
      <c r="B640" s="2">
        <v>22694</v>
      </c>
      <c r="C640" s="2" t="s">
        <v>467</v>
      </c>
      <c r="D640" s="2">
        <v>5</v>
      </c>
      <c r="E640" s="8">
        <v>40513.497916666667</v>
      </c>
      <c r="F640" s="2">
        <v>2.1</v>
      </c>
      <c r="G640" s="2">
        <v>12838</v>
      </c>
      <c r="H640" s="2" t="s">
        <v>10</v>
      </c>
      <c r="I640" s="2">
        <f>ABS(DF[[#This Row],[Quantity_BEFORE]])</f>
        <v>5</v>
      </c>
      <c r="J640" s="2">
        <f>DF[[#This Row],[QUANTITY]]*DF[[#This Row],[UnitPrice]]</f>
        <v>10.5</v>
      </c>
    </row>
    <row r="641" spans="1:10" x14ac:dyDescent="0.25">
      <c r="A641" s="2">
        <v>536415</v>
      </c>
      <c r="B641" s="2">
        <v>21790</v>
      </c>
      <c r="C641" s="2" t="s">
        <v>468</v>
      </c>
      <c r="D641" s="2">
        <v>3</v>
      </c>
      <c r="E641" s="8">
        <v>40513.497916666667</v>
      </c>
      <c r="F641" s="2">
        <v>0.85</v>
      </c>
      <c r="G641" s="2">
        <v>12838</v>
      </c>
      <c r="H641" s="2" t="s">
        <v>10</v>
      </c>
      <c r="I641" s="2">
        <f>ABS(DF[[#This Row],[Quantity_BEFORE]])</f>
        <v>3</v>
      </c>
      <c r="J641" s="2">
        <f>DF[[#This Row],[QUANTITY]]*DF[[#This Row],[UnitPrice]]</f>
        <v>2.5499999999999998</v>
      </c>
    </row>
    <row r="642" spans="1:10" x14ac:dyDescent="0.25">
      <c r="A642" s="2">
        <v>536415</v>
      </c>
      <c r="B642" s="2">
        <v>22149</v>
      </c>
      <c r="C642" s="2" t="s">
        <v>469</v>
      </c>
      <c r="D642" s="2">
        <v>4</v>
      </c>
      <c r="E642" s="8">
        <v>40513.497916666667</v>
      </c>
      <c r="F642" s="2">
        <v>2.1</v>
      </c>
      <c r="G642" s="2">
        <v>12838</v>
      </c>
      <c r="H642" s="2" t="s">
        <v>10</v>
      </c>
      <c r="I642" s="2">
        <f>ABS(DF[[#This Row],[Quantity_BEFORE]])</f>
        <v>4</v>
      </c>
      <c r="J642" s="2">
        <f>DF[[#This Row],[QUANTITY]]*DF[[#This Row],[UnitPrice]]</f>
        <v>8.4</v>
      </c>
    </row>
    <row r="643" spans="1:10" x14ac:dyDescent="0.25">
      <c r="A643" s="2">
        <v>536415</v>
      </c>
      <c r="B643" s="2">
        <v>22900</v>
      </c>
      <c r="C643" s="2" t="s">
        <v>54</v>
      </c>
      <c r="D643" s="2">
        <v>3</v>
      </c>
      <c r="E643" s="8">
        <v>40513.497916666667</v>
      </c>
      <c r="F643" s="2">
        <v>2.95</v>
      </c>
      <c r="G643" s="2">
        <v>12838</v>
      </c>
      <c r="H643" s="2" t="s">
        <v>10</v>
      </c>
      <c r="I643" s="2">
        <f>ABS(DF[[#This Row],[Quantity_BEFORE]])</f>
        <v>3</v>
      </c>
      <c r="J643" s="2">
        <f>DF[[#This Row],[QUANTITY]]*DF[[#This Row],[UnitPrice]]</f>
        <v>8.8500000000000014</v>
      </c>
    </row>
    <row r="644" spans="1:10" x14ac:dyDescent="0.25">
      <c r="A644" s="2">
        <v>536415</v>
      </c>
      <c r="B644" s="2">
        <v>22961</v>
      </c>
      <c r="C644" s="2" t="s">
        <v>100</v>
      </c>
      <c r="D644" s="2">
        <v>3</v>
      </c>
      <c r="E644" s="8">
        <v>40513.497916666667</v>
      </c>
      <c r="F644" s="2">
        <v>1.45</v>
      </c>
      <c r="G644" s="2">
        <v>12838</v>
      </c>
      <c r="H644" s="2" t="s">
        <v>10</v>
      </c>
      <c r="I644" s="2">
        <f>ABS(DF[[#This Row],[Quantity_BEFORE]])</f>
        <v>3</v>
      </c>
      <c r="J644" s="2">
        <f>DF[[#This Row],[QUANTITY]]*DF[[#This Row],[UnitPrice]]</f>
        <v>4.3499999999999996</v>
      </c>
    </row>
    <row r="645" spans="1:10" x14ac:dyDescent="0.25">
      <c r="A645" s="2">
        <v>536415</v>
      </c>
      <c r="B645" s="2">
        <v>22321</v>
      </c>
      <c r="C645" s="2" t="s">
        <v>470</v>
      </c>
      <c r="D645" s="2">
        <v>12</v>
      </c>
      <c r="E645" s="8">
        <v>40513.497916666667</v>
      </c>
      <c r="F645" s="2">
        <v>0.85</v>
      </c>
      <c r="G645" s="2">
        <v>12838</v>
      </c>
      <c r="H645" s="2" t="s">
        <v>10</v>
      </c>
      <c r="I645" s="2">
        <f>ABS(DF[[#This Row],[Quantity_BEFORE]])</f>
        <v>12</v>
      </c>
      <c r="J645" s="2">
        <f>DF[[#This Row],[QUANTITY]]*DF[[#This Row],[UnitPrice]]</f>
        <v>10.199999999999999</v>
      </c>
    </row>
    <row r="646" spans="1:10" x14ac:dyDescent="0.25">
      <c r="A646" s="2">
        <v>536415</v>
      </c>
      <c r="B646" s="2">
        <v>22594</v>
      </c>
      <c r="C646" s="2" t="s">
        <v>471</v>
      </c>
      <c r="D646" s="2">
        <v>5</v>
      </c>
      <c r="E646" s="8">
        <v>40513.497916666667</v>
      </c>
      <c r="F646" s="2">
        <v>0.85</v>
      </c>
      <c r="G646" s="2">
        <v>12838</v>
      </c>
      <c r="H646" s="2" t="s">
        <v>10</v>
      </c>
      <c r="I646" s="2">
        <f>ABS(DF[[#This Row],[Quantity_BEFORE]])</f>
        <v>5</v>
      </c>
      <c r="J646" s="2">
        <f>DF[[#This Row],[QUANTITY]]*DF[[#This Row],[UnitPrice]]</f>
        <v>4.25</v>
      </c>
    </row>
    <row r="647" spans="1:10" x14ac:dyDescent="0.25">
      <c r="A647" s="2">
        <v>536415</v>
      </c>
      <c r="B647" s="2">
        <v>22593</v>
      </c>
      <c r="C647" s="2" t="s">
        <v>472</v>
      </c>
      <c r="D647" s="2">
        <v>4</v>
      </c>
      <c r="E647" s="8">
        <v>40513.497916666667</v>
      </c>
      <c r="F647" s="2">
        <v>0.85</v>
      </c>
      <c r="G647" s="2">
        <v>12838</v>
      </c>
      <c r="H647" s="2" t="s">
        <v>10</v>
      </c>
      <c r="I647" s="2">
        <f>ABS(DF[[#This Row],[Quantity_BEFORE]])</f>
        <v>4</v>
      </c>
      <c r="J647" s="2">
        <f>DF[[#This Row],[QUANTITY]]*DF[[#This Row],[UnitPrice]]</f>
        <v>3.4</v>
      </c>
    </row>
    <row r="648" spans="1:10" x14ac:dyDescent="0.25">
      <c r="A648" s="2">
        <v>536415</v>
      </c>
      <c r="B648" s="2">
        <v>22595</v>
      </c>
      <c r="C648" s="2" t="s">
        <v>473</v>
      </c>
      <c r="D648" s="2">
        <v>6</v>
      </c>
      <c r="E648" s="8">
        <v>40513.497916666667</v>
      </c>
      <c r="F648" s="2">
        <v>0.85</v>
      </c>
      <c r="G648" s="2">
        <v>12838</v>
      </c>
      <c r="H648" s="2" t="s">
        <v>10</v>
      </c>
      <c r="I648" s="2">
        <f>ABS(DF[[#This Row],[Quantity_BEFORE]])</f>
        <v>6</v>
      </c>
      <c r="J648" s="2">
        <f>DF[[#This Row],[QUANTITY]]*DF[[#This Row],[UnitPrice]]</f>
        <v>5.0999999999999996</v>
      </c>
    </row>
    <row r="649" spans="1:10" x14ac:dyDescent="0.25">
      <c r="A649" s="2">
        <v>536415</v>
      </c>
      <c r="B649" s="2">
        <v>21986</v>
      </c>
      <c r="C649" s="2" t="s">
        <v>474</v>
      </c>
      <c r="D649" s="2">
        <v>12</v>
      </c>
      <c r="E649" s="8">
        <v>40513.497916666667</v>
      </c>
      <c r="F649" s="2">
        <v>0.28999999999999998</v>
      </c>
      <c r="G649" s="2">
        <v>12838</v>
      </c>
      <c r="H649" s="2" t="s">
        <v>10</v>
      </c>
      <c r="I649" s="2">
        <f>ABS(DF[[#This Row],[Quantity_BEFORE]])</f>
        <v>12</v>
      </c>
      <c r="J649" s="2">
        <f>DF[[#This Row],[QUANTITY]]*DF[[#This Row],[UnitPrice]]</f>
        <v>3.4799999999999995</v>
      </c>
    </row>
    <row r="650" spans="1:10" x14ac:dyDescent="0.25">
      <c r="A650" s="2">
        <v>536415</v>
      </c>
      <c r="B650" s="2">
        <v>22750</v>
      </c>
      <c r="C650" s="2" t="s">
        <v>475</v>
      </c>
      <c r="D650" s="2">
        <v>2</v>
      </c>
      <c r="E650" s="8">
        <v>40513.497916666667</v>
      </c>
      <c r="F650" s="2">
        <v>3.75</v>
      </c>
      <c r="G650" s="2">
        <v>12838</v>
      </c>
      <c r="H650" s="2" t="s">
        <v>10</v>
      </c>
      <c r="I650" s="2">
        <f>ABS(DF[[#This Row],[Quantity_BEFORE]])</f>
        <v>2</v>
      </c>
      <c r="J650" s="2">
        <f>DF[[#This Row],[QUANTITY]]*DF[[#This Row],[UnitPrice]]</f>
        <v>7.5</v>
      </c>
    </row>
    <row r="651" spans="1:10" x14ac:dyDescent="0.25">
      <c r="A651" s="2">
        <v>536415</v>
      </c>
      <c r="B651" s="2">
        <v>22616</v>
      </c>
      <c r="C651" s="2" t="s">
        <v>476</v>
      </c>
      <c r="D651" s="2">
        <v>12</v>
      </c>
      <c r="E651" s="8">
        <v>40513.497916666667</v>
      </c>
      <c r="F651" s="2">
        <v>0.28999999999999998</v>
      </c>
      <c r="G651" s="2">
        <v>12838</v>
      </c>
      <c r="H651" s="2" t="s">
        <v>10</v>
      </c>
      <c r="I651" s="2">
        <f>ABS(DF[[#This Row],[Quantity_BEFORE]])</f>
        <v>12</v>
      </c>
      <c r="J651" s="2">
        <f>DF[[#This Row],[QUANTITY]]*DF[[#This Row],[UnitPrice]]</f>
        <v>3.4799999999999995</v>
      </c>
    </row>
    <row r="652" spans="1:10" x14ac:dyDescent="0.25">
      <c r="A652" s="2">
        <v>536415</v>
      </c>
      <c r="B652" s="2">
        <v>22775</v>
      </c>
      <c r="C652" s="2" t="s">
        <v>477</v>
      </c>
      <c r="D652" s="2">
        <v>1</v>
      </c>
      <c r="E652" s="8">
        <v>40513.497916666667</v>
      </c>
      <c r="F652" s="2">
        <v>1.25</v>
      </c>
      <c r="G652" s="2">
        <v>12838</v>
      </c>
      <c r="H652" s="2" t="s">
        <v>10</v>
      </c>
      <c r="I652" s="2">
        <f>ABS(DF[[#This Row],[Quantity_BEFORE]])</f>
        <v>1</v>
      </c>
      <c r="J652" s="2">
        <f>DF[[#This Row],[QUANTITY]]*DF[[#This Row],[UnitPrice]]</f>
        <v>1.25</v>
      </c>
    </row>
    <row r="653" spans="1:10" x14ac:dyDescent="0.25">
      <c r="A653" s="2">
        <v>536415</v>
      </c>
      <c r="B653" s="2">
        <v>22899</v>
      </c>
      <c r="C653" s="2" t="s">
        <v>478</v>
      </c>
      <c r="D653" s="2">
        <v>2</v>
      </c>
      <c r="E653" s="8">
        <v>40513.497916666667</v>
      </c>
      <c r="F653" s="2">
        <v>2.1</v>
      </c>
      <c r="G653" s="2">
        <v>12838</v>
      </c>
      <c r="H653" s="2" t="s">
        <v>10</v>
      </c>
      <c r="I653" s="2">
        <f>ABS(DF[[#This Row],[Quantity_BEFORE]])</f>
        <v>2</v>
      </c>
      <c r="J653" s="2">
        <f>DF[[#This Row],[QUANTITY]]*DF[[#This Row],[UnitPrice]]</f>
        <v>4.2</v>
      </c>
    </row>
    <row r="654" spans="1:10" x14ac:dyDescent="0.25">
      <c r="A654" s="2">
        <v>536415</v>
      </c>
      <c r="B654" s="2">
        <v>22367</v>
      </c>
      <c r="C654" s="2" t="s">
        <v>479</v>
      </c>
      <c r="D654" s="2">
        <v>3</v>
      </c>
      <c r="E654" s="8">
        <v>40513.497916666667</v>
      </c>
      <c r="F654" s="2">
        <v>1.95</v>
      </c>
      <c r="G654" s="2">
        <v>12838</v>
      </c>
      <c r="H654" s="2" t="s">
        <v>10</v>
      </c>
      <c r="I654" s="2">
        <f>ABS(DF[[#This Row],[Quantity_BEFORE]])</f>
        <v>3</v>
      </c>
      <c r="J654" s="2">
        <f>DF[[#This Row],[QUANTITY]]*DF[[#This Row],[UnitPrice]]</f>
        <v>5.85</v>
      </c>
    </row>
    <row r="655" spans="1:10" x14ac:dyDescent="0.25">
      <c r="A655" s="2">
        <v>536415</v>
      </c>
      <c r="B655" s="2">
        <v>22942</v>
      </c>
      <c r="C655" s="2" t="s">
        <v>480</v>
      </c>
      <c r="D655" s="2">
        <v>3</v>
      </c>
      <c r="E655" s="8">
        <v>40513.497916666667</v>
      </c>
      <c r="F655" s="2">
        <v>8.5</v>
      </c>
      <c r="G655" s="2">
        <v>12838</v>
      </c>
      <c r="H655" s="2" t="s">
        <v>10</v>
      </c>
      <c r="I655" s="2">
        <f>ABS(DF[[#This Row],[Quantity_BEFORE]])</f>
        <v>3</v>
      </c>
      <c r="J655" s="2">
        <f>DF[[#This Row],[QUANTITY]]*DF[[#This Row],[UnitPrice]]</f>
        <v>25.5</v>
      </c>
    </row>
    <row r="656" spans="1:10" x14ac:dyDescent="0.25">
      <c r="A656" s="2">
        <v>536415</v>
      </c>
      <c r="B656" s="2">
        <v>22941</v>
      </c>
      <c r="C656" s="2" t="s">
        <v>187</v>
      </c>
      <c r="D656" s="2">
        <v>3</v>
      </c>
      <c r="E656" s="8">
        <v>40513.497916666667</v>
      </c>
      <c r="F656" s="2">
        <v>8.5</v>
      </c>
      <c r="G656" s="2">
        <v>12838</v>
      </c>
      <c r="H656" s="2" t="s">
        <v>10</v>
      </c>
      <c r="I656" s="2">
        <f>ABS(DF[[#This Row],[Quantity_BEFORE]])</f>
        <v>3</v>
      </c>
      <c r="J656" s="2">
        <f>DF[[#This Row],[QUANTITY]]*DF[[#This Row],[UnitPrice]]</f>
        <v>25.5</v>
      </c>
    </row>
    <row r="657" spans="1:10" x14ac:dyDescent="0.25">
      <c r="A657" s="2">
        <v>536415</v>
      </c>
      <c r="B657" s="2">
        <v>22086</v>
      </c>
      <c r="C657" s="2" t="s">
        <v>61</v>
      </c>
      <c r="D657" s="2">
        <v>6</v>
      </c>
      <c r="E657" s="8">
        <v>40513.497916666667</v>
      </c>
      <c r="F657" s="2">
        <v>2.95</v>
      </c>
      <c r="G657" s="2">
        <v>12838</v>
      </c>
      <c r="H657" s="2" t="s">
        <v>10</v>
      </c>
      <c r="I657" s="2">
        <f>ABS(DF[[#This Row],[Quantity_BEFORE]])</f>
        <v>6</v>
      </c>
      <c r="J657" s="2">
        <f>DF[[#This Row],[QUANTITY]]*DF[[#This Row],[UnitPrice]]</f>
        <v>17.700000000000003</v>
      </c>
    </row>
    <row r="658" spans="1:10" x14ac:dyDescent="0.25">
      <c r="A658" s="2">
        <v>536415</v>
      </c>
      <c r="B658" s="2">
        <v>22940</v>
      </c>
      <c r="C658" s="2" t="s">
        <v>430</v>
      </c>
      <c r="D658" s="2">
        <v>2</v>
      </c>
      <c r="E658" s="8">
        <v>40513.497916666667</v>
      </c>
      <c r="F658" s="2">
        <v>4.25</v>
      </c>
      <c r="G658" s="2">
        <v>12838</v>
      </c>
      <c r="H658" s="2" t="s">
        <v>10</v>
      </c>
      <c r="I658" s="2">
        <f>ABS(DF[[#This Row],[Quantity_BEFORE]])</f>
        <v>2</v>
      </c>
      <c r="J658" s="2">
        <f>DF[[#This Row],[QUANTITY]]*DF[[#This Row],[UnitPrice]]</f>
        <v>8.5</v>
      </c>
    </row>
    <row r="659" spans="1:10" x14ac:dyDescent="0.25">
      <c r="A659" s="2">
        <v>536415</v>
      </c>
      <c r="B659" s="2">
        <v>21212</v>
      </c>
      <c r="C659" s="2" t="s">
        <v>88</v>
      </c>
      <c r="D659" s="2">
        <v>2</v>
      </c>
      <c r="E659" s="8">
        <v>40513.497916666667</v>
      </c>
      <c r="F659" s="2">
        <v>0.55000000000000004</v>
      </c>
      <c r="G659" s="2">
        <v>12838</v>
      </c>
      <c r="H659" s="2" t="s">
        <v>10</v>
      </c>
      <c r="I659" s="2">
        <f>ABS(DF[[#This Row],[Quantity_BEFORE]])</f>
        <v>2</v>
      </c>
      <c r="J659" s="2">
        <f>DF[[#This Row],[QUANTITY]]*DF[[#This Row],[UnitPrice]]</f>
        <v>1.1000000000000001</v>
      </c>
    </row>
    <row r="660" spans="1:10" x14ac:dyDescent="0.25">
      <c r="A660" s="2">
        <v>536415</v>
      </c>
      <c r="B660" s="2">
        <v>21976</v>
      </c>
      <c r="C660" s="2" t="s">
        <v>481</v>
      </c>
      <c r="D660" s="2">
        <v>2</v>
      </c>
      <c r="E660" s="8">
        <v>40513.497916666667</v>
      </c>
      <c r="F660" s="2">
        <v>0.55000000000000004</v>
      </c>
      <c r="G660" s="2">
        <v>12838</v>
      </c>
      <c r="H660" s="2" t="s">
        <v>10</v>
      </c>
      <c r="I660" s="2">
        <f>ABS(DF[[#This Row],[Quantity_BEFORE]])</f>
        <v>2</v>
      </c>
      <c r="J660" s="2">
        <f>DF[[#This Row],[QUANTITY]]*DF[[#This Row],[UnitPrice]]</f>
        <v>1.1000000000000001</v>
      </c>
    </row>
    <row r="661" spans="1:10" x14ac:dyDescent="0.25">
      <c r="A661" s="2">
        <v>536415</v>
      </c>
      <c r="B661" s="2">
        <v>22951</v>
      </c>
      <c r="C661" s="2" t="s">
        <v>482</v>
      </c>
      <c r="D661" s="2">
        <v>2</v>
      </c>
      <c r="E661" s="8">
        <v>40513.497916666667</v>
      </c>
      <c r="F661" s="2">
        <v>0.55000000000000004</v>
      </c>
      <c r="G661" s="2">
        <v>12838</v>
      </c>
      <c r="H661" s="2" t="s">
        <v>10</v>
      </c>
      <c r="I661" s="2">
        <f>ABS(DF[[#This Row],[Quantity_BEFORE]])</f>
        <v>2</v>
      </c>
      <c r="J661" s="2">
        <f>DF[[#This Row],[QUANTITY]]*DF[[#This Row],[UnitPrice]]</f>
        <v>1.1000000000000001</v>
      </c>
    </row>
    <row r="662" spans="1:10" x14ac:dyDescent="0.25">
      <c r="A662" s="2">
        <v>536415</v>
      </c>
      <c r="B662" s="2">
        <v>21977</v>
      </c>
      <c r="C662" s="2" t="s">
        <v>90</v>
      </c>
      <c r="D662" s="2">
        <v>3</v>
      </c>
      <c r="E662" s="8">
        <v>40513.497916666667</v>
      </c>
      <c r="F662" s="2">
        <v>0.55000000000000004</v>
      </c>
      <c r="G662" s="2">
        <v>12838</v>
      </c>
      <c r="H662" s="2" t="s">
        <v>10</v>
      </c>
      <c r="I662" s="2">
        <f>ABS(DF[[#This Row],[Quantity_BEFORE]])</f>
        <v>3</v>
      </c>
      <c r="J662" s="2">
        <f>DF[[#This Row],[QUANTITY]]*DF[[#This Row],[UnitPrice]]</f>
        <v>1.6500000000000001</v>
      </c>
    </row>
    <row r="663" spans="1:10" x14ac:dyDescent="0.25">
      <c r="A663" s="2">
        <v>536415</v>
      </c>
      <c r="B663" s="2">
        <v>22834</v>
      </c>
      <c r="C663" s="2" t="s">
        <v>483</v>
      </c>
      <c r="D663" s="2">
        <v>3</v>
      </c>
      <c r="E663" s="8">
        <v>40513.497916666667</v>
      </c>
      <c r="F663" s="2">
        <v>2.1</v>
      </c>
      <c r="G663" s="2">
        <v>12838</v>
      </c>
      <c r="H663" s="2" t="s">
        <v>10</v>
      </c>
      <c r="I663" s="2">
        <f>ABS(DF[[#This Row],[Quantity_BEFORE]])</f>
        <v>3</v>
      </c>
      <c r="J663" s="2">
        <f>DF[[#This Row],[QUANTITY]]*DF[[#This Row],[UnitPrice]]</f>
        <v>6.3000000000000007</v>
      </c>
    </row>
    <row r="664" spans="1:10" x14ac:dyDescent="0.25">
      <c r="A664" s="2">
        <v>536415</v>
      </c>
      <c r="B664" s="2">
        <v>22867</v>
      </c>
      <c r="C664" s="2" t="s">
        <v>248</v>
      </c>
      <c r="D664" s="2">
        <v>3</v>
      </c>
      <c r="E664" s="8">
        <v>40513.497916666667</v>
      </c>
      <c r="F664" s="2">
        <v>2.1</v>
      </c>
      <c r="G664" s="2">
        <v>12838</v>
      </c>
      <c r="H664" s="2" t="s">
        <v>10</v>
      </c>
      <c r="I664" s="2">
        <f>ABS(DF[[#This Row],[Quantity_BEFORE]])</f>
        <v>3</v>
      </c>
      <c r="J664" s="2">
        <f>DF[[#This Row],[QUANTITY]]*DF[[#This Row],[UnitPrice]]</f>
        <v>6.3000000000000007</v>
      </c>
    </row>
    <row r="665" spans="1:10" x14ac:dyDescent="0.25">
      <c r="A665" s="2">
        <v>536415</v>
      </c>
      <c r="B665" s="2">
        <v>22865</v>
      </c>
      <c r="C665" s="2" t="s">
        <v>238</v>
      </c>
      <c r="D665" s="2">
        <v>3</v>
      </c>
      <c r="E665" s="8">
        <v>40513.497916666667</v>
      </c>
      <c r="F665" s="2">
        <v>2.1</v>
      </c>
      <c r="G665" s="2">
        <v>12838</v>
      </c>
      <c r="H665" s="2" t="s">
        <v>10</v>
      </c>
      <c r="I665" s="2">
        <f>ABS(DF[[#This Row],[Quantity_BEFORE]])</f>
        <v>3</v>
      </c>
      <c r="J665" s="2">
        <f>DF[[#This Row],[QUANTITY]]*DF[[#This Row],[UnitPrice]]</f>
        <v>6.3000000000000007</v>
      </c>
    </row>
    <row r="666" spans="1:10" x14ac:dyDescent="0.25">
      <c r="A666" s="2">
        <v>536415</v>
      </c>
      <c r="B666" s="2">
        <v>22632</v>
      </c>
      <c r="C666" s="2" t="s">
        <v>239</v>
      </c>
      <c r="D666" s="2">
        <v>3</v>
      </c>
      <c r="E666" s="8">
        <v>40513.497916666667</v>
      </c>
      <c r="F666" s="2">
        <v>2.1</v>
      </c>
      <c r="G666" s="2">
        <v>12838</v>
      </c>
      <c r="H666" s="2" t="s">
        <v>10</v>
      </c>
      <c r="I666" s="2">
        <f>ABS(DF[[#This Row],[Quantity_BEFORE]])</f>
        <v>3</v>
      </c>
      <c r="J666" s="2">
        <f>DF[[#This Row],[QUANTITY]]*DF[[#This Row],[UnitPrice]]</f>
        <v>6.3000000000000007</v>
      </c>
    </row>
    <row r="667" spans="1:10" x14ac:dyDescent="0.25">
      <c r="A667" s="2">
        <v>536415</v>
      </c>
      <c r="B667" s="2">
        <v>21916</v>
      </c>
      <c r="C667" s="2" t="s">
        <v>484</v>
      </c>
      <c r="D667" s="2">
        <v>2</v>
      </c>
      <c r="E667" s="8">
        <v>40513.497916666667</v>
      </c>
      <c r="F667" s="2">
        <v>0.42</v>
      </c>
      <c r="G667" s="2">
        <v>12838</v>
      </c>
      <c r="H667" s="2" t="s">
        <v>10</v>
      </c>
      <c r="I667" s="2">
        <f>ABS(DF[[#This Row],[Quantity_BEFORE]])</f>
        <v>2</v>
      </c>
      <c r="J667" s="2">
        <f>DF[[#This Row],[QUANTITY]]*DF[[#This Row],[UnitPrice]]</f>
        <v>0.84</v>
      </c>
    </row>
    <row r="668" spans="1:10" x14ac:dyDescent="0.25">
      <c r="A668" s="2">
        <v>536415</v>
      </c>
      <c r="B668" s="2">
        <v>22587</v>
      </c>
      <c r="C668" s="2" t="s">
        <v>485</v>
      </c>
      <c r="D668" s="2">
        <v>4</v>
      </c>
      <c r="E668" s="8">
        <v>40513.497916666667</v>
      </c>
      <c r="F668" s="2">
        <v>0.85</v>
      </c>
      <c r="G668" s="2">
        <v>12838</v>
      </c>
      <c r="H668" s="2" t="s">
        <v>10</v>
      </c>
      <c r="I668" s="2">
        <f>ABS(DF[[#This Row],[Quantity_BEFORE]])</f>
        <v>4</v>
      </c>
      <c r="J668" s="2">
        <f>DF[[#This Row],[QUANTITY]]*DF[[#This Row],[UnitPrice]]</f>
        <v>3.4</v>
      </c>
    </row>
    <row r="669" spans="1:10" x14ac:dyDescent="0.25">
      <c r="A669" s="2">
        <v>536415</v>
      </c>
      <c r="B669" s="2">
        <v>22566</v>
      </c>
      <c r="C669" s="2" t="s">
        <v>486</v>
      </c>
      <c r="D669" s="2">
        <v>3</v>
      </c>
      <c r="E669" s="8">
        <v>40513.497916666667</v>
      </c>
      <c r="F669" s="2">
        <v>0.85</v>
      </c>
      <c r="G669" s="2">
        <v>12838</v>
      </c>
      <c r="H669" s="2" t="s">
        <v>10</v>
      </c>
      <c r="I669" s="2">
        <f>ABS(DF[[#This Row],[Quantity_BEFORE]])</f>
        <v>3</v>
      </c>
      <c r="J669" s="2">
        <f>DF[[#This Row],[QUANTITY]]*DF[[#This Row],[UnitPrice]]</f>
        <v>2.5499999999999998</v>
      </c>
    </row>
    <row r="670" spans="1:10" x14ac:dyDescent="0.25">
      <c r="A670" s="2">
        <v>536415</v>
      </c>
      <c r="B670" s="2">
        <v>22565</v>
      </c>
      <c r="C670" s="2" t="s">
        <v>487</v>
      </c>
      <c r="D670" s="2">
        <v>3</v>
      </c>
      <c r="E670" s="8">
        <v>40513.497916666667</v>
      </c>
      <c r="F670" s="2">
        <v>0.85</v>
      </c>
      <c r="G670" s="2">
        <v>12838</v>
      </c>
      <c r="H670" s="2" t="s">
        <v>10</v>
      </c>
      <c r="I670" s="2">
        <f>ABS(DF[[#This Row],[Quantity_BEFORE]])</f>
        <v>3</v>
      </c>
      <c r="J670" s="2">
        <f>DF[[#This Row],[QUANTITY]]*DF[[#This Row],[UnitPrice]]</f>
        <v>2.5499999999999998</v>
      </c>
    </row>
    <row r="671" spans="1:10" x14ac:dyDescent="0.25">
      <c r="A671" s="2">
        <v>536415</v>
      </c>
      <c r="B671" s="2">
        <v>22472</v>
      </c>
      <c r="C671" s="2" t="s">
        <v>488</v>
      </c>
      <c r="D671" s="2">
        <v>2</v>
      </c>
      <c r="E671" s="8">
        <v>40513.497916666667</v>
      </c>
      <c r="F671" s="2">
        <v>4.95</v>
      </c>
      <c r="G671" s="2">
        <v>12838</v>
      </c>
      <c r="H671" s="2" t="s">
        <v>10</v>
      </c>
      <c r="I671" s="2">
        <f>ABS(DF[[#This Row],[Quantity_BEFORE]])</f>
        <v>2</v>
      </c>
      <c r="J671" s="2">
        <f>DF[[#This Row],[QUANTITY]]*DF[[#This Row],[UnitPrice]]</f>
        <v>9.9</v>
      </c>
    </row>
    <row r="672" spans="1:10" x14ac:dyDescent="0.25">
      <c r="A672" s="2">
        <v>536415</v>
      </c>
      <c r="B672" s="2">
        <v>22557</v>
      </c>
      <c r="C672" s="2" t="s">
        <v>224</v>
      </c>
      <c r="D672" s="2">
        <v>3</v>
      </c>
      <c r="E672" s="8">
        <v>40513.497916666667</v>
      </c>
      <c r="F672" s="2">
        <v>1.65</v>
      </c>
      <c r="G672" s="2">
        <v>12838</v>
      </c>
      <c r="H672" s="2" t="s">
        <v>10</v>
      </c>
      <c r="I672" s="2">
        <f>ABS(DF[[#This Row],[Quantity_BEFORE]])</f>
        <v>3</v>
      </c>
      <c r="J672" s="2">
        <f>DF[[#This Row],[QUANTITY]]*DF[[#This Row],[UnitPrice]]</f>
        <v>4.9499999999999993</v>
      </c>
    </row>
    <row r="673" spans="1:10" x14ac:dyDescent="0.25">
      <c r="A673" s="2">
        <v>536415</v>
      </c>
      <c r="B673" s="2">
        <v>22551</v>
      </c>
      <c r="C673" s="2" t="s">
        <v>489</v>
      </c>
      <c r="D673" s="2">
        <v>3</v>
      </c>
      <c r="E673" s="8">
        <v>40513.497916666667</v>
      </c>
      <c r="F673" s="2">
        <v>1.65</v>
      </c>
      <c r="G673" s="2">
        <v>12838</v>
      </c>
      <c r="H673" s="2" t="s">
        <v>10</v>
      </c>
      <c r="I673" s="2">
        <f>ABS(DF[[#This Row],[Quantity_BEFORE]])</f>
        <v>3</v>
      </c>
      <c r="J673" s="2">
        <f>DF[[#This Row],[QUANTITY]]*DF[[#This Row],[UnitPrice]]</f>
        <v>4.9499999999999993</v>
      </c>
    </row>
    <row r="674" spans="1:10" x14ac:dyDescent="0.25">
      <c r="A674" s="2">
        <v>536415</v>
      </c>
      <c r="B674" s="2">
        <v>22554</v>
      </c>
      <c r="C674" s="2" t="s">
        <v>490</v>
      </c>
      <c r="D674" s="2">
        <v>3</v>
      </c>
      <c r="E674" s="8">
        <v>40513.497916666667</v>
      </c>
      <c r="F674" s="2">
        <v>1.65</v>
      </c>
      <c r="G674" s="2">
        <v>12838</v>
      </c>
      <c r="H674" s="2" t="s">
        <v>10</v>
      </c>
      <c r="I674" s="2">
        <f>ABS(DF[[#This Row],[Quantity_BEFORE]])</f>
        <v>3</v>
      </c>
      <c r="J674" s="2">
        <f>DF[[#This Row],[QUANTITY]]*DF[[#This Row],[UnitPrice]]</f>
        <v>4.9499999999999993</v>
      </c>
    </row>
    <row r="675" spans="1:10" x14ac:dyDescent="0.25">
      <c r="A675" s="2">
        <v>536415</v>
      </c>
      <c r="B675" s="2">
        <v>22534</v>
      </c>
      <c r="C675" s="2" t="s">
        <v>491</v>
      </c>
      <c r="D675" s="2">
        <v>3</v>
      </c>
      <c r="E675" s="8">
        <v>40513.497916666667</v>
      </c>
      <c r="F675" s="2">
        <v>0.42</v>
      </c>
      <c r="G675" s="2">
        <v>12838</v>
      </c>
      <c r="H675" s="2" t="s">
        <v>10</v>
      </c>
      <c r="I675" s="2">
        <f>ABS(DF[[#This Row],[Quantity_BEFORE]])</f>
        <v>3</v>
      </c>
      <c r="J675" s="2">
        <f>DF[[#This Row],[QUANTITY]]*DF[[#This Row],[UnitPrice]]</f>
        <v>1.26</v>
      </c>
    </row>
    <row r="676" spans="1:10" x14ac:dyDescent="0.25">
      <c r="A676" s="2">
        <v>536415</v>
      </c>
      <c r="B676" s="2">
        <v>22531</v>
      </c>
      <c r="C676" s="2" t="s">
        <v>400</v>
      </c>
      <c r="D676" s="2">
        <v>3</v>
      </c>
      <c r="E676" s="8">
        <v>40513.497916666667</v>
      </c>
      <c r="F676" s="2">
        <v>0.42</v>
      </c>
      <c r="G676" s="2">
        <v>12838</v>
      </c>
      <c r="H676" s="2" t="s">
        <v>10</v>
      </c>
      <c r="I676" s="2">
        <f>ABS(DF[[#This Row],[Quantity_BEFORE]])</f>
        <v>3</v>
      </c>
      <c r="J676" s="2">
        <f>DF[[#This Row],[QUANTITY]]*DF[[#This Row],[UnitPrice]]</f>
        <v>1.26</v>
      </c>
    </row>
    <row r="677" spans="1:10" x14ac:dyDescent="0.25">
      <c r="A677" s="2">
        <v>536415</v>
      </c>
      <c r="B677" s="2">
        <v>22529</v>
      </c>
      <c r="C677" s="2" t="s">
        <v>492</v>
      </c>
      <c r="D677" s="2">
        <v>3</v>
      </c>
      <c r="E677" s="8">
        <v>40513.497916666667</v>
      </c>
      <c r="F677" s="2">
        <v>0.42</v>
      </c>
      <c r="G677" s="2">
        <v>12838</v>
      </c>
      <c r="H677" s="2" t="s">
        <v>10</v>
      </c>
      <c r="I677" s="2">
        <f>ABS(DF[[#This Row],[Quantity_BEFORE]])</f>
        <v>3</v>
      </c>
      <c r="J677" s="2">
        <f>DF[[#This Row],[QUANTITY]]*DF[[#This Row],[UnitPrice]]</f>
        <v>1.26</v>
      </c>
    </row>
    <row r="678" spans="1:10" x14ac:dyDescent="0.25">
      <c r="A678" s="2">
        <v>536415</v>
      </c>
      <c r="B678" s="2">
        <v>22530</v>
      </c>
      <c r="C678" s="2" t="s">
        <v>493</v>
      </c>
      <c r="D678" s="2">
        <v>3</v>
      </c>
      <c r="E678" s="8">
        <v>40513.497916666667</v>
      </c>
      <c r="F678" s="2">
        <v>0.42</v>
      </c>
      <c r="G678" s="2">
        <v>12838</v>
      </c>
      <c r="H678" s="2" t="s">
        <v>10</v>
      </c>
      <c r="I678" s="2">
        <f>ABS(DF[[#This Row],[Quantity_BEFORE]])</f>
        <v>3</v>
      </c>
      <c r="J678" s="2">
        <f>DF[[#This Row],[QUANTITY]]*DF[[#This Row],[UnitPrice]]</f>
        <v>1.26</v>
      </c>
    </row>
    <row r="679" spans="1:10" x14ac:dyDescent="0.25">
      <c r="A679" s="2">
        <v>536415</v>
      </c>
      <c r="B679" s="2" t="s">
        <v>494</v>
      </c>
      <c r="C679" s="2" t="s">
        <v>495</v>
      </c>
      <c r="D679" s="2">
        <v>3</v>
      </c>
      <c r="E679" s="8">
        <v>40513.497916666667</v>
      </c>
      <c r="F679" s="2">
        <v>2.95</v>
      </c>
      <c r="G679" s="2">
        <v>12838</v>
      </c>
      <c r="H679" s="2" t="s">
        <v>10</v>
      </c>
      <c r="I679" s="2">
        <f>ABS(DF[[#This Row],[Quantity_BEFORE]])</f>
        <v>3</v>
      </c>
      <c r="J679" s="2">
        <f>DF[[#This Row],[QUANTITY]]*DF[[#This Row],[UnitPrice]]</f>
        <v>8.8500000000000014</v>
      </c>
    </row>
    <row r="680" spans="1:10" x14ac:dyDescent="0.25">
      <c r="A680" s="2">
        <v>536415</v>
      </c>
      <c r="B680" s="2">
        <v>22837</v>
      </c>
      <c r="C680" s="2" t="s">
        <v>323</v>
      </c>
      <c r="D680" s="2">
        <v>3</v>
      </c>
      <c r="E680" s="8">
        <v>40513.497916666667</v>
      </c>
      <c r="F680" s="2">
        <v>4.6500000000000004</v>
      </c>
      <c r="G680" s="2">
        <v>12838</v>
      </c>
      <c r="H680" s="2" t="s">
        <v>10</v>
      </c>
      <c r="I680" s="2">
        <f>ABS(DF[[#This Row],[Quantity_BEFORE]])</f>
        <v>3</v>
      </c>
      <c r="J680" s="2">
        <f>DF[[#This Row],[QUANTITY]]*DF[[#This Row],[UnitPrice]]</f>
        <v>13.950000000000001</v>
      </c>
    </row>
    <row r="681" spans="1:10" x14ac:dyDescent="0.25">
      <c r="A681" s="2">
        <v>536415</v>
      </c>
      <c r="B681" s="2" t="s">
        <v>496</v>
      </c>
      <c r="C681" s="2" t="s">
        <v>497</v>
      </c>
      <c r="D681" s="2">
        <v>2</v>
      </c>
      <c r="E681" s="8">
        <v>40513.497916666667</v>
      </c>
      <c r="F681" s="2">
        <v>1.25</v>
      </c>
      <c r="G681" s="2">
        <v>12838</v>
      </c>
      <c r="H681" s="2" t="s">
        <v>10</v>
      </c>
      <c r="I681" s="2">
        <f>ABS(DF[[#This Row],[Quantity_BEFORE]])</f>
        <v>2</v>
      </c>
      <c r="J681" s="2">
        <f>DF[[#This Row],[QUANTITY]]*DF[[#This Row],[UnitPrice]]</f>
        <v>2.5</v>
      </c>
    </row>
    <row r="682" spans="1:10" x14ac:dyDescent="0.25">
      <c r="A682" s="2">
        <v>536415</v>
      </c>
      <c r="B682" s="2">
        <v>22749</v>
      </c>
      <c r="C682" s="2" t="s">
        <v>25</v>
      </c>
      <c r="D682" s="2">
        <v>2</v>
      </c>
      <c r="E682" s="8">
        <v>40513.497916666667</v>
      </c>
      <c r="F682" s="2">
        <v>3.75</v>
      </c>
      <c r="G682" s="2">
        <v>12838</v>
      </c>
      <c r="H682" s="2" t="s">
        <v>10</v>
      </c>
      <c r="I682" s="2">
        <f>ABS(DF[[#This Row],[Quantity_BEFORE]])</f>
        <v>2</v>
      </c>
      <c r="J682" s="2">
        <f>DF[[#This Row],[QUANTITY]]*DF[[#This Row],[UnitPrice]]</f>
        <v>7.5</v>
      </c>
    </row>
    <row r="683" spans="1:10" x14ac:dyDescent="0.25">
      <c r="A683" s="2">
        <v>536415</v>
      </c>
      <c r="B683" s="2">
        <v>22807</v>
      </c>
      <c r="C683" s="2" t="s">
        <v>498</v>
      </c>
      <c r="D683" s="2">
        <v>12</v>
      </c>
      <c r="E683" s="8">
        <v>40513.497916666667</v>
      </c>
      <c r="F683" s="2">
        <v>2.95</v>
      </c>
      <c r="G683" s="2">
        <v>12838</v>
      </c>
      <c r="H683" s="2" t="s">
        <v>10</v>
      </c>
      <c r="I683" s="2">
        <f>ABS(DF[[#This Row],[Quantity_BEFORE]])</f>
        <v>12</v>
      </c>
      <c r="J683" s="2">
        <f>DF[[#This Row],[QUANTITY]]*DF[[#This Row],[UnitPrice]]</f>
        <v>35.400000000000006</v>
      </c>
    </row>
    <row r="684" spans="1:10" x14ac:dyDescent="0.25">
      <c r="A684" s="2">
        <v>536416</v>
      </c>
      <c r="B684" s="2">
        <v>21494</v>
      </c>
      <c r="C684" s="2" t="s">
        <v>499</v>
      </c>
      <c r="D684" s="2">
        <v>12</v>
      </c>
      <c r="E684" s="8">
        <v>40513.498611111114</v>
      </c>
      <c r="F684" s="2">
        <v>1.25</v>
      </c>
      <c r="G684" s="2">
        <v>13255</v>
      </c>
      <c r="H684" s="2" t="s">
        <v>10</v>
      </c>
      <c r="I684" s="2">
        <f>ABS(DF[[#This Row],[Quantity_BEFORE]])</f>
        <v>12</v>
      </c>
      <c r="J684" s="2">
        <f>DF[[#This Row],[QUANTITY]]*DF[[#This Row],[UnitPrice]]</f>
        <v>15</v>
      </c>
    </row>
    <row r="685" spans="1:10" x14ac:dyDescent="0.25">
      <c r="A685" s="2">
        <v>536416</v>
      </c>
      <c r="B685" s="2">
        <v>21915</v>
      </c>
      <c r="C685" s="2" t="s">
        <v>354</v>
      </c>
      <c r="D685" s="2">
        <v>72</v>
      </c>
      <c r="E685" s="8">
        <v>40513.498611111114</v>
      </c>
      <c r="F685" s="2">
        <v>1.25</v>
      </c>
      <c r="G685" s="2">
        <v>13255</v>
      </c>
      <c r="H685" s="2" t="s">
        <v>10</v>
      </c>
      <c r="I685" s="2">
        <f>ABS(DF[[#This Row],[Quantity_BEFORE]])</f>
        <v>72</v>
      </c>
      <c r="J685" s="2">
        <f>DF[[#This Row],[QUANTITY]]*DF[[#This Row],[UnitPrice]]</f>
        <v>90</v>
      </c>
    </row>
    <row r="686" spans="1:10" x14ac:dyDescent="0.25">
      <c r="A686" s="2">
        <v>536416</v>
      </c>
      <c r="B686" s="2">
        <v>22938</v>
      </c>
      <c r="C686" s="2" t="s">
        <v>500</v>
      </c>
      <c r="D686" s="2">
        <v>12</v>
      </c>
      <c r="E686" s="8">
        <v>40513.498611111114</v>
      </c>
      <c r="F686" s="2">
        <v>1.95</v>
      </c>
      <c r="G686" s="2">
        <v>13255</v>
      </c>
      <c r="H686" s="2" t="s">
        <v>10</v>
      </c>
      <c r="I686" s="2">
        <f>ABS(DF[[#This Row],[Quantity_BEFORE]])</f>
        <v>12</v>
      </c>
      <c r="J686" s="2">
        <f>DF[[#This Row],[QUANTITY]]*DF[[#This Row],[UnitPrice]]</f>
        <v>23.4</v>
      </c>
    </row>
    <row r="687" spans="1:10" x14ac:dyDescent="0.25">
      <c r="A687" s="2">
        <v>536416</v>
      </c>
      <c r="B687" s="2">
        <v>22768</v>
      </c>
      <c r="C687" s="2" t="s">
        <v>280</v>
      </c>
      <c r="D687" s="2">
        <v>4</v>
      </c>
      <c r="E687" s="8">
        <v>40513.498611111114</v>
      </c>
      <c r="F687" s="2">
        <v>9.9499999999999993</v>
      </c>
      <c r="G687" s="2">
        <v>13255</v>
      </c>
      <c r="H687" s="2" t="s">
        <v>10</v>
      </c>
      <c r="I687" s="2">
        <f>ABS(DF[[#This Row],[Quantity_BEFORE]])</f>
        <v>4</v>
      </c>
      <c r="J687" s="2">
        <f>DF[[#This Row],[QUANTITY]]*DF[[#This Row],[UnitPrice]]</f>
        <v>39.799999999999997</v>
      </c>
    </row>
    <row r="688" spans="1:10" x14ac:dyDescent="0.25">
      <c r="A688" s="2">
        <v>536416</v>
      </c>
      <c r="B688" s="2">
        <v>22767</v>
      </c>
      <c r="C688" s="2" t="s">
        <v>279</v>
      </c>
      <c r="D688" s="2">
        <v>4</v>
      </c>
      <c r="E688" s="8">
        <v>40513.498611111114</v>
      </c>
      <c r="F688" s="2">
        <v>9.9499999999999993</v>
      </c>
      <c r="G688" s="2">
        <v>13255</v>
      </c>
      <c r="H688" s="2" t="s">
        <v>10</v>
      </c>
      <c r="I688" s="2">
        <f>ABS(DF[[#This Row],[Quantity_BEFORE]])</f>
        <v>4</v>
      </c>
      <c r="J688" s="2">
        <f>DF[[#This Row],[QUANTITY]]*DF[[#This Row],[UnitPrice]]</f>
        <v>39.799999999999997</v>
      </c>
    </row>
    <row r="689" spans="1:10" x14ac:dyDescent="0.25">
      <c r="A689" s="2">
        <v>536416</v>
      </c>
      <c r="B689" s="2" t="s">
        <v>70</v>
      </c>
      <c r="C689" s="2" t="s">
        <v>71</v>
      </c>
      <c r="D689" s="2">
        <v>6</v>
      </c>
      <c r="E689" s="8">
        <v>40513.498611111114</v>
      </c>
      <c r="F689" s="2">
        <v>2.95</v>
      </c>
      <c r="G689" s="2">
        <v>13255</v>
      </c>
      <c r="H689" s="2" t="s">
        <v>10</v>
      </c>
      <c r="I689" s="2">
        <f>ABS(DF[[#This Row],[Quantity_BEFORE]])</f>
        <v>6</v>
      </c>
      <c r="J689" s="2">
        <f>DF[[#This Row],[QUANTITY]]*DF[[#This Row],[UnitPrice]]</f>
        <v>17.700000000000003</v>
      </c>
    </row>
    <row r="690" spans="1:10" x14ac:dyDescent="0.25">
      <c r="A690" s="2">
        <v>536420</v>
      </c>
      <c r="B690" s="2">
        <v>21889</v>
      </c>
      <c r="C690" s="2" t="s">
        <v>229</v>
      </c>
      <c r="D690" s="2">
        <v>12</v>
      </c>
      <c r="E690" s="8">
        <v>40513.502083333333</v>
      </c>
      <c r="F690" s="2">
        <v>1.25</v>
      </c>
      <c r="G690" s="2">
        <v>16583</v>
      </c>
      <c r="H690" s="2" t="s">
        <v>10</v>
      </c>
      <c r="I690" s="2">
        <f>ABS(DF[[#This Row],[Quantity_BEFORE]])</f>
        <v>12</v>
      </c>
      <c r="J690" s="2">
        <f>DF[[#This Row],[QUANTITY]]*DF[[#This Row],[UnitPrice]]</f>
        <v>15</v>
      </c>
    </row>
    <row r="691" spans="1:10" x14ac:dyDescent="0.25">
      <c r="A691" s="2">
        <v>536420</v>
      </c>
      <c r="B691" s="2">
        <v>21892</v>
      </c>
      <c r="C691" s="2" t="s">
        <v>501</v>
      </c>
      <c r="D691" s="2">
        <v>12</v>
      </c>
      <c r="E691" s="8">
        <v>40513.502083333333</v>
      </c>
      <c r="F691" s="2">
        <v>1.25</v>
      </c>
      <c r="G691" s="2">
        <v>16583</v>
      </c>
      <c r="H691" s="2" t="s">
        <v>10</v>
      </c>
      <c r="I691" s="2">
        <f>ABS(DF[[#This Row],[Quantity_BEFORE]])</f>
        <v>12</v>
      </c>
      <c r="J691" s="2">
        <f>DF[[#This Row],[QUANTITY]]*DF[[#This Row],[UnitPrice]]</f>
        <v>15</v>
      </c>
    </row>
    <row r="692" spans="1:10" x14ac:dyDescent="0.25">
      <c r="A692" s="2">
        <v>536420</v>
      </c>
      <c r="B692" s="2">
        <v>21891</v>
      </c>
      <c r="C692" s="2" t="s">
        <v>228</v>
      </c>
      <c r="D692" s="2">
        <v>12</v>
      </c>
      <c r="E692" s="8">
        <v>40513.502083333333</v>
      </c>
      <c r="F692" s="2">
        <v>1.25</v>
      </c>
      <c r="G692" s="2">
        <v>16583</v>
      </c>
      <c r="H692" s="2" t="s">
        <v>10</v>
      </c>
      <c r="I692" s="2">
        <f>ABS(DF[[#This Row],[Quantity_BEFORE]])</f>
        <v>12</v>
      </c>
      <c r="J692" s="2">
        <f>DF[[#This Row],[QUANTITY]]*DF[[#This Row],[UnitPrice]]</f>
        <v>15</v>
      </c>
    </row>
    <row r="693" spans="1:10" x14ac:dyDescent="0.25">
      <c r="A693" s="2">
        <v>536420</v>
      </c>
      <c r="B693" s="2">
        <v>21890</v>
      </c>
      <c r="C693" s="2" t="s">
        <v>502</v>
      </c>
      <c r="D693" s="2">
        <v>6</v>
      </c>
      <c r="E693" s="8">
        <v>40513.502083333333</v>
      </c>
      <c r="F693" s="2">
        <v>2.95</v>
      </c>
      <c r="G693" s="2">
        <v>16583</v>
      </c>
      <c r="H693" s="2" t="s">
        <v>10</v>
      </c>
      <c r="I693" s="2">
        <f>ABS(DF[[#This Row],[Quantity_BEFORE]])</f>
        <v>6</v>
      </c>
      <c r="J693" s="2">
        <f>DF[[#This Row],[QUANTITY]]*DF[[#This Row],[UnitPrice]]</f>
        <v>17.700000000000003</v>
      </c>
    </row>
    <row r="694" spans="1:10" x14ac:dyDescent="0.25">
      <c r="A694" s="2">
        <v>536420</v>
      </c>
      <c r="B694" s="2">
        <v>21718</v>
      </c>
      <c r="C694" s="2" t="s">
        <v>503</v>
      </c>
      <c r="D694" s="2">
        <v>12</v>
      </c>
      <c r="E694" s="8">
        <v>40513.502083333333</v>
      </c>
      <c r="F694" s="2">
        <v>1.25</v>
      </c>
      <c r="G694" s="2">
        <v>16583</v>
      </c>
      <c r="H694" s="2" t="s">
        <v>10</v>
      </c>
      <c r="I694" s="2">
        <f>ABS(DF[[#This Row],[Quantity_BEFORE]])</f>
        <v>12</v>
      </c>
      <c r="J694" s="2">
        <f>DF[[#This Row],[QUANTITY]]*DF[[#This Row],[UnitPrice]]</f>
        <v>15</v>
      </c>
    </row>
    <row r="695" spans="1:10" x14ac:dyDescent="0.25">
      <c r="A695" s="2">
        <v>536420</v>
      </c>
      <c r="B695" s="2">
        <v>21716</v>
      </c>
      <c r="C695" s="2" t="s">
        <v>504</v>
      </c>
      <c r="D695" s="2">
        <v>8</v>
      </c>
      <c r="E695" s="8">
        <v>40513.502083333333</v>
      </c>
      <c r="F695" s="2">
        <v>2.5499999999999998</v>
      </c>
      <c r="G695" s="2">
        <v>16583</v>
      </c>
      <c r="H695" s="2" t="s">
        <v>10</v>
      </c>
      <c r="I695" s="2">
        <f>ABS(DF[[#This Row],[Quantity_BEFORE]])</f>
        <v>8</v>
      </c>
      <c r="J695" s="2">
        <f>DF[[#This Row],[QUANTITY]]*DF[[#This Row],[UnitPrice]]</f>
        <v>20.399999999999999</v>
      </c>
    </row>
    <row r="696" spans="1:10" x14ac:dyDescent="0.25">
      <c r="A696" s="2">
        <v>536420</v>
      </c>
      <c r="B696" s="2">
        <v>21715</v>
      </c>
      <c r="C696" s="2" t="s">
        <v>505</v>
      </c>
      <c r="D696" s="2">
        <v>8</v>
      </c>
      <c r="E696" s="8">
        <v>40513.502083333333</v>
      </c>
      <c r="F696" s="2">
        <v>2.5499999999999998</v>
      </c>
      <c r="G696" s="2">
        <v>16583</v>
      </c>
      <c r="H696" s="2" t="s">
        <v>10</v>
      </c>
      <c r="I696" s="2">
        <f>ABS(DF[[#This Row],[Quantity_BEFORE]])</f>
        <v>8</v>
      </c>
      <c r="J696" s="2">
        <f>DF[[#This Row],[QUANTITY]]*DF[[#This Row],[UnitPrice]]</f>
        <v>20.399999999999999</v>
      </c>
    </row>
    <row r="697" spans="1:10" x14ac:dyDescent="0.25">
      <c r="A697" s="2">
        <v>536420</v>
      </c>
      <c r="B697" s="2">
        <v>22113</v>
      </c>
      <c r="C697" s="2" t="s">
        <v>506</v>
      </c>
      <c r="D697" s="2">
        <v>4</v>
      </c>
      <c r="E697" s="8">
        <v>40513.502083333333</v>
      </c>
      <c r="F697" s="2">
        <v>3.75</v>
      </c>
      <c r="G697" s="2">
        <v>16583</v>
      </c>
      <c r="H697" s="2" t="s">
        <v>10</v>
      </c>
      <c r="I697" s="2">
        <f>ABS(DF[[#This Row],[Quantity_BEFORE]])</f>
        <v>4</v>
      </c>
      <c r="J697" s="2">
        <f>DF[[#This Row],[QUANTITY]]*DF[[#This Row],[UnitPrice]]</f>
        <v>15</v>
      </c>
    </row>
    <row r="698" spans="1:10" x14ac:dyDescent="0.25">
      <c r="A698" s="2">
        <v>536420</v>
      </c>
      <c r="B698" s="2">
        <v>22111</v>
      </c>
      <c r="C698" s="2" t="s">
        <v>261</v>
      </c>
      <c r="D698" s="2">
        <v>3</v>
      </c>
      <c r="E698" s="8">
        <v>40513.502083333333</v>
      </c>
      <c r="F698" s="2">
        <v>4.95</v>
      </c>
      <c r="G698" s="2">
        <v>16583</v>
      </c>
      <c r="H698" s="2" t="s">
        <v>10</v>
      </c>
      <c r="I698" s="2">
        <f>ABS(DF[[#This Row],[Quantity_BEFORE]])</f>
        <v>3</v>
      </c>
      <c r="J698" s="2">
        <f>DF[[#This Row],[QUANTITY]]*DF[[#This Row],[UnitPrice]]</f>
        <v>14.850000000000001</v>
      </c>
    </row>
    <row r="699" spans="1:10" x14ac:dyDescent="0.25">
      <c r="A699" s="2">
        <v>536420</v>
      </c>
      <c r="B699" s="2">
        <v>22110</v>
      </c>
      <c r="C699" s="2" t="s">
        <v>262</v>
      </c>
      <c r="D699" s="2">
        <v>6</v>
      </c>
      <c r="E699" s="8">
        <v>40513.502083333333</v>
      </c>
      <c r="F699" s="2">
        <v>2.5499999999999998</v>
      </c>
      <c r="G699" s="2">
        <v>16583</v>
      </c>
      <c r="H699" s="2" t="s">
        <v>10</v>
      </c>
      <c r="I699" s="2">
        <f>ABS(DF[[#This Row],[Quantity_BEFORE]])</f>
        <v>6</v>
      </c>
      <c r="J699" s="2">
        <f>DF[[#This Row],[QUANTITY]]*DF[[#This Row],[UnitPrice]]</f>
        <v>15.299999999999999</v>
      </c>
    </row>
    <row r="700" spans="1:10" x14ac:dyDescent="0.25">
      <c r="A700" s="2">
        <v>536420</v>
      </c>
      <c r="B700" s="2">
        <v>22358</v>
      </c>
      <c r="C700" s="2" t="s">
        <v>507</v>
      </c>
      <c r="D700" s="2">
        <v>6</v>
      </c>
      <c r="E700" s="8">
        <v>40513.502083333333</v>
      </c>
      <c r="F700" s="2">
        <v>2.95</v>
      </c>
      <c r="G700" s="2">
        <v>16583</v>
      </c>
      <c r="H700" s="2" t="s">
        <v>10</v>
      </c>
      <c r="I700" s="2">
        <f>ABS(DF[[#This Row],[Quantity_BEFORE]])</f>
        <v>6</v>
      </c>
      <c r="J700" s="2">
        <f>DF[[#This Row],[QUANTITY]]*DF[[#This Row],[UnitPrice]]</f>
        <v>17.700000000000003</v>
      </c>
    </row>
    <row r="701" spans="1:10" x14ac:dyDescent="0.25">
      <c r="A701" s="2">
        <v>536420</v>
      </c>
      <c r="B701" s="2">
        <v>22357</v>
      </c>
      <c r="C701" s="2" t="s">
        <v>508</v>
      </c>
      <c r="D701" s="2">
        <v>4</v>
      </c>
      <c r="E701" s="8">
        <v>40513.502083333333</v>
      </c>
      <c r="F701" s="2">
        <v>4.25</v>
      </c>
      <c r="G701" s="2">
        <v>16583</v>
      </c>
      <c r="H701" s="2" t="s">
        <v>10</v>
      </c>
      <c r="I701" s="2">
        <f>ABS(DF[[#This Row],[Quantity_BEFORE]])</f>
        <v>4</v>
      </c>
      <c r="J701" s="2">
        <f>DF[[#This Row],[QUANTITY]]*DF[[#This Row],[UnitPrice]]</f>
        <v>17</v>
      </c>
    </row>
    <row r="702" spans="1:10" x14ac:dyDescent="0.25">
      <c r="A702" s="2">
        <v>536420</v>
      </c>
      <c r="B702" s="2">
        <v>22115</v>
      </c>
      <c r="C702" s="2" t="s">
        <v>509</v>
      </c>
      <c r="D702" s="2">
        <v>6</v>
      </c>
      <c r="E702" s="8">
        <v>40513.502083333333</v>
      </c>
      <c r="F702" s="2">
        <v>2.95</v>
      </c>
      <c r="G702" s="2">
        <v>16583</v>
      </c>
      <c r="H702" s="2" t="s">
        <v>10</v>
      </c>
      <c r="I702" s="2">
        <f>ABS(DF[[#This Row],[Quantity_BEFORE]])</f>
        <v>6</v>
      </c>
      <c r="J702" s="2">
        <f>DF[[#This Row],[QUANTITY]]*DF[[#This Row],[UnitPrice]]</f>
        <v>17.700000000000003</v>
      </c>
    </row>
    <row r="703" spans="1:10" x14ac:dyDescent="0.25">
      <c r="A703" s="2">
        <v>536420</v>
      </c>
      <c r="B703" s="2">
        <v>22969</v>
      </c>
      <c r="C703" s="2" t="s">
        <v>183</v>
      </c>
      <c r="D703" s="2">
        <v>12</v>
      </c>
      <c r="E703" s="8">
        <v>40513.502083333333</v>
      </c>
      <c r="F703" s="2">
        <v>1.45</v>
      </c>
      <c r="G703" s="2">
        <v>16583</v>
      </c>
      <c r="H703" s="2" t="s">
        <v>10</v>
      </c>
      <c r="I703" s="2">
        <f>ABS(DF[[#This Row],[Quantity_BEFORE]])</f>
        <v>12</v>
      </c>
      <c r="J703" s="2">
        <f>DF[[#This Row],[QUANTITY]]*DF[[#This Row],[UnitPrice]]</f>
        <v>17.399999999999999</v>
      </c>
    </row>
    <row r="704" spans="1:10" x14ac:dyDescent="0.25">
      <c r="A704" s="2">
        <v>536423</v>
      </c>
      <c r="B704" s="2">
        <v>22619</v>
      </c>
      <c r="C704" s="2" t="s">
        <v>227</v>
      </c>
      <c r="D704" s="2">
        <v>4</v>
      </c>
      <c r="E704" s="8">
        <v>40513.505555555559</v>
      </c>
      <c r="F704" s="2">
        <v>3.75</v>
      </c>
      <c r="G704" s="2">
        <v>18085</v>
      </c>
      <c r="H704" s="2" t="s">
        <v>10</v>
      </c>
      <c r="I704" s="2">
        <f>ABS(DF[[#This Row],[Quantity_BEFORE]])</f>
        <v>4</v>
      </c>
      <c r="J704" s="2">
        <f>DF[[#This Row],[QUANTITY]]*DF[[#This Row],[UnitPrice]]</f>
        <v>15</v>
      </c>
    </row>
    <row r="705" spans="1:10" x14ac:dyDescent="0.25">
      <c r="A705" s="2">
        <v>536423</v>
      </c>
      <c r="B705" s="2">
        <v>21481</v>
      </c>
      <c r="C705" s="2" t="s">
        <v>510</v>
      </c>
      <c r="D705" s="2">
        <v>6</v>
      </c>
      <c r="E705" s="8">
        <v>40513.505555555559</v>
      </c>
      <c r="F705" s="2">
        <v>2.95</v>
      </c>
      <c r="G705" s="2">
        <v>18085</v>
      </c>
      <c r="H705" s="2" t="s">
        <v>10</v>
      </c>
      <c r="I705" s="2">
        <f>ABS(DF[[#This Row],[Quantity_BEFORE]])</f>
        <v>6</v>
      </c>
      <c r="J705" s="2">
        <f>DF[[#This Row],[QUANTITY]]*DF[[#This Row],[UnitPrice]]</f>
        <v>17.700000000000003</v>
      </c>
    </row>
    <row r="706" spans="1:10" x14ac:dyDescent="0.25">
      <c r="A706" s="2">
        <v>536423</v>
      </c>
      <c r="B706" s="2">
        <v>22632</v>
      </c>
      <c r="C706" s="2" t="s">
        <v>239</v>
      </c>
      <c r="D706" s="2">
        <v>12</v>
      </c>
      <c r="E706" s="8">
        <v>40513.505555555559</v>
      </c>
      <c r="F706" s="2">
        <v>2.1</v>
      </c>
      <c r="G706" s="2">
        <v>18085</v>
      </c>
      <c r="H706" s="2" t="s">
        <v>10</v>
      </c>
      <c r="I706" s="2">
        <f>ABS(DF[[#This Row],[Quantity_BEFORE]])</f>
        <v>12</v>
      </c>
      <c r="J706" s="2">
        <f>DF[[#This Row],[QUANTITY]]*DF[[#This Row],[UnitPrice]]</f>
        <v>25.200000000000003</v>
      </c>
    </row>
    <row r="707" spans="1:10" x14ac:dyDescent="0.25">
      <c r="A707" s="2">
        <v>536423</v>
      </c>
      <c r="B707" s="2">
        <v>22837</v>
      </c>
      <c r="C707" s="2" t="s">
        <v>323</v>
      </c>
      <c r="D707" s="2">
        <v>8</v>
      </c>
      <c r="E707" s="8">
        <v>40513.505555555559</v>
      </c>
      <c r="F707" s="2">
        <v>4.6500000000000004</v>
      </c>
      <c r="G707" s="2">
        <v>18085</v>
      </c>
      <c r="H707" s="2" t="s">
        <v>10</v>
      </c>
      <c r="I707" s="2">
        <f>ABS(DF[[#This Row],[Quantity_BEFORE]])</f>
        <v>8</v>
      </c>
      <c r="J707" s="2">
        <f>DF[[#This Row],[QUANTITY]]*DF[[#This Row],[UnitPrice]]</f>
        <v>37.200000000000003</v>
      </c>
    </row>
    <row r="708" spans="1:10" x14ac:dyDescent="0.25">
      <c r="A708" s="2">
        <v>536423</v>
      </c>
      <c r="B708" s="2">
        <v>21479</v>
      </c>
      <c r="C708" s="2" t="s">
        <v>260</v>
      </c>
      <c r="D708" s="2">
        <v>8</v>
      </c>
      <c r="E708" s="8">
        <v>40513.505555555559</v>
      </c>
      <c r="F708" s="2">
        <v>3.75</v>
      </c>
      <c r="G708" s="2">
        <v>18085</v>
      </c>
      <c r="H708" s="2" t="s">
        <v>10</v>
      </c>
      <c r="I708" s="2">
        <f>ABS(DF[[#This Row],[Quantity_BEFORE]])</f>
        <v>8</v>
      </c>
      <c r="J708" s="2">
        <f>DF[[#This Row],[QUANTITY]]*DF[[#This Row],[UnitPrice]]</f>
        <v>30</v>
      </c>
    </row>
    <row r="709" spans="1:10" x14ac:dyDescent="0.25">
      <c r="A709" s="2">
        <v>536423</v>
      </c>
      <c r="B709" s="2">
        <v>21485</v>
      </c>
      <c r="C709" s="2" t="s">
        <v>214</v>
      </c>
      <c r="D709" s="2">
        <v>8</v>
      </c>
      <c r="E709" s="8">
        <v>40513.505555555559</v>
      </c>
      <c r="F709" s="2">
        <v>4.95</v>
      </c>
      <c r="G709" s="2">
        <v>18085</v>
      </c>
      <c r="H709" s="2" t="s">
        <v>10</v>
      </c>
      <c r="I709" s="2">
        <f>ABS(DF[[#This Row],[Quantity_BEFORE]])</f>
        <v>8</v>
      </c>
      <c r="J709" s="2">
        <f>DF[[#This Row],[QUANTITY]]*DF[[#This Row],[UnitPrice]]</f>
        <v>39.6</v>
      </c>
    </row>
    <row r="710" spans="1:10" x14ac:dyDescent="0.25">
      <c r="A710" s="2">
        <v>536423</v>
      </c>
      <c r="B710" s="2" t="s">
        <v>16</v>
      </c>
      <c r="C710" s="2" t="s">
        <v>17</v>
      </c>
      <c r="D710" s="2">
        <v>8</v>
      </c>
      <c r="E710" s="8">
        <v>40513.505555555559</v>
      </c>
      <c r="F710" s="2">
        <v>3.75</v>
      </c>
      <c r="G710" s="2">
        <v>18085</v>
      </c>
      <c r="H710" s="2" t="s">
        <v>10</v>
      </c>
      <c r="I710" s="2">
        <f>ABS(DF[[#This Row],[Quantity_BEFORE]])</f>
        <v>8</v>
      </c>
      <c r="J710" s="2">
        <f>DF[[#This Row],[QUANTITY]]*DF[[#This Row],[UnitPrice]]</f>
        <v>30</v>
      </c>
    </row>
    <row r="711" spans="1:10" x14ac:dyDescent="0.25">
      <c r="A711" s="2">
        <v>536423</v>
      </c>
      <c r="B711" s="2">
        <v>22111</v>
      </c>
      <c r="C711" s="2" t="s">
        <v>261</v>
      </c>
      <c r="D711" s="2">
        <v>16</v>
      </c>
      <c r="E711" s="8">
        <v>40513.505555555559</v>
      </c>
      <c r="F711" s="2">
        <v>4.95</v>
      </c>
      <c r="G711" s="2">
        <v>18085</v>
      </c>
      <c r="H711" s="2" t="s">
        <v>10</v>
      </c>
      <c r="I711" s="2">
        <f>ABS(DF[[#This Row],[Quantity_BEFORE]])</f>
        <v>16</v>
      </c>
      <c r="J711" s="2">
        <f>DF[[#This Row],[QUANTITY]]*DF[[#This Row],[UnitPrice]]</f>
        <v>79.2</v>
      </c>
    </row>
    <row r="712" spans="1:10" x14ac:dyDescent="0.25">
      <c r="A712" s="2">
        <v>536423</v>
      </c>
      <c r="B712" s="2">
        <v>22113</v>
      </c>
      <c r="C712" s="2" t="s">
        <v>506</v>
      </c>
      <c r="D712" s="2">
        <v>8</v>
      </c>
      <c r="E712" s="8">
        <v>40513.505555555559</v>
      </c>
      <c r="F712" s="2">
        <v>3.75</v>
      </c>
      <c r="G712" s="2">
        <v>18085</v>
      </c>
      <c r="H712" s="2" t="s">
        <v>10</v>
      </c>
      <c r="I712" s="2">
        <f>ABS(DF[[#This Row],[Quantity_BEFORE]])</f>
        <v>8</v>
      </c>
      <c r="J712" s="2">
        <f>DF[[#This Row],[QUANTITY]]*DF[[#This Row],[UnitPrice]]</f>
        <v>30</v>
      </c>
    </row>
    <row r="713" spans="1:10" x14ac:dyDescent="0.25">
      <c r="A713" s="2">
        <v>536425</v>
      </c>
      <c r="B713" s="2">
        <v>22837</v>
      </c>
      <c r="C713" s="2" t="s">
        <v>323</v>
      </c>
      <c r="D713" s="2">
        <v>8</v>
      </c>
      <c r="E713" s="8">
        <v>40513.505555555559</v>
      </c>
      <c r="F713" s="2">
        <v>4.6500000000000004</v>
      </c>
      <c r="G713" s="2">
        <v>13758</v>
      </c>
      <c r="H713" s="2" t="s">
        <v>10</v>
      </c>
      <c r="I713" s="2">
        <f>ABS(DF[[#This Row],[Quantity_BEFORE]])</f>
        <v>8</v>
      </c>
      <c r="J713" s="2">
        <f>DF[[#This Row],[QUANTITY]]*DF[[#This Row],[UnitPrice]]</f>
        <v>37.200000000000003</v>
      </c>
    </row>
    <row r="714" spans="1:10" x14ac:dyDescent="0.25">
      <c r="A714" s="2">
        <v>536425</v>
      </c>
      <c r="B714" s="2">
        <v>22585</v>
      </c>
      <c r="C714" s="2" t="s">
        <v>511</v>
      </c>
      <c r="D714" s="2">
        <v>12</v>
      </c>
      <c r="E714" s="8">
        <v>40513.505555555559</v>
      </c>
      <c r="F714" s="2">
        <v>1.25</v>
      </c>
      <c r="G714" s="2">
        <v>13758</v>
      </c>
      <c r="H714" s="2" t="s">
        <v>10</v>
      </c>
      <c r="I714" s="2">
        <f>ABS(DF[[#This Row],[Quantity_BEFORE]])</f>
        <v>12</v>
      </c>
      <c r="J714" s="2">
        <f>DF[[#This Row],[QUANTITY]]*DF[[#This Row],[UnitPrice]]</f>
        <v>15</v>
      </c>
    </row>
    <row r="715" spans="1:10" x14ac:dyDescent="0.25">
      <c r="A715" s="2">
        <v>536425</v>
      </c>
      <c r="B715" s="2">
        <v>79321</v>
      </c>
      <c r="C715" s="2" t="s">
        <v>174</v>
      </c>
      <c r="D715" s="2">
        <v>8</v>
      </c>
      <c r="E715" s="8">
        <v>40513.505555555559</v>
      </c>
      <c r="F715" s="2">
        <v>4.95</v>
      </c>
      <c r="G715" s="2">
        <v>13758</v>
      </c>
      <c r="H715" s="2" t="s">
        <v>10</v>
      </c>
      <c r="I715" s="2">
        <f>ABS(DF[[#This Row],[Quantity_BEFORE]])</f>
        <v>8</v>
      </c>
      <c r="J715" s="2">
        <f>DF[[#This Row],[QUANTITY]]*DF[[#This Row],[UnitPrice]]</f>
        <v>39.6</v>
      </c>
    </row>
    <row r="716" spans="1:10" x14ac:dyDescent="0.25">
      <c r="A716" s="2">
        <v>536425</v>
      </c>
      <c r="B716" s="2">
        <v>22637</v>
      </c>
      <c r="C716" s="2" t="s">
        <v>110</v>
      </c>
      <c r="D716" s="2">
        <v>12</v>
      </c>
      <c r="E716" s="8">
        <v>40513.505555555559</v>
      </c>
      <c r="F716" s="2">
        <v>2.5499999999999998</v>
      </c>
      <c r="G716" s="2">
        <v>13758</v>
      </c>
      <c r="H716" s="2" t="s">
        <v>10</v>
      </c>
      <c r="I716" s="2">
        <f>ABS(DF[[#This Row],[Quantity_BEFORE]])</f>
        <v>12</v>
      </c>
      <c r="J716" s="2">
        <f>DF[[#This Row],[QUANTITY]]*DF[[#This Row],[UnitPrice]]</f>
        <v>30.599999999999998</v>
      </c>
    </row>
    <row r="717" spans="1:10" x14ac:dyDescent="0.25">
      <c r="A717" s="2">
        <v>536425</v>
      </c>
      <c r="B717" s="2">
        <v>21556</v>
      </c>
      <c r="C717" s="2" t="s">
        <v>512</v>
      </c>
      <c r="D717" s="2">
        <v>6</v>
      </c>
      <c r="E717" s="8">
        <v>40513.505555555559</v>
      </c>
      <c r="F717" s="2">
        <v>2.5499999999999998</v>
      </c>
      <c r="G717" s="2">
        <v>13758</v>
      </c>
      <c r="H717" s="2" t="s">
        <v>10</v>
      </c>
      <c r="I717" s="2">
        <f>ABS(DF[[#This Row],[Quantity_BEFORE]])</f>
        <v>6</v>
      </c>
      <c r="J717" s="2">
        <f>DF[[#This Row],[QUANTITY]]*DF[[#This Row],[UnitPrice]]</f>
        <v>15.299999999999999</v>
      </c>
    </row>
    <row r="718" spans="1:10" x14ac:dyDescent="0.25">
      <c r="A718" s="2">
        <v>536425</v>
      </c>
      <c r="B718" s="2">
        <v>22646</v>
      </c>
      <c r="C718" s="2" t="s">
        <v>132</v>
      </c>
      <c r="D718" s="2">
        <v>12</v>
      </c>
      <c r="E718" s="8">
        <v>40513.505555555559</v>
      </c>
      <c r="F718" s="2">
        <v>1.45</v>
      </c>
      <c r="G718" s="2">
        <v>13758</v>
      </c>
      <c r="H718" s="2" t="s">
        <v>10</v>
      </c>
      <c r="I718" s="2">
        <f>ABS(DF[[#This Row],[Quantity_BEFORE]])</f>
        <v>12</v>
      </c>
      <c r="J718" s="2">
        <f>DF[[#This Row],[QUANTITY]]*DF[[#This Row],[UnitPrice]]</f>
        <v>17.399999999999999</v>
      </c>
    </row>
    <row r="719" spans="1:10" x14ac:dyDescent="0.25">
      <c r="A719" s="2">
        <v>536425</v>
      </c>
      <c r="B719" s="2">
        <v>22644</v>
      </c>
      <c r="C719" s="2" t="s">
        <v>125</v>
      </c>
      <c r="D719" s="2">
        <v>12</v>
      </c>
      <c r="E719" s="8">
        <v>40513.505555555559</v>
      </c>
      <c r="F719" s="2">
        <v>1.45</v>
      </c>
      <c r="G719" s="2">
        <v>13758</v>
      </c>
      <c r="H719" s="2" t="s">
        <v>10</v>
      </c>
      <c r="I719" s="2">
        <f>ABS(DF[[#This Row],[Quantity_BEFORE]])</f>
        <v>12</v>
      </c>
      <c r="J719" s="2">
        <f>DF[[#This Row],[QUANTITY]]*DF[[#This Row],[UnitPrice]]</f>
        <v>17.399999999999999</v>
      </c>
    </row>
    <row r="720" spans="1:10" x14ac:dyDescent="0.25">
      <c r="A720" s="2">
        <v>536425</v>
      </c>
      <c r="B720" s="2">
        <v>22645</v>
      </c>
      <c r="C720" s="2" t="s">
        <v>513</v>
      </c>
      <c r="D720" s="2">
        <v>12</v>
      </c>
      <c r="E720" s="8">
        <v>40513.505555555559</v>
      </c>
      <c r="F720" s="2">
        <v>1.45</v>
      </c>
      <c r="G720" s="2">
        <v>13758</v>
      </c>
      <c r="H720" s="2" t="s">
        <v>10</v>
      </c>
      <c r="I720" s="2">
        <f>ABS(DF[[#This Row],[Quantity_BEFORE]])</f>
        <v>12</v>
      </c>
      <c r="J720" s="2">
        <f>DF[[#This Row],[QUANTITY]]*DF[[#This Row],[UnitPrice]]</f>
        <v>17.399999999999999</v>
      </c>
    </row>
    <row r="721" spans="1:10" x14ac:dyDescent="0.25">
      <c r="A721" s="2">
        <v>536425</v>
      </c>
      <c r="B721" s="2">
        <v>22650</v>
      </c>
      <c r="C721" s="2" t="s">
        <v>514</v>
      </c>
      <c r="D721" s="2">
        <v>12</v>
      </c>
      <c r="E721" s="8">
        <v>40513.505555555559</v>
      </c>
      <c r="F721" s="2">
        <v>1.45</v>
      </c>
      <c r="G721" s="2">
        <v>13758</v>
      </c>
      <c r="H721" s="2" t="s">
        <v>10</v>
      </c>
      <c r="I721" s="2">
        <f>ABS(DF[[#This Row],[Quantity_BEFORE]])</f>
        <v>12</v>
      </c>
      <c r="J721" s="2">
        <f>DF[[#This Row],[QUANTITY]]*DF[[#This Row],[UnitPrice]]</f>
        <v>17.399999999999999</v>
      </c>
    </row>
    <row r="722" spans="1:10" x14ac:dyDescent="0.25">
      <c r="A722" s="2">
        <v>536425</v>
      </c>
      <c r="B722" s="2">
        <v>22508</v>
      </c>
      <c r="C722" s="2" t="s">
        <v>515</v>
      </c>
      <c r="D722" s="2">
        <v>8</v>
      </c>
      <c r="E722" s="8">
        <v>40513.505555555559</v>
      </c>
      <c r="F722" s="2">
        <v>3.75</v>
      </c>
      <c r="G722" s="2">
        <v>13758</v>
      </c>
      <c r="H722" s="2" t="s">
        <v>10</v>
      </c>
      <c r="I722" s="2">
        <f>ABS(DF[[#This Row],[Quantity_BEFORE]])</f>
        <v>8</v>
      </c>
      <c r="J722" s="2">
        <f>DF[[#This Row],[QUANTITY]]*DF[[#This Row],[UnitPrice]]</f>
        <v>30</v>
      </c>
    </row>
    <row r="723" spans="1:10" x14ac:dyDescent="0.25">
      <c r="A723" s="2">
        <v>536425</v>
      </c>
      <c r="B723" s="2">
        <v>21411</v>
      </c>
      <c r="C723" s="2" t="s">
        <v>179</v>
      </c>
      <c r="D723" s="2">
        <v>3</v>
      </c>
      <c r="E723" s="8">
        <v>40513.505555555559</v>
      </c>
      <c r="F723" s="2">
        <v>4.25</v>
      </c>
      <c r="G723" s="2">
        <v>13758</v>
      </c>
      <c r="H723" s="2" t="s">
        <v>10</v>
      </c>
      <c r="I723" s="2">
        <f>ABS(DF[[#This Row],[Quantity_BEFORE]])</f>
        <v>3</v>
      </c>
      <c r="J723" s="2">
        <f>DF[[#This Row],[QUANTITY]]*DF[[#This Row],[UnitPrice]]</f>
        <v>12.75</v>
      </c>
    </row>
    <row r="724" spans="1:10" x14ac:dyDescent="0.25">
      <c r="A724" s="2">
        <v>536425</v>
      </c>
      <c r="B724" s="2">
        <v>22511</v>
      </c>
      <c r="C724" s="2" t="s">
        <v>516</v>
      </c>
      <c r="D724" s="2">
        <v>4</v>
      </c>
      <c r="E724" s="8">
        <v>40513.505555555559</v>
      </c>
      <c r="F724" s="2">
        <v>3.75</v>
      </c>
      <c r="G724" s="2">
        <v>13758</v>
      </c>
      <c r="H724" s="2" t="s">
        <v>10</v>
      </c>
      <c r="I724" s="2">
        <f>ABS(DF[[#This Row],[Quantity_BEFORE]])</f>
        <v>4</v>
      </c>
      <c r="J724" s="2">
        <f>DF[[#This Row],[QUANTITY]]*DF[[#This Row],[UnitPrice]]</f>
        <v>15</v>
      </c>
    </row>
    <row r="725" spans="1:10" x14ac:dyDescent="0.25">
      <c r="A725" s="2">
        <v>536425</v>
      </c>
      <c r="B725" s="2">
        <v>22451</v>
      </c>
      <c r="C725" s="2" t="s">
        <v>266</v>
      </c>
      <c r="D725" s="2">
        <v>6</v>
      </c>
      <c r="E725" s="8">
        <v>40513.505555555559</v>
      </c>
      <c r="F725" s="2">
        <v>3.35</v>
      </c>
      <c r="G725" s="2">
        <v>13758</v>
      </c>
      <c r="H725" s="2" t="s">
        <v>10</v>
      </c>
      <c r="I725" s="2">
        <f>ABS(DF[[#This Row],[Quantity_BEFORE]])</f>
        <v>6</v>
      </c>
      <c r="J725" s="2">
        <f>DF[[#This Row],[QUANTITY]]*DF[[#This Row],[UnitPrice]]</f>
        <v>20.100000000000001</v>
      </c>
    </row>
    <row r="726" spans="1:10" x14ac:dyDescent="0.25">
      <c r="A726" s="2">
        <v>536425</v>
      </c>
      <c r="B726" s="2">
        <v>22449</v>
      </c>
      <c r="C726" s="2" t="s">
        <v>257</v>
      </c>
      <c r="D726" s="2">
        <v>6</v>
      </c>
      <c r="E726" s="8">
        <v>40513.505555555559</v>
      </c>
      <c r="F726" s="2">
        <v>3.35</v>
      </c>
      <c r="G726" s="2">
        <v>13758</v>
      </c>
      <c r="H726" s="2" t="s">
        <v>10</v>
      </c>
      <c r="I726" s="2">
        <f>ABS(DF[[#This Row],[Quantity_BEFORE]])</f>
        <v>6</v>
      </c>
      <c r="J726" s="2">
        <f>DF[[#This Row],[QUANTITY]]*DF[[#This Row],[UnitPrice]]</f>
        <v>20.100000000000001</v>
      </c>
    </row>
    <row r="727" spans="1:10" x14ac:dyDescent="0.25">
      <c r="A727" s="2">
        <v>536425</v>
      </c>
      <c r="B727" s="2">
        <v>22768</v>
      </c>
      <c r="C727" s="2" t="s">
        <v>280</v>
      </c>
      <c r="D727" s="2">
        <v>2</v>
      </c>
      <c r="E727" s="8">
        <v>40513.505555555559</v>
      </c>
      <c r="F727" s="2">
        <v>9.9499999999999993</v>
      </c>
      <c r="G727" s="2">
        <v>13758</v>
      </c>
      <c r="H727" s="2" t="s">
        <v>10</v>
      </c>
      <c r="I727" s="2">
        <f>ABS(DF[[#This Row],[Quantity_BEFORE]])</f>
        <v>2</v>
      </c>
      <c r="J727" s="2">
        <f>DF[[#This Row],[QUANTITY]]*DF[[#This Row],[UnitPrice]]</f>
        <v>19.899999999999999</v>
      </c>
    </row>
    <row r="728" spans="1:10" x14ac:dyDescent="0.25">
      <c r="A728" s="2">
        <v>536425</v>
      </c>
      <c r="B728" s="2">
        <v>22829</v>
      </c>
      <c r="C728" s="2" t="s">
        <v>517</v>
      </c>
      <c r="D728" s="2">
        <v>2</v>
      </c>
      <c r="E728" s="8">
        <v>40513.505555555559</v>
      </c>
      <c r="F728" s="2">
        <v>9.9499999999999993</v>
      </c>
      <c r="G728" s="2">
        <v>13758</v>
      </c>
      <c r="H728" s="2" t="s">
        <v>10</v>
      </c>
      <c r="I728" s="2">
        <f>ABS(DF[[#This Row],[Quantity_BEFORE]])</f>
        <v>2</v>
      </c>
      <c r="J728" s="2">
        <f>DF[[#This Row],[QUANTITY]]*DF[[#This Row],[UnitPrice]]</f>
        <v>19.899999999999999</v>
      </c>
    </row>
    <row r="729" spans="1:10" x14ac:dyDescent="0.25">
      <c r="A729" s="2">
        <v>536425</v>
      </c>
      <c r="B729" s="2">
        <v>22961</v>
      </c>
      <c r="C729" s="2" t="s">
        <v>100</v>
      </c>
      <c r="D729" s="2">
        <v>12</v>
      </c>
      <c r="E729" s="8">
        <v>40513.505555555559</v>
      </c>
      <c r="F729" s="2">
        <v>1.45</v>
      </c>
      <c r="G729" s="2">
        <v>13758</v>
      </c>
      <c r="H729" s="2" t="s">
        <v>10</v>
      </c>
      <c r="I729" s="2">
        <f>ABS(DF[[#This Row],[Quantity_BEFORE]])</f>
        <v>12</v>
      </c>
      <c r="J729" s="2">
        <f>DF[[#This Row],[QUANTITY]]*DF[[#This Row],[UnitPrice]]</f>
        <v>17.399999999999999</v>
      </c>
    </row>
    <row r="730" spans="1:10" x14ac:dyDescent="0.25">
      <c r="A730" s="2">
        <v>536437</v>
      </c>
      <c r="B730" s="2">
        <v>21154</v>
      </c>
      <c r="C730" s="2" t="s">
        <v>518</v>
      </c>
      <c r="D730" s="2">
        <v>200</v>
      </c>
      <c r="E730" s="8">
        <v>40513.508333333331</v>
      </c>
      <c r="F730" s="2">
        <v>1.06</v>
      </c>
      <c r="G730" s="2">
        <v>13694</v>
      </c>
      <c r="H730" s="2" t="s">
        <v>10</v>
      </c>
      <c r="I730" s="2">
        <f>ABS(DF[[#This Row],[Quantity_BEFORE]])</f>
        <v>200</v>
      </c>
      <c r="J730" s="2">
        <f>DF[[#This Row],[QUANTITY]]*DF[[#This Row],[UnitPrice]]</f>
        <v>212</v>
      </c>
    </row>
    <row r="731" spans="1:10" x14ac:dyDescent="0.25">
      <c r="A731" s="2">
        <v>536437</v>
      </c>
      <c r="B731" s="2">
        <v>22189</v>
      </c>
      <c r="C731" s="2" t="s">
        <v>162</v>
      </c>
      <c r="D731" s="2">
        <v>72</v>
      </c>
      <c r="E731" s="8">
        <v>40513.508333333331</v>
      </c>
      <c r="F731" s="2">
        <v>3.39</v>
      </c>
      <c r="G731" s="2">
        <v>13694</v>
      </c>
      <c r="H731" s="2" t="s">
        <v>10</v>
      </c>
      <c r="I731" s="2">
        <f>ABS(DF[[#This Row],[Quantity_BEFORE]])</f>
        <v>72</v>
      </c>
      <c r="J731" s="2">
        <f>DF[[#This Row],[QUANTITY]]*DF[[#This Row],[UnitPrice]]</f>
        <v>244.08</v>
      </c>
    </row>
    <row r="732" spans="1:10" x14ac:dyDescent="0.25">
      <c r="A732" s="2">
        <v>536437</v>
      </c>
      <c r="B732" s="2">
        <v>17021</v>
      </c>
      <c r="C732" s="2" t="s">
        <v>519</v>
      </c>
      <c r="D732" s="2">
        <v>600</v>
      </c>
      <c r="E732" s="8">
        <v>40513.508333333331</v>
      </c>
      <c r="F732" s="2">
        <v>0.24</v>
      </c>
      <c r="G732" s="2">
        <v>13694</v>
      </c>
      <c r="H732" s="2" t="s">
        <v>10</v>
      </c>
      <c r="I732" s="2">
        <f>ABS(DF[[#This Row],[Quantity_BEFORE]])</f>
        <v>600</v>
      </c>
      <c r="J732" s="2">
        <f>DF[[#This Row],[QUANTITY]]*DF[[#This Row],[UnitPrice]]</f>
        <v>144</v>
      </c>
    </row>
    <row r="733" spans="1:10" x14ac:dyDescent="0.25">
      <c r="A733" s="2">
        <v>536437</v>
      </c>
      <c r="B733" s="2">
        <v>22059</v>
      </c>
      <c r="C733" s="2" t="s">
        <v>520</v>
      </c>
      <c r="D733" s="2">
        <v>48</v>
      </c>
      <c r="E733" s="8">
        <v>40513.508333333331</v>
      </c>
      <c r="F733" s="2">
        <v>1.25</v>
      </c>
      <c r="G733" s="2">
        <v>13694</v>
      </c>
      <c r="H733" s="2" t="s">
        <v>10</v>
      </c>
      <c r="I733" s="2">
        <f>ABS(DF[[#This Row],[Quantity_BEFORE]])</f>
        <v>48</v>
      </c>
      <c r="J733" s="2">
        <f>DF[[#This Row],[QUANTITY]]*DF[[#This Row],[UnitPrice]]</f>
        <v>60</v>
      </c>
    </row>
    <row r="734" spans="1:10" x14ac:dyDescent="0.25">
      <c r="A734" s="2">
        <v>536437</v>
      </c>
      <c r="B734" s="2">
        <v>22188</v>
      </c>
      <c r="C734" s="2" t="s">
        <v>244</v>
      </c>
      <c r="D734" s="2">
        <v>36</v>
      </c>
      <c r="E734" s="8">
        <v>40513.508333333331</v>
      </c>
      <c r="F734" s="2">
        <v>3.39</v>
      </c>
      <c r="G734" s="2">
        <v>13694</v>
      </c>
      <c r="H734" s="2" t="s">
        <v>10</v>
      </c>
      <c r="I734" s="2">
        <f>ABS(DF[[#This Row],[Quantity_BEFORE]])</f>
        <v>36</v>
      </c>
      <c r="J734" s="2">
        <f>DF[[#This Row],[QUANTITY]]*DF[[#This Row],[UnitPrice]]</f>
        <v>122.04</v>
      </c>
    </row>
    <row r="735" spans="1:10" x14ac:dyDescent="0.25">
      <c r="A735" s="2">
        <v>536437</v>
      </c>
      <c r="B735" s="2">
        <v>84678</v>
      </c>
      <c r="C735" s="2" t="s">
        <v>521</v>
      </c>
      <c r="D735" s="2">
        <v>48</v>
      </c>
      <c r="E735" s="8">
        <v>40513.508333333331</v>
      </c>
      <c r="F735" s="2">
        <v>1.25</v>
      </c>
      <c r="G735" s="2">
        <v>13694</v>
      </c>
      <c r="H735" s="2" t="s">
        <v>10</v>
      </c>
      <c r="I735" s="2">
        <f>ABS(DF[[#This Row],[Quantity_BEFORE]])</f>
        <v>48</v>
      </c>
      <c r="J735" s="2">
        <f>DF[[#This Row],[QUANTITY]]*DF[[#This Row],[UnitPrice]]</f>
        <v>60</v>
      </c>
    </row>
    <row r="736" spans="1:10" x14ac:dyDescent="0.25">
      <c r="A736" s="2">
        <v>536446</v>
      </c>
      <c r="B736" s="2">
        <v>85172</v>
      </c>
      <c r="C736" s="2" t="s">
        <v>522</v>
      </c>
      <c r="D736" s="2">
        <v>32</v>
      </c>
      <c r="E736" s="8">
        <v>40513.510416666664</v>
      </c>
      <c r="F736" s="2">
        <v>0.42</v>
      </c>
      <c r="G736" s="2">
        <v>15983</v>
      </c>
      <c r="H736" s="2" t="s">
        <v>10</v>
      </c>
      <c r="I736" s="2">
        <f>ABS(DF[[#This Row],[Quantity_BEFORE]])</f>
        <v>32</v>
      </c>
      <c r="J736" s="2">
        <f>DF[[#This Row],[QUANTITY]]*DF[[#This Row],[UnitPrice]]</f>
        <v>13.44</v>
      </c>
    </row>
    <row r="737" spans="1:10" x14ac:dyDescent="0.25">
      <c r="A737" s="2">
        <v>536446</v>
      </c>
      <c r="B737" s="2">
        <v>22142</v>
      </c>
      <c r="C737" s="2" t="s">
        <v>523</v>
      </c>
      <c r="D737" s="2">
        <v>2</v>
      </c>
      <c r="E737" s="8">
        <v>40513.510416666664</v>
      </c>
      <c r="F737" s="2">
        <v>1.45</v>
      </c>
      <c r="G737" s="2">
        <v>15983</v>
      </c>
      <c r="H737" s="2" t="s">
        <v>10</v>
      </c>
      <c r="I737" s="2">
        <f>ABS(DF[[#This Row],[Quantity_BEFORE]])</f>
        <v>2</v>
      </c>
      <c r="J737" s="2">
        <f>DF[[#This Row],[QUANTITY]]*DF[[#This Row],[UnitPrice]]</f>
        <v>2.9</v>
      </c>
    </row>
    <row r="738" spans="1:10" x14ac:dyDescent="0.25">
      <c r="A738" s="2">
        <v>536446</v>
      </c>
      <c r="B738" s="2">
        <v>22144</v>
      </c>
      <c r="C738" s="2" t="s">
        <v>438</v>
      </c>
      <c r="D738" s="2">
        <v>2</v>
      </c>
      <c r="E738" s="8">
        <v>40513.510416666664</v>
      </c>
      <c r="F738" s="2">
        <v>2.1</v>
      </c>
      <c r="G738" s="2">
        <v>15983</v>
      </c>
      <c r="H738" s="2" t="s">
        <v>10</v>
      </c>
      <c r="I738" s="2">
        <f>ABS(DF[[#This Row],[Quantity_BEFORE]])</f>
        <v>2</v>
      </c>
      <c r="J738" s="2">
        <f>DF[[#This Row],[QUANTITY]]*DF[[#This Row],[UnitPrice]]</f>
        <v>4.2</v>
      </c>
    </row>
    <row r="739" spans="1:10" x14ac:dyDescent="0.25">
      <c r="A739" s="2">
        <v>536446</v>
      </c>
      <c r="B739" s="2">
        <v>21591</v>
      </c>
      <c r="C739" s="2" t="s">
        <v>524</v>
      </c>
      <c r="D739" s="2">
        <v>6</v>
      </c>
      <c r="E739" s="8">
        <v>40513.510416666664</v>
      </c>
      <c r="F739" s="2">
        <v>1.25</v>
      </c>
      <c r="G739" s="2">
        <v>15983</v>
      </c>
      <c r="H739" s="2" t="s">
        <v>10</v>
      </c>
      <c r="I739" s="2">
        <f>ABS(DF[[#This Row],[Quantity_BEFORE]])</f>
        <v>6</v>
      </c>
      <c r="J739" s="2">
        <f>DF[[#This Row],[QUANTITY]]*DF[[#This Row],[UnitPrice]]</f>
        <v>7.5</v>
      </c>
    </row>
    <row r="740" spans="1:10" x14ac:dyDescent="0.25">
      <c r="A740" s="2">
        <v>536446</v>
      </c>
      <c r="B740" s="2">
        <v>22480</v>
      </c>
      <c r="C740" s="2" t="s">
        <v>525</v>
      </c>
      <c r="D740" s="2">
        <v>12</v>
      </c>
      <c r="E740" s="8">
        <v>40513.510416666664</v>
      </c>
      <c r="F740" s="2">
        <v>1.25</v>
      </c>
      <c r="G740" s="2">
        <v>15983</v>
      </c>
      <c r="H740" s="2" t="s">
        <v>10</v>
      </c>
      <c r="I740" s="2">
        <f>ABS(DF[[#This Row],[Quantity_BEFORE]])</f>
        <v>12</v>
      </c>
      <c r="J740" s="2">
        <f>DF[[#This Row],[QUANTITY]]*DF[[#This Row],[UnitPrice]]</f>
        <v>15</v>
      </c>
    </row>
    <row r="741" spans="1:10" x14ac:dyDescent="0.25">
      <c r="A741" s="2">
        <v>536446</v>
      </c>
      <c r="B741" s="2">
        <v>22294</v>
      </c>
      <c r="C741" s="2" t="s">
        <v>526</v>
      </c>
      <c r="D741" s="2">
        <v>48</v>
      </c>
      <c r="E741" s="8">
        <v>40513.510416666664</v>
      </c>
      <c r="F741" s="2">
        <v>1.25</v>
      </c>
      <c r="G741" s="2">
        <v>15983</v>
      </c>
      <c r="H741" s="2" t="s">
        <v>10</v>
      </c>
      <c r="I741" s="2">
        <f>ABS(DF[[#This Row],[Quantity_BEFORE]])</f>
        <v>48</v>
      </c>
      <c r="J741" s="2">
        <f>DF[[#This Row],[QUANTITY]]*DF[[#This Row],[UnitPrice]]</f>
        <v>60</v>
      </c>
    </row>
    <row r="742" spans="1:10" x14ac:dyDescent="0.25">
      <c r="A742" s="2">
        <v>536446</v>
      </c>
      <c r="B742" s="2">
        <v>21156</v>
      </c>
      <c r="C742" s="2" t="s">
        <v>527</v>
      </c>
      <c r="D742" s="2">
        <v>1</v>
      </c>
      <c r="E742" s="8">
        <v>40513.510416666664</v>
      </c>
      <c r="F742" s="2">
        <v>1.95</v>
      </c>
      <c r="G742" s="2">
        <v>15983</v>
      </c>
      <c r="H742" s="2" t="s">
        <v>10</v>
      </c>
      <c r="I742" s="2">
        <f>ABS(DF[[#This Row],[Quantity_BEFORE]])</f>
        <v>1</v>
      </c>
      <c r="J742" s="2">
        <f>DF[[#This Row],[QUANTITY]]*DF[[#This Row],[UnitPrice]]</f>
        <v>1.95</v>
      </c>
    </row>
    <row r="743" spans="1:10" x14ac:dyDescent="0.25">
      <c r="A743" s="2">
        <v>536446</v>
      </c>
      <c r="B743" s="2">
        <v>10133</v>
      </c>
      <c r="C743" s="2" t="s">
        <v>528</v>
      </c>
      <c r="D743" s="2">
        <v>5</v>
      </c>
      <c r="E743" s="8">
        <v>40513.510416666664</v>
      </c>
      <c r="F743" s="2">
        <v>0.85</v>
      </c>
      <c r="G743" s="2">
        <v>15983</v>
      </c>
      <c r="H743" s="2" t="s">
        <v>10</v>
      </c>
      <c r="I743" s="2">
        <f>ABS(DF[[#This Row],[Quantity_BEFORE]])</f>
        <v>5</v>
      </c>
      <c r="J743" s="2">
        <f>DF[[#This Row],[QUANTITY]]*DF[[#This Row],[UnitPrice]]</f>
        <v>4.25</v>
      </c>
    </row>
    <row r="744" spans="1:10" x14ac:dyDescent="0.25">
      <c r="A744" s="2">
        <v>536446</v>
      </c>
      <c r="B744" s="2" t="s">
        <v>529</v>
      </c>
      <c r="C744" s="2" t="s">
        <v>530</v>
      </c>
      <c r="D744" s="2">
        <v>6</v>
      </c>
      <c r="E744" s="8">
        <v>40513.510416666664</v>
      </c>
      <c r="F744" s="2">
        <v>2.5499999999999998</v>
      </c>
      <c r="G744" s="2">
        <v>15983</v>
      </c>
      <c r="H744" s="2" t="s">
        <v>10</v>
      </c>
      <c r="I744" s="2">
        <f>ABS(DF[[#This Row],[Quantity_BEFORE]])</f>
        <v>6</v>
      </c>
      <c r="J744" s="2">
        <f>DF[[#This Row],[QUANTITY]]*DF[[#This Row],[UnitPrice]]</f>
        <v>15.299999999999999</v>
      </c>
    </row>
    <row r="745" spans="1:10" x14ac:dyDescent="0.25">
      <c r="A745" s="2">
        <v>536446</v>
      </c>
      <c r="B745" s="2">
        <v>22294</v>
      </c>
      <c r="C745" s="2" t="s">
        <v>526</v>
      </c>
      <c r="D745" s="2">
        <v>24</v>
      </c>
      <c r="E745" s="8">
        <v>40513.510416666664</v>
      </c>
      <c r="F745" s="2">
        <v>1.25</v>
      </c>
      <c r="G745" s="2">
        <v>15983</v>
      </c>
      <c r="H745" s="2" t="s">
        <v>10</v>
      </c>
      <c r="I745" s="2">
        <f>ABS(DF[[#This Row],[Quantity_BEFORE]])</f>
        <v>24</v>
      </c>
      <c r="J745" s="2">
        <f>DF[[#This Row],[QUANTITY]]*DF[[#This Row],[UnitPrice]]</f>
        <v>30</v>
      </c>
    </row>
    <row r="746" spans="1:10" x14ac:dyDescent="0.25">
      <c r="A746" s="2">
        <v>536446</v>
      </c>
      <c r="B746" s="2">
        <v>84836</v>
      </c>
      <c r="C746" s="2" t="s">
        <v>531</v>
      </c>
      <c r="D746" s="2">
        <v>12</v>
      </c>
      <c r="E746" s="8">
        <v>40513.510416666664</v>
      </c>
      <c r="F746" s="2">
        <v>1.25</v>
      </c>
      <c r="G746" s="2">
        <v>15983</v>
      </c>
      <c r="H746" s="2" t="s">
        <v>10</v>
      </c>
      <c r="I746" s="2">
        <f>ABS(DF[[#This Row],[Quantity_BEFORE]])</f>
        <v>12</v>
      </c>
      <c r="J746" s="2">
        <f>DF[[#This Row],[QUANTITY]]*DF[[#This Row],[UnitPrice]]</f>
        <v>15</v>
      </c>
    </row>
    <row r="747" spans="1:10" x14ac:dyDescent="0.25">
      <c r="A747" s="2">
        <v>536446</v>
      </c>
      <c r="B747" s="2">
        <v>20774</v>
      </c>
      <c r="C747" s="2" t="s">
        <v>532</v>
      </c>
      <c r="D747" s="2">
        <v>2</v>
      </c>
      <c r="E747" s="8">
        <v>40513.510416666664</v>
      </c>
      <c r="F747" s="2">
        <v>1.65</v>
      </c>
      <c r="G747" s="2">
        <v>15983</v>
      </c>
      <c r="H747" s="2" t="s">
        <v>10</v>
      </c>
      <c r="I747" s="2">
        <f>ABS(DF[[#This Row],[Quantity_BEFORE]])</f>
        <v>2</v>
      </c>
      <c r="J747" s="2">
        <f>DF[[#This Row],[QUANTITY]]*DF[[#This Row],[UnitPrice]]</f>
        <v>3.3</v>
      </c>
    </row>
    <row r="748" spans="1:10" x14ac:dyDescent="0.25">
      <c r="A748" s="2">
        <v>536446</v>
      </c>
      <c r="B748" s="2">
        <v>20773</v>
      </c>
      <c r="C748" s="2" t="s">
        <v>533</v>
      </c>
      <c r="D748" s="2">
        <v>2</v>
      </c>
      <c r="E748" s="8">
        <v>40513.510416666664</v>
      </c>
      <c r="F748" s="2">
        <v>1.65</v>
      </c>
      <c r="G748" s="2">
        <v>15983</v>
      </c>
      <c r="H748" s="2" t="s">
        <v>10</v>
      </c>
      <c r="I748" s="2">
        <f>ABS(DF[[#This Row],[Quantity_BEFORE]])</f>
        <v>2</v>
      </c>
      <c r="J748" s="2">
        <f>DF[[#This Row],[QUANTITY]]*DF[[#This Row],[UnitPrice]]</f>
        <v>3.3</v>
      </c>
    </row>
    <row r="749" spans="1:10" x14ac:dyDescent="0.25">
      <c r="A749" s="2">
        <v>536446</v>
      </c>
      <c r="B749" s="2">
        <v>20777</v>
      </c>
      <c r="C749" s="2" t="s">
        <v>534</v>
      </c>
      <c r="D749" s="2">
        <v>2</v>
      </c>
      <c r="E749" s="8">
        <v>40513.510416666664</v>
      </c>
      <c r="F749" s="2">
        <v>1.65</v>
      </c>
      <c r="G749" s="2">
        <v>15983</v>
      </c>
      <c r="H749" s="2" t="s">
        <v>10</v>
      </c>
      <c r="I749" s="2">
        <f>ABS(DF[[#This Row],[Quantity_BEFORE]])</f>
        <v>2</v>
      </c>
      <c r="J749" s="2">
        <f>DF[[#This Row],[QUANTITY]]*DF[[#This Row],[UnitPrice]]</f>
        <v>3.3</v>
      </c>
    </row>
    <row r="750" spans="1:10" x14ac:dyDescent="0.25">
      <c r="A750" s="2">
        <v>536446</v>
      </c>
      <c r="B750" s="2">
        <v>16016</v>
      </c>
      <c r="C750" s="2" t="s">
        <v>535</v>
      </c>
      <c r="D750" s="2">
        <v>10</v>
      </c>
      <c r="E750" s="8">
        <v>40513.510416666664</v>
      </c>
      <c r="F750" s="2">
        <v>0.85</v>
      </c>
      <c r="G750" s="2">
        <v>15983</v>
      </c>
      <c r="H750" s="2" t="s">
        <v>10</v>
      </c>
      <c r="I750" s="2">
        <f>ABS(DF[[#This Row],[Quantity_BEFORE]])</f>
        <v>10</v>
      </c>
      <c r="J750" s="2">
        <f>DF[[#This Row],[QUANTITY]]*DF[[#This Row],[UnitPrice]]</f>
        <v>8.5</v>
      </c>
    </row>
    <row r="751" spans="1:10" x14ac:dyDescent="0.25">
      <c r="A751" s="2">
        <v>536446</v>
      </c>
      <c r="B751" s="2">
        <v>16014</v>
      </c>
      <c r="C751" s="2" t="s">
        <v>536</v>
      </c>
      <c r="D751" s="2">
        <v>10</v>
      </c>
      <c r="E751" s="8">
        <v>40513.510416666664</v>
      </c>
      <c r="F751" s="2">
        <v>0.42</v>
      </c>
      <c r="G751" s="2">
        <v>15983</v>
      </c>
      <c r="H751" s="2" t="s">
        <v>10</v>
      </c>
      <c r="I751" s="2">
        <f>ABS(DF[[#This Row],[Quantity_BEFORE]])</f>
        <v>10</v>
      </c>
      <c r="J751" s="2">
        <f>DF[[#This Row],[QUANTITY]]*DF[[#This Row],[UnitPrice]]</f>
        <v>4.2</v>
      </c>
    </row>
    <row r="752" spans="1:10" x14ac:dyDescent="0.25">
      <c r="A752" s="2">
        <v>536446</v>
      </c>
      <c r="B752" s="2">
        <v>21890</v>
      </c>
      <c r="C752" s="2" t="s">
        <v>502</v>
      </c>
      <c r="D752" s="2">
        <v>2</v>
      </c>
      <c r="E752" s="8">
        <v>40513.510416666664</v>
      </c>
      <c r="F752" s="2">
        <v>2.95</v>
      </c>
      <c r="G752" s="2">
        <v>15983</v>
      </c>
      <c r="H752" s="2" t="s">
        <v>10</v>
      </c>
      <c r="I752" s="2">
        <f>ABS(DF[[#This Row],[Quantity_BEFORE]])</f>
        <v>2</v>
      </c>
      <c r="J752" s="2">
        <f>DF[[#This Row],[QUANTITY]]*DF[[#This Row],[UnitPrice]]</f>
        <v>5.9</v>
      </c>
    </row>
    <row r="753" spans="1:10" x14ac:dyDescent="0.25">
      <c r="A753" s="2">
        <v>536446</v>
      </c>
      <c r="B753" s="2">
        <v>21891</v>
      </c>
      <c r="C753" s="2" t="s">
        <v>228</v>
      </c>
      <c r="D753" s="2">
        <v>2</v>
      </c>
      <c r="E753" s="8">
        <v>40513.510416666664</v>
      </c>
      <c r="F753" s="2">
        <v>1.25</v>
      </c>
      <c r="G753" s="2">
        <v>15983</v>
      </c>
      <c r="H753" s="2" t="s">
        <v>10</v>
      </c>
      <c r="I753" s="2">
        <f>ABS(DF[[#This Row],[Quantity_BEFORE]])</f>
        <v>2</v>
      </c>
      <c r="J753" s="2">
        <f>DF[[#This Row],[QUANTITY]]*DF[[#This Row],[UnitPrice]]</f>
        <v>2.5</v>
      </c>
    </row>
    <row r="754" spans="1:10" x14ac:dyDescent="0.25">
      <c r="A754" s="2">
        <v>536446</v>
      </c>
      <c r="B754" s="2">
        <v>22619</v>
      </c>
      <c r="C754" s="2" t="s">
        <v>227</v>
      </c>
      <c r="D754" s="2">
        <v>8</v>
      </c>
      <c r="E754" s="8">
        <v>40513.510416666664</v>
      </c>
      <c r="F754" s="2">
        <v>3.75</v>
      </c>
      <c r="G754" s="2">
        <v>15983</v>
      </c>
      <c r="H754" s="2" t="s">
        <v>10</v>
      </c>
      <c r="I754" s="2">
        <f>ABS(DF[[#This Row],[Quantity_BEFORE]])</f>
        <v>8</v>
      </c>
      <c r="J754" s="2">
        <f>DF[[#This Row],[QUANTITY]]*DF[[#This Row],[UnitPrice]]</f>
        <v>30</v>
      </c>
    </row>
    <row r="755" spans="1:10" x14ac:dyDescent="0.25">
      <c r="A755" s="2">
        <v>536446</v>
      </c>
      <c r="B755" s="2">
        <v>22620</v>
      </c>
      <c r="C755" s="2" t="s">
        <v>379</v>
      </c>
      <c r="D755" s="2">
        <v>6</v>
      </c>
      <c r="E755" s="8">
        <v>40513.510416666664</v>
      </c>
      <c r="F755" s="2">
        <v>1.25</v>
      </c>
      <c r="G755" s="2">
        <v>15983</v>
      </c>
      <c r="H755" s="2" t="s">
        <v>10</v>
      </c>
      <c r="I755" s="2">
        <f>ABS(DF[[#This Row],[Quantity_BEFORE]])</f>
        <v>6</v>
      </c>
      <c r="J755" s="2">
        <f>DF[[#This Row],[QUANTITY]]*DF[[#This Row],[UnitPrice]]</f>
        <v>7.5</v>
      </c>
    </row>
    <row r="756" spans="1:10" x14ac:dyDescent="0.25">
      <c r="A756" s="2">
        <v>536446</v>
      </c>
      <c r="B756" s="2">
        <v>84347</v>
      </c>
      <c r="C756" s="2" t="s">
        <v>377</v>
      </c>
      <c r="D756" s="2">
        <v>12</v>
      </c>
      <c r="E756" s="8">
        <v>40513.510416666664</v>
      </c>
      <c r="F756" s="2">
        <v>2.5499999999999998</v>
      </c>
      <c r="G756" s="2">
        <v>15983</v>
      </c>
      <c r="H756" s="2" t="s">
        <v>10</v>
      </c>
      <c r="I756" s="2">
        <f>ABS(DF[[#This Row],[Quantity_BEFORE]])</f>
        <v>12</v>
      </c>
      <c r="J756" s="2">
        <f>DF[[#This Row],[QUANTITY]]*DF[[#This Row],[UnitPrice]]</f>
        <v>30.599999999999998</v>
      </c>
    </row>
    <row r="757" spans="1:10" x14ac:dyDescent="0.25">
      <c r="A757" s="2">
        <v>536446</v>
      </c>
      <c r="B757" s="2" t="s">
        <v>405</v>
      </c>
      <c r="C757" s="2" t="s">
        <v>406</v>
      </c>
      <c r="D757" s="2">
        <v>24</v>
      </c>
      <c r="E757" s="8">
        <v>40513.510416666664</v>
      </c>
      <c r="F757" s="2">
        <v>1.25</v>
      </c>
      <c r="G757" s="2">
        <v>15983</v>
      </c>
      <c r="H757" s="2" t="s">
        <v>10</v>
      </c>
      <c r="I757" s="2">
        <f>ABS(DF[[#This Row],[Quantity_BEFORE]])</f>
        <v>24</v>
      </c>
      <c r="J757" s="2">
        <f>DF[[#This Row],[QUANTITY]]*DF[[#This Row],[UnitPrice]]</f>
        <v>30</v>
      </c>
    </row>
    <row r="758" spans="1:10" x14ac:dyDescent="0.25">
      <c r="A758" s="2">
        <v>536446</v>
      </c>
      <c r="B758" s="2">
        <v>21156</v>
      </c>
      <c r="C758" s="2" t="s">
        <v>527</v>
      </c>
      <c r="D758" s="2">
        <v>3</v>
      </c>
      <c r="E758" s="8">
        <v>40513.510416666664</v>
      </c>
      <c r="F758" s="2">
        <v>1.95</v>
      </c>
      <c r="G758" s="2">
        <v>15983</v>
      </c>
      <c r="H758" s="2" t="s">
        <v>10</v>
      </c>
      <c r="I758" s="2">
        <f>ABS(DF[[#This Row],[Quantity_BEFORE]])</f>
        <v>3</v>
      </c>
      <c r="J758" s="2">
        <f>DF[[#This Row],[QUANTITY]]*DF[[#This Row],[UnitPrice]]</f>
        <v>5.85</v>
      </c>
    </row>
    <row r="759" spans="1:10" x14ac:dyDescent="0.25">
      <c r="A759" s="2">
        <v>536446</v>
      </c>
      <c r="B759" s="2">
        <v>21651</v>
      </c>
      <c r="C759" s="2" t="s">
        <v>537</v>
      </c>
      <c r="D759" s="2">
        <v>6</v>
      </c>
      <c r="E759" s="8">
        <v>40513.510416666664</v>
      </c>
      <c r="F759" s="2">
        <v>1.65</v>
      </c>
      <c r="G759" s="2">
        <v>15983</v>
      </c>
      <c r="H759" s="2" t="s">
        <v>10</v>
      </c>
      <c r="I759" s="2">
        <f>ABS(DF[[#This Row],[Quantity_BEFORE]])</f>
        <v>6</v>
      </c>
      <c r="J759" s="2">
        <f>DF[[#This Row],[QUANTITY]]*DF[[#This Row],[UnitPrice]]</f>
        <v>9.8999999999999986</v>
      </c>
    </row>
    <row r="760" spans="1:10" x14ac:dyDescent="0.25">
      <c r="A760" s="2">
        <v>536446</v>
      </c>
      <c r="B760" s="2">
        <v>21651</v>
      </c>
      <c r="C760" s="2" t="s">
        <v>537</v>
      </c>
      <c r="D760" s="2">
        <v>6</v>
      </c>
      <c r="E760" s="8">
        <v>40513.510416666664</v>
      </c>
      <c r="F760" s="2">
        <v>1.65</v>
      </c>
      <c r="G760" s="2">
        <v>15983</v>
      </c>
      <c r="H760" s="2" t="s">
        <v>10</v>
      </c>
      <c r="I760" s="2">
        <f>ABS(DF[[#This Row],[Quantity_BEFORE]])</f>
        <v>6</v>
      </c>
      <c r="J760" s="2">
        <f>DF[[#This Row],[QUANTITY]]*DF[[#This Row],[UnitPrice]]</f>
        <v>9.8999999999999986</v>
      </c>
    </row>
    <row r="761" spans="1:10" x14ac:dyDescent="0.25">
      <c r="A761" s="2">
        <v>536446</v>
      </c>
      <c r="B761" s="2" t="s">
        <v>315</v>
      </c>
      <c r="C761" s="2" t="s">
        <v>316</v>
      </c>
      <c r="D761" s="2">
        <v>10</v>
      </c>
      <c r="E761" s="8">
        <v>40513.510416666664</v>
      </c>
      <c r="F761" s="2">
        <v>2.95</v>
      </c>
      <c r="G761" s="2">
        <v>15983</v>
      </c>
      <c r="H761" s="2" t="s">
        <v>10</v>
      </c>
      <c r="I761" s="2">
        <f>ABS(DF[[#This Row],[Quantity_BEFORE]])</f>
        <v>10</v>
      </c>
      <c r="J761" s="2">
        <f>DF[[#This Row],[QUANTITY]]*DF[[#This Row],[UnitPrice]]</f>
        <v>29.5</v>
      </c>
    </row>
    <row r="762" spans="1:10" x14ac:dyDescent="0.25">
      <c r="A762" s="2">
        <v>536446</v>
      </c>
      <c r="B762" s="2">
        <v>22618</v>
      </c>
      <c r="C762" s="2" t="s">
        <v>538</v>
      </c>
      <c r="D762" s="2">
        <v>2</v>
      </c>
      <c r="E762" s="8">
        <v>40513.510416666664</v>
      </c>
      <c r="F762" s="2">
        <v>9.9499999999999993</v>
      </c>
      <c r="G762" s="2">
        <v>15983</v>
      </c>
      <c r="H762" s="2" t="s">
        <v>10</v>
      </c>
      <c r="I762" s="2">
        <f>ABS(DF[[#This Row],[Quantity_BEFORE]])</f>
        <v>2</v>
      </c>
      <c r="J762" s="2">
        <f>DF[[#This Row],[QUANTITY]]*DF[[#This Row],[UnitPrice]]</f>
        <v>19.899999999999999</v>
      </c>
    </row>
    <row r="763" spans="1:10" x14ac:dyDescent="0.25">
      <c r="A763" s="2">
        <v>536446</v>
      </c>
      <c r="B763" s="2">
        <v>21586</v>
      </c>
      <c r="C763" s="2" t="s">
        <v>539</v>
      </c>
      <c r="D763" s="2">
        <v>4</v>
      </c>
      <c r="E763" s="8">
        <v>40513.510416666664</v>
      </c>
      <c r="F763" s="2">
        <v>2.5499999999999998</v>
      </c>
      <c r="G763" s="2">
        <v>15983</v>
      </c>
      <c r="H763" s="2" t="s">
        <v>10</v>
      </c>
      <c r="I763" s="2">
        <f>ABS(DF[[#This Row],[Quantity_BEFORE]])</f>
        <v>4</v>
      </c>
      <c r="J763" s="2">
        <f>DF[[#This Row],[QUANTITY]]*DF[[#This Row],[UnitPrice]]</f>
        <v>10.199999999999999</v>
      </c>
    </row>
    <row r="764" spans="1:10" x14ac:dyDescent="0.25">
      <c r="A764" s="2">
        <v>536446</v>
      </c>
      <c r="B764" s="2">
        <v>21587</v>
      </c>
      <c r="C764" s="2" t="s">
        <v>307</v>
      </c>
      <c r="D764" s="2">
        <v>4</v>
      </c>
      <c r="E764" s="8">
        <v>40513.510416666664</v>
      </c>
      <c r="F764" s="2">
        <v>2.5499999999999998</v>
      </c>
      <c r="G764" s="2">
        <v>15983</v>
      </c>
      <c r="H764" s="2" t="s">
        <v>10</v>
      </c>
      <c r="I764" s="2">
        <f>ABS(DF[[#This Row],[Quantity_BEFORE]])</f>
        <v>4</v>
      </c>
      <c r="J764" s="2">
        <f>DF[[#This Row],[QUANTITY]]*DF[[#This Row],[UnitPrice]]</f>
        <v>10.199999999999999</v>
      </c>
    </row>
    <row r="765" spans="1:10" x14ac:dyDescent="0.25">
      <c r="A765" s="2">
        <v>536446</v>
      </c>
      <c r="B765" s="2">
        <v>22152</v>
      </c>
      <c r="C765" s="2" t="s">
        <v>540</v>
      </c>
      <c r="D765" s="2">
        <v>24</v>
      </c>
      <c r="E765" s="8">
        <v>40513.510416666664</v>
      </c>
      <c r="F765" s="2">
        <v>0.42</v>
      </c>
      <c r="G765" s="2">
        <v>15983</v>
      </c>
      <c r="H765" s="2" t="s">
        <v>10</v>
      </c>
      <c r="I765" s="2">
        <f>ABS(DF[[#This Row],[Quantity_BEFORE]])</f>
        <v>24</v>
      </c>
      <c r="J765" s="2">
        <f>DF[[#This Row],[QUANTITY]]*DF[[#This Row],[UnitPrice]]</f>
        <v>10.08</v>
      </c>
    </row>
    <row r="766" spans="1:10" x14ac:dyDescent="0.25">
      <c r="A766" s="2">
        <v>536446</v>
      </c>
      <c r="B766" s="2">
        <v>85172</v>
      </c>
      <c r="C766" s="2" t="s">
        <v>522</v>
      </c>
      <c r="D766" s="2">
        <v>16</v>
      </c>
      <c r="E766" s="8">
        <v>40513.510416666664</v>
      </c>
      <c r="F766" s="2">
        <v>0.42</v>
      </c>
      <c r="G766" s="2">
        <v>15983</v>
      </c>
      <c r="H766" s="2" t="s">
        <v>10</v>
      </c>
      <c r="I766" s="2">
        <f>ABS(DF[[#This Row],[Quantity_BEFORE]])</f>
        <v>16</v>
      </c>
      <c r="J766" s="2">
        <f>DF[[#This Row],[QUANTITY]]*DF[[#This Row],[UnitPrice]]</f>
        <v>6.72</v>
      </c>
    </row>
    <row r="767" spans="1:10" x14ac:dyDescent="0.25">
      <c r="A767" s="2">
        <v>536446</v>
      </c>
      <c r="B767" s="2">
        <v>84754</v>
      </c>
      <c r="C767" s="2" t="s">
        <v>541</v>
      </c>
      <c r="D767" s="2">
        <v>24</v>
      </c>
      <c r="E767" s="8">
        <v>40513.510416666664</v>
      </c>
      <c r="F767" s="2">
        <v>1.25</v>
      </c>
      <c r="G767" s="2">
        <v>15983</v>
      </c>
      <c r="H767" s="2" t="s">
        <v>10</v>
      </c>
      <c r="I767" s="2">
        <f>ABS(DF[[#This Row],[Quantity_BEFORE]])</f>
        <v>24</v>
      </c>
      <c r="J767" s="2">
        <f>DF[[#This Row],[QUANTITY]]*DF[[#This Row],[UnitPrice]]</f>
        <v>30</v>
      </c>
    </row>
    <row r="768" spans="1:10" x14ac:dyDescent="0.25">
      <c r="A768" s="2">
        <v>536460</v>
      </c>
      <c r="B768" s="2">
        <v>22670</v>
      </c>
      <c r="C768" s="2" t="s">
        <v>542</v>
      </c>
      <c r="D768" s="2">
        <v>12</v>
      </c>
      <c r="E768" s="8">
        <v>40513.515277777777</v>
      </c>
      <c r="F768" s="2">
        <v>1.25</v>
      </c>
      <c r="G768" s="2">
        <v>14849</v>
      </c>
      <c r="H768" s="2" t="s">
        <v>10</v>
      </c>
      <c r="I768" s="2">
        <f>ABS(DF[[#This Row],[Quantity_BEFORE]])</f>
        <v>12</v>
      </c>
      <c r="J768" s="2">
        <f>DF[[#This Row],[QUANTITY]]*DF[[#This Row],[UnitPrice]]</f>
        <v>15</v>
      </c>
    </row>
    <row r="769" spans="1:10" x14ac:dyDescent="0.25">
      <c r="A769" s="2">
        <v>536460</v>
      </c>
      <c r="B769" s="2">
        <v>21586</v>
      </c>
      <c r="C769" s="2" t="s">
        <v>539</v>
      </c>
      <c r="D769" s="2">
        <v>12</v>
      </c>
      <c r="E769" s="8">
        <v>40513.515277777777</v>
      </c>
      <c r="F769" s="2">
        <v>2.5499999999999998</v>
      </c>
      <c r="G769" s="2">
        <v>14849</v>
      </c>
      <c r="H769" s="2" t="s">
        <v>10</v>
      </c>
      <c r="I769" s="2">
        <f>ABS(DF[[#This Row],[Quantity_BEFORE]])</f>
        <v>12</v>
      </c>
      <c r="J769" s="2">
        <f>DF[[#This Row],[QUANTITY]]*DF[[#This Row],[UnitPrice]]</f>
        <v>30.599999999999998</v>
      </c>
    </row>
    <row r="770" spans="1:10" x14ac:dyDescent="0.25">
      <c r="A770" s="2">
        <v>536460</v>
      </c>
      <c r="B770" s="2">
        <v>84992</v>
      </c>
      <c r="C770" s="2" t="s">
        <v>345</v>
      </c>
      <c r="D770" s="2">
        <v>24</v>
      </c>
      <c r="E770" s="8">
        <v>40513.515277777777</v>
      </c>
      <c r="F770" s="2">
        <v>0.55000000000000004</v>
      </c>
      <c r="G770" s="2">
        <v>14849</v>
      </c>
      <c r="H770" s="2" t="s">
        <v>10</v>
      </c>
      <c r="I770" s="2">
        <f>ABS(DF[[#This Row],[Quantity_BEFORE]])</f>
        <v>24</v>
      </c>
      <c r="J770" s="2">
        <f>DF[[#This Row],[QUANTITY]]*DF[[#This Row],[UnitPrice]]</f>
        <v>13.200000000000001</v>
      </c>
    </row>
    <row r="771" spans="1:10" x14ac:dyDescent="0.25">
      <c r="A771" s="2">
        <v>536460</v>
      </c>
      <c r="B771" s="2">
        <v>84879</v>
      </c>
      <c r="C771" s="2" t="s">
        <v>22</v>
      </c>
      <c r="D771" s="2">
        <v>24</v>
      </c>
      <c r="E771" s="8">
        <v>40513.515277777777</v>
      </c>
      <c r="F771" s="2">
        <v>1.69</v>
      </c>
      <c r="G771" s="2">
        <v>14849</v>
      </c>
      <c r="H771" s="2" t="s">
        <v>10</v>
      </c>
      <c r="I771" s="2">
        <f>ABS(DF[[#This Row],[Quantity_BEFORE]])</f>
        <v>24</v>
      </c>
      <c r="J771" s="2">
        <f>DF[[#This Row],[QUANTITY]]*DF[[#This Row],[UnitPrice]]</f>
        <v>40.56</v>
      </c>
    </row>
    <row r="772" spans="1:10" x14ac:dyDescent="0.25">
      <c r="A772" s="2">
        <v>536460</v>
      </c>
      <c r="B772" s="2" t="s">
        <v>543</v>
      </c>
      <c r="C772" s="2" t="s">
        <v>544</v>
      </c>
      <c r="D772" s="2">
        <v>12</v>
      </c>
      <c r="E772" s="8">
        <v>40513.515277777777</v>
      </c>
      <c r="F772" s="2">
        <v>1.69</v>
      </c>
      <c r="G772" s="2">
        <v>14849</v>
      </c>
      <c r="H772" s="2" t="s">
        <v>10</v>
      </c>
      <c r="I772" s="2">
        <f>ABS(DF[[#This Row],[Quantity_BEFORE]])</f>
        <v>12</v>
      </c>
      <c r="J772" s="2">
        <f>DF[[#This Row],[QUANTITY]]*DF[[#This Row],[UnitPrice]]</f>
        <v>20.28</v>
      </c>
    </row>
    <row r="773" spans="1:10" x14ac:dyDescent="0.25">
      <c r="A773" s="2">
        <v>536460</v>
      </c>
      <c r="B773" s="2">
        <v>22927</v>
      </c>
      <c r="C773" s="2" t="s">
        <v>545</v>
      </c>
      <c r="D773" s="2">
        <v>2</v>
      </c>
      <c r="E773" s="8">
        <v>40513.515277777777</v>
      </c>
      <c r="F773" s="2">
        <v>5.95</v>
      </c>
      <c r="G773" s="2">
        <v>14849</v>
      </c>
      <c r="H773" s="2" t="s">
        <v>10</v>
      </c>
      <c r="I773" s="2">
        <f>ABS(DF[[#This Row],[Quantity_BEFORE]])</f>
        <v>2</v>
      </c>
      <c r="J773" s="2">
        <f>DF[[#This Row],[QUANTITY]]*DF[[#This Row],[UnitPrice]]</f>
        <v>11.9</v>
      </c>
    </row>
    <row r="774" spans="1:10" x14ac:dyDescent="0.25">
      <c r="A774" s="2">
        <v>536460</v>
      </c>
      <c r="B774" s="2">
        <v>22926</v>
      </c>
      <c r="C774" s="2" t="s">
        <v>146</v>
      </c>
      <c r="D774" s="2">
        <v>4</v>
      </c>
      <c r="E774" s="8">
        <v>40513.515277777777</v>
      </c>
      <c r="F774" s="2">
        <v>5.95</v>
      </c>
      <c r="G774" s="2">
        <v>14849</v>
      </c>
      <c r="H774" s="2" t="s">
        <v>10</v>
      </c>
      <c r="I774" s="2">
        <f>ABS(DF[[#This Row],[Quantity_BEFORE]])</f>
        <v>4</v>
      </c>
      <c r="J774" s="2">
        <f>DF[[#This Row],[QUANTITY]]*DF[[#This Row],[UnitPrice]]</f>
        <v>23.8</v>
      </c>
    </row>
    <row r="775" spans="1:10" x14ac:dyDescent="0.25">
      <c r="A775" s="2">
        <v>536460</v>
      </c>
      <c r="B775" s="2">
        <v>22925</v>
      </c>
      <c r="C775" s="2" t="s">
        <v>546</v>
      </c>
      <c r="D775" s="2">
        <v>2</v>
      </c>
      <c r="E775" s="8">
        <v>40513.515277777777</v>
      </c>
      <c r="F775" s="2">
        <v>5.95</v>
      </c>
      <c r="G775" s="2">
        <v>14849</v>
      </c>
      <c r="H775" s="2" t="s">
        <v>10</v>
      </c>
      <c r="I775" s="2">
        <f>ABS(DF[[#This Row],[Quantity_BEFORE]])</f>
        <v>2</v>
      </c>
      <c r="J775" s="2">
        <f>DF[[#This Row],[QUANTITY]]*DF[[#This Row],[UnitPrice]]</f>
        <v>11.9</v>
      </c>
    </row>
    <row r="776" spans="1:10" x14ac:dyDescent="0.25">
      <c r="A776" s="2">
        <v>536460</v>
      </c>
      <c r="B776" s="2">
        <v>21977</v>
      </c>
      <c r="C776" s="2" t="s">
        <v>90</v>
      </c>
      <c r="D776" s="2">
        <v>24</v>
      </c>
      <c r="E776" s="8">
        <v>40513.515277777777</v>
      </c>
      <c r="F776" s="2">
        <v>0.55000000000000004</v>
      </c>
      <c r="G776" s="2">
        <v>14849</v>
      </c>
      <c r="H776" s="2" t="s">
        <v>10</v>
      </c>
      <c r="I776" s="2">
        <f>ABS(DF[[#This Row],[Quantity_BEFORE]])</f>
        <v>24</v>
      </c>
      <c r="J776" s="2">
        <f>DF[[#This Row],[QUANTITY]]*DF[[#This Row],[UnitPrice]]</f>
        <v>13.200000000000001</v>
      </c>
    </row>
    <row r="777" spans="1:10" x14ac:dyDescent="0.25">
      <c r="A777" s="2">
        <v>536460</v>
      </c>
      <c r="B777" s="2">
        <v>21485</v>
      </c>
      <c r="C777" s="2" t="s">
        <v>214</v>
      </c>
      <c r="D777" s="2">
        <v>6</v>
      </c>
      <c r="E777" s="8">
        <v>40513.515277777777</v>
      </c>
      <c r="F777" s="2">
        <v>4.95</v>
      </c>
      <c r="G777" s="2">
        <v>14849</v>
      </c>
      <c r="H777" s="2" t="s">
        <v>10</v>
      </c>
      <c r="I777" s="2">
        <f>ABS(DF[[#This Row],[Quantity_BEFORE]])</f>
        <v>6</v>
      </c>
      <c r="J777" s="2">
        <f>DF[[#This Row],[QUANTITY]]*DF[[#This Row],[UnitPrice]]</f>
        <v>29.700000000000003</v>
      </c>
    </row>
    <row r="778" spans="1:10" x14ac:dyDescent="0.25">
      <c r="A778" s="2">
        <v>536460</v>
      </c>
      <c r="B778" s="2">
        <v>21484</v>
      </c>
      <c r="C778" s="2" t="s">
        <v>223</v>
      </c>
      <c r="D778" s="2">
        <v>8</v>
      </c>
      <c r="E778" s="8">
        <v>40513.515277777777</v>
      </c>
      <c r="F778" s="2">
        <v>3.45</v>
      </c>
      <c r="G778" s="2">
        <v>14849</v>
      </c>
      <c r="H778" s="2" t="s">
        <v>10</v>
      </c>
      <c r="I778" s="2">
        <f>ABS(DF[[#This Row],[Quantity_BEFORE]])</f>
        <v>8</v>
      </c>
      <c r="J778" s="2">
        <f>DF[[#This Row],[QUANTITY]]*DF[[#This Row],[UnitPrice]]</f>
        <v>27.6</v>
      </c>
    </row>
    <row r="779" spans="1:10" x14ac:dyDescent="0.25">
      <c r="A779" s="2">
        <v>536460</v>
      </c>
      <c r="B779" s="2">
        <v>21259</v>
      </c>
      <c r="C779" s="2" t="s">
        <v>547</v>
      </c>
      <c r="D779" s="2">
        <v>2</v>
      </c>
      <c r="E779" s="8">
        <v>40513.515277777777</v>
      </c>
      <c r="F779" s="2">
        <v>5.95</v>
      </c>
      <c r="G779" s="2">
        <v>14849</v>
      </c>
      <c r="H779" s="2" t="s">
        <v>10</v>
      </c>
      <c r="I779" s="2">
        <f>ABS(DF[[#This Row],[Quantity_BEFORE]])</f>
        <v>2</v>
      </c>
      <c r="J779" s="2">
        <f>DF[[#This Row],[QUANTITY]]*DF[[#This Row],[UnitPrice]]</f>
        <v>11.9</v>
      </c>
    </row>
    <row r="780" spans="1:10" x14ac:dyDescent="0.25">
      <c r="A780" s="2">
        <v>536460</v>
      </c>
      <c r="B780" s="2">
        <v>21257</v>
      </c>
      <c r="C780" s="2" t="s">
        <v>548</v>
      </c>
      <c r="D780" s="2">
        <v>2</v>
      </c>
      <c r="E780" s="8">
        <v>40513.515277777777</v>
      </c>
      <c r="F780" s="2">
        <v>7.95</v>
      </c>
      <c r="G780" s="2">
        <v>14849</v>
      </c>
      <c r="H780" s="2" t="s">
        <v>10</v>
      </c>
      <c r="I780" s="2">
        <f>ABS(DF[[#This Row],[Quantity_BEFORE]])</f>
        <v>2</v>
      </c>
      <c r="J780" s="2">
        <f>DF[[#This Row],[QUANTITY]]*DF[[#This Row],[UnitPrice]]</f>
        <v>15.9</v>
      </c>
    </row>
    <row r="781" spans="1:10" x14ac:dyDescent="0.25">
      <c r="A781" s="2">
        <v>536460</v>
      </c>
      <c r="B781" s="2">
        <v>21121</v>
      </c>
      <c r="C781" s="2" t="s">
        <v>549</v>
      </c>
      <c r="D781" s="2">
        <v>24</v>
      </c>
      <c r="E781" s="8">
        <v>40513.515277777777</v>
      </c>
      <c r="F781" s="2">
        <v>1.25</v>
      </c>
      <c r="G781" s="2">
        <v>14849</v>
      </c>
      <c r="H781" s="2" t="s">
        <v>10</v>
      </c>
      <c r="I781" s="2">
        <f>ABS(DF[[#This Row],[Quantity_BEFORE]])</f>
        <v>24</v>
      </c>
      <c r="J781" s="2">
        <f>DF[[#This Row],[QUANTITY]]*DF[[#This Row],[UnitPrice]]</f>
        <v>30</v>
      </c>
    </row>
    <row r="782" spans="1:10" x14ac:dyDescent="0.25">
      <c r="A782" s="2">
        <v>536463</v>
      </c>
      <c r="B782" s="2">
        <v>82552</v>
      </c>
      <c r="C782" s="2" t="s">
        <v>550</v>
      </c>
      <c r="D782" s="2">
        <v>12</v>
      </c>
      <c r="E782" s="8">
        <v>40513.515277777777</v>
      </c>
      <c r="F782" s="2">
        <v>1.45</v>
      </c>
      <c r="G782" s="2">
        <v>14849</v>
      </c>
      <c r="H782" s="2" t="s">
        <v>10</v>
      </c>
      <c r="I782" s="2">
        <f>ABS(DF[[#This Row],[Quantity_BEFORE]])</f>
        <v>12</v>
      </c>
      <c r="J782" s="2">
        <f>DF[[#This Row],[QUANTITY]]*DF[[#This Row],[UnitPrice]]</f>
        <v>17.399999999999999</v>
      </c>
    </row>
    <row r="783" spans="1:10" x14ac:dyDescent="0.25">
      <c r="A783" s="2">
        <v>536464</v>
      </c>
      <c r="B783" s="2" t="s">
        <v>551</v>
      </c>
      <c r="C783" s="2" t="s">
        <v>552</v>
      </c>
      <c r="D783" s="2">
        <v>2</v>
      </c>
      <c r="E783" s="8">
        <v>40513.515972222223</v>
      </c>
      <c r="F783" s="2">
        <v>4.25</v>
      </c>
      <c r="G783" s="2">
        <v>17968</v>
      </c>
      <c r="H783" s="2" t="s">
        <v>10</v>
      </c>
      <c r="I783" s="2">
        <f>ABS(DF[[#This Row],[Quantity_BEFORE]])</f>
        <v>2</v>
      </c>
      <c r="J783" s="2">
        <f>DF[[#This Row],[QUANTITY]]*DF[[#This Row],[UnitPrice]]</f>
        <v>8.5</v>
      </c>
    </row>
    <row r="784" spans="1:10" x14ac:dyDescent="0.25">
      <c r="A784" s="2">
        <v>536464</v>
      </c>
      <c r="B784" s="2" t="s">
        <v>553</v>
      </c>
      <c r="C784" s="2" t="s">
        <v>554</v>
      </c>
      <c r="D784" s="2">
        <v>2</v>
      </c>
      <c r="E784" s="8">
        <v>40513.515972222223</v>
      </c>
      <c r="F784" s="2">
        <v>1.65</v>
      </c>
      <c r="G784" s="2">
        <v>17968</v>
      </c>
      <c r="H784" s="2" t="s">
        <v>10</v>
      </c>
      <c r="I784" s="2">
        <f>ABS(DF[[#This Row],[Quantity_BEFORE]])</f>
        <v>2</v>
      </c>
      <c r="J784" s="2">
        <f>DF[[#This Row],[QUANTITY]]*DF[[#This Row],[UnitPrice]]</f>
        <v>3.3</v>
      </c>
    </row>
    <row r="785" spans="1:10" x14ac:dyDescent="0.25">
      <c r="A785" s="2">
        <v>536464</v>
      </c>
      <c r="B785" s="2" t="s">
        <v>555</v>
      </c>
      <c r="C785" s="2" t="s">
        <v>556</v>
      </c>
      <c r="D785" s="2">
        <v>2</v>
      </c>
      <c r="E785" s="8">
        <v>40513.515972222223</v>
      </c>
      <c r="F785" s="2">
        <v>4.25</v>
      </c>
      <c r="G785" s="2">
        <v>17968</v>
      </c>
      <c r="H785" s="2" t="s">
        <v>10</v>
      </c>
      <c r="I785" s="2">
        <f>ABS(DF[[#This Row],[Quantity_BEFORE]])</f>
        <v>2</v>
      </c>
      <c r="J785" s="2">
        <f>DF[[#This Row],[QUANTITY]]*DF[[#This Row],[UnitPrice]]</f>
        <v>8.5</v>
      </c>
    </row>
    <row r="786" spans="1:10" x14ac:dyDescent="0.25">
      <c r="A786" s="2">
        <v>536464</v>
      </c>
      <c r="B786" s="2" t="s">
        <v>557</v>
      </c>
      <c r="C786" s="2" t="s">
        <v>558</v>
      </c>
      <c r="D786" s="2">
        <v>3</v>
      </c>
      <c r="E786" s="8">
        <v>40513.515972222223</v>
      </c>
      <c r="F786" s="2">
        <v>1.65</v>
      </c>
      <c r="G786" s="2">
        <v>17968</v>
      </c>
      <c r="H786" s="2" t="s">
        <v>10</v>
      </c>
      <c r="I786" s="2">
        <f>ABS(DF[[#This Row],[Quantity_BEFORE]])</f>
        <v>3</v>
      </c>
      <c r="J786" s="2">
        <f>DF[[#This Row],[QUANTITY]]*DF[[#This Row],[UnitPrice]]</f>
        <v>4.9499999999999993</v>
      </c>
    </row>
    <row r="787" spans="1:10" x14ac:dyDescent="0.25">
      <c r="A787" s="2">
        <v>536464</v>
      </c>
      <c r="B787" s="2" t="s">
        <v>559</v>
      </c>
      <c r="C787" s="2" t="s">
        <v>560</v>
      </c>
      <c r="D787" s="2">
        <v>1</v>
      </c>
      <c r="E787" s="8">
        <v>40513.515972222223</v>
      </c>
      <c r="F787" s="2">
        <v>1.65</v>
      </c>
      <c r="G787" s="2">
        <v>17968</v>
      </c>
      <c r="H787" s="2" t="s">
        <v>10</v>
      </c>
      <c r="I787" s="2">
        <f>ABS(DF[[#This Row],[Quantity_BEFORE]])</f>
        <v>1</v>
      </c>
      <c r="J787" s="2">
        <f>DF[[#This Row],[QUANTITY]]*DF[[#This Row],[UnitPrice]]</f>
        <v>1.65</v>
      </c>
    </row>
    <row r="788" spans="1:10" x14ac:dyDescent="0.25">
      <c r="A788" s="2">
        <v>536464</v>
      </c>
      <c r="B788" s="2" t="s">
        <v>561</v>
      </c>
      <c r="C788" s="2" t="s">
        <v>562</v>
      </c>
      <c r="D788" s="2">
        <v>1</v>
      </c>
      <c r="E788" s="8">
        <v>40513.515972222223</v>
      </c>
      <c r="F788" s="2">
        <v>4.25</v>
      </c>
      <c r="G788" s="2">
        <v>17968</v>
      </c>
      <c r="H788" s="2" t="s">
        <v>10</v>
      </c>
      <c r="I788" s="2">
        <f>ABS(DF[[#This Row],[Quantity_BEFORE]])</f>
        <v>1</v>
      </c>
      <c r="J788" s="2">
        <f>DF[[#This Row],[QUANTITY]]*DF[[#This Row],[UnitPrice]]</f>
        <v>4.25</v>
      </c>
    </row>
    <row r="789" spans="1:10" x14ac:dyDescent="0.25">
      <c r="A789" s="2">
        <v>536464</v>
      </c>
      <c r="B789" s="2" t="s">
        <v>563</v>
      </c>
      <c r="C789" s="2" t="s">
        <v>564</v>
      </c>
      <c r="D789" s="2">
        <v>3</v>
      </c>
      <c r="E789" s="8">
        <v>40513.515972222223</v>
      </c>
      <c r="F789" s="2">
        <v>4.25</v>
      </c>
      <c r="G789" s="2">
        <v>17968</v>
      </c>
      <c r="H789" s="2" t="s">
        <v>10</v>
      </c>
      <c r="I789" s="2">
        <f>ABS(DF[[#This Row],[Quantity_BEFORE]])</f>
        <v>3</v>
      </c>
      <c r="J789" s="2">
        <f>DF[[#This Row],[QUANTITY]]*DF[[#This Row],[UnitPrice]]</f>
        <v>12.75</v>
      </c>
    </row>
    <row r="790" spans="1:10" x14ac:dyDescent="0.25">
      <c r="A790" s="2">
        <v>536464</v>
      </c>
      <c r="B790" s="2" t="s">
        <v>565</v>
      </c>
      <c r="C790" s="2" t="s">
        <v>566</v>
      </c>
      <c r="D790" s="2">
        <v>1</v>
      </c>
      <c r="E790" s="8">
        <v>40513.515972222223</v>
      </c>
      <c r="F790" s="2">
        <v>4.25</v>
      </c>
      <c r="G790" s="2">
        <v>17968</v>
      </c>
      <c r="H790" s="2" t="s">
        <v>10</v>
      </c>
      <c r="I790" s="2">
        <f>ABS(DF[[#This Row],[Quantity_BEFORE]])</f>
        <v>1</v>
      </c>
      <c r="J790" s="2">
        <f>DF[[#This Row],[QUANTITY]]*DF[[#This Row],[UnitPrice]]</f>
        <v>4.25</v>
      </c>
    </row>
    <row r="791" spans="1:10" x14ac:dyDescent="0.25">
      <c r="A791" s="2">
        <v>536464</v>
      </c>
      <c r="B791" s="2">
        <v>22386</v>
      </c>
      <c r="C791" s="2" t="s">
        <v>75</v>
      </c>
      <c r="D791" s="2">
        <v>1</v>
      </c>
      <c r="E791" s="8">
        <v>40513.515972222223</v>
      </c>
      <c r="F791" s="2">
        <v>1.95</v>
      </c>
      <c r="G791" s="2">
        <v>17968</v>
      </c>
      <c r="H791" s="2" t="s">
        <v>10</v>
      </c>
      <c r="I791" s="2">
        <f>ABS(DF[[#This Row],[Quantity_BEFORE]])</f>
        <v>1</v>
      </c>
      <c r="J791" s="2">
        <f>DF[[#This Row],[QUANTITY]]*DF[[#This Row],[UnitPrice]]</f>
        <v>1.95</v>
      </c>
    </row>
    <row r="792" spans="1:10" x14ac:dyDescent="0.25">
      <c r="A792" s="2">
        <v>536464</v>
      </c>
      <c r="B792" s="2" t="s">
        <v>172</v>
      </c>
      <c r="C792" s="2" t="s">
        <v>173</v>
      </c>
      <c r="D792" s="2">
        <v>1</v>
      </c>
      <c r="E792" s="8">
        <v>40513.515972222223</v>
      </c>
      <c r="F792" s="2">
        <v>1.95</v>
      </c>
      <c r="G792" s="2">
        <v>17968</v>
      </c>
      <c r="H792" s="2" t="s">
        <v>10</v>
      </c>
      <c r="I792" s="2">
        <f>ABS(DF[[#This Row],[Quantity_BEFORE]])</f>
        <v>1</v>
      </c>
      <c r="J792" s="2">
        <f>DF[[#This Row],[QUANTITY]]*DF[[#This Row],[UnitPrice]]</f>
        <v>1.95</v>
      </c>
    </row>
    <row r="793" spans="1:10" x14ac:dyDescent="0.25">
      <c r="A793" s="2">
        <v>536464</v>
      </c>
      <c r="B793" s="2">
        <v>84879</v>
      </c>
      <c r="C793" s="2" t="s">
        <v>22</v>
      </c>
      <c r="D793" s="2">
        <v>8</v>
      </c>
      <c r="E793" s="8">
        <v>40513.515972222223</v>
      </c>
      <c r="F793" s="2">
        <v>1.69</v>
      </c>
      <c r="G793" s="2">
        <v>17968</v>
      </c>
      <c r="H793" s="2" t="s">
        <v>10</v>
      </c>
      <c r="I793" s="2">
        <f>ABS(DF[[#This Row],[Quantity_BEFORE]])</f>
        <v>8</v>
      </c>
      <c r="J793" s="2">
        <f>DF[[#This Row],[QUANTITY]]*DF[[#This Row],[UnitPrice]]</f>
        <v>13.52</v>
      </c>
    </row>
    <row r="794" spans="1:10" x14ac:dyDescent="0.25">
      <c r="A794" s="2">
        <v>536464</v>
      </c>
      <c r="B794" s="2">
        <v>22086</v>
      </c>
      <c r="C794" s="2" t="s">
        <v>61</v>
      </c>
      <c r="D794" s="2">
        <v>1</v>
      </c>
      <c r="E794" s="8">
        <v>40513.515972222223</v>
      </c>
      <c r="F794" s="2">
        <v>2.95</v>
      </c>
      <c r="G794" s="2">
        <v>17968</v>
      </c>
      <c r="H794" s="2" t="s">
        <v>10</v>
      </c>
      <c r="I794" s="2">
        <f>ABS(DF[[#This Row],[Quantity_BEFORE]])</f>
        <v>1</v>
      </c>
      <c r="J794" s="2">
        <f>DF[[#This Row],[QUANTITY]]*DF[[#This Row],[UnitPrice]]</f>
        <v>2.95</v>
      </c>
    </row>
    <row r="795" spans="1:10" x14ac:dyDescent="0.25">
      <c r="A795" s="2">
        <v>536464</v>
      </c>
      <c r="B795" s="2">
        <v>22737</v>
      </c>
      <c r="C795" s="2" t="s">
        <v>567</v>
      </c>
      <c r="D795" s="2">
        <v>1</v>
      </c>
      <c r="E795" s="8">
        <v>40513.515972222223</v>
      </c>
      <c r="F795" s="2">
        <v>1.65</v>
      </c>
      <c r="G795" s="2">
        <v>17968</v>
      </c>
      <c r="H795" s="2" t="s">
        <v>10</v>
      </c>
      <c r="I795" s="2">
        <f>ABS(DF[[#This Row],[Quantity_BEFORE]])</f>
        <v>1</v>
      </c>
      <c r="J795" s="2">
        <f>DF[[#This Row],[QUANTITY]]*DF[[#This Row],[UnitPrice]]</f>
        <v>1.65</v>
      </c>
    </row>
    <row r="796" spans="1:10" x14ac:dyDescent="0.25">
      <c r="A796" s="2">
        <v>536464</v>
      </c>
      <c r="B796" s="2">
        <v>21260</v>
      </c>
      <c r="C796" s="2" t="s">
        <v>568</v>
      </c>
      <c r="D796" s="2">
        <v>1</v>
      </c>
      <c r="E796" s="8">
        <v>40513.515972222223</v>
      </c>
      <c r="F796" s="2">
        <v>3.25</v>
      </c>
      <c r="G796" s="2">
        <v>17968</v>
      </c>
      <c r="H796" s="2" t="s">
        <v>10</v>
      </c>
      <c r="I796" s="2">
        <f>ABS(DF[[#This Row],[Quantity_BEFORE]])</f>
        <v>1</v>
      </c>
      <c r="J796" s="2">
        <f>DF[[#This Row],[QUANTITY]]*DF[[#This Row],[UnitPrice]]</f>
        <v>3.25</v>
      </c>
    </row>
    <row r="797" spans="1:10" x14ac:dyDescent="0.25">
      <c r="A797" s="2">
        <v>536464</v>
      </c>
      <c r="B797" s="2">
        <v>22744</v>
      </c>
      <c r="C797" s="2" t="s">
        <v>569</v>
      </c>
      <c r="D797" s="2">
        <v>2</v>
      </c>
      <c r="E797" s="8">
        <v>40513.515972222223</v>
      </c>
      <c r="F797" s="2">
        <v>2.95</v>
      </c>
      <c r="G797" s="2">
        <v>17968</v>
      </c>
      <c r="H797" s="2" t="s">
        <v>10</v>
      </c>
      <c r="I797" s="2">
        <f>ABS(DF[[#This Row],[Quantity_BEFORE]])</f>
        <v>2</v>
      </c>
      <c r="J797" s="2">
        <f>DF[[#This Row],[QUANTITY]]*DF[[#This Row],[UnitPrice]]</f>
        <v>5.9</v>
      </c>
    </row>
    <row r="798" spans="1:10" x14ac:dyDescent="0.25">
      <c r="A798" s="2">
        <v>536464</v>
      </c>
      <c r="B798" s="2">
        <v>21985</v>
      </c>
      <c r="C798" s="2" t="s">
        <v>570</v>
      </c>
      <c r="D798" s="2">
        <v>1</v>
      </c>
      <c r="E798" s="8">
        <v>40513.515972222223</v>
      </c>
      <c r="F798" s="2">
        <v>0.28999999999999998</v>
      </c>
      <c r="G798" s="2">
        <v>17968</v>
      </c>
      <c r="H798" s="2" t="s">
        <v>10</v>
      </c>
      <c r="I798" s="2">
        <f>ABS(DF[[#This Row],[Quantity_BEFORE]])</f>
        <v>1</v>
      </c>
      <c r="J798" s="2">
        <f>DF[[#This Row],[QUANTITY]]*DF[[#This Row],[UnitPrice]]</f>
        <v>0.28999999999999998</v>
      </c>
    </row>
    <row r="799" spans="1:10" x14ac:dyDescent="0.25">
      <c r="A799" s="2">
        <v>536464</v>
      </c>
      <c r="B799" s="2">
        <v>21980</v>
      </c>
      <c r="C799" s="2" t="s">
        <v>222</v>
      </c>
      <c r="D799" s="2">
        <v>1</v>
      </c>
      <c r="E799" s="8">
        <v>40513.515972222223</v>
      </c>
      <c r="F799" s="2">
        <v>0.28999999999999998</v>
      </c>
      <c r="G799" s="2">
        <v>17968</v>
      </c>
      <c r="H799" s="2" t="s">
        <v>10</v>
      </c>
      <c r="I799" s="2">
        <f>ABS(DF[[#This Row],[Quantity_BEFORE]])</f>
        <v>1</v>
      </c>
      <c r="J799" s="2">
        <f>DF[[#This Row],[QUANTITY]]*DF[[#This Row],[UnitPrice]]</f>
        <v>0.28999999999999998</v>
      </c>
    </row>
    <row r="800" spans="1:10" x14ac:dyDescent="0.25">
      <c r="A800" s="2">
        <v>536464</v>
      </c>
      <c r="B800" s="2">
        <v>22988</v>
      </c>
      <c r="C800" s="2" t="s">
        <v>454</v>
      </c>
      <c r="D800" s="2">
        <v>1</v>
      </c>
      <c r="E800" s="8">
        <v>40513.515972222223</v>
      </c>
      <c r="F800" s="2">
        <v>1.25</v>
      </c>
      <c r="G800" s="2">
        <v>17968</v>
      </c>
      <c r="H800" s="2" t="s">
        <v>10</v>
      </c>
      <c r="I800" s="2">
        <f>ABS(DF[[#This Row],[Quantity_BEFORE]])</f>
        <v>1</v>
      </c>
      <c r="J800" s="2">
        <f>DF[[#This Row],[QUANTITY]]*DF[[#This Row],[UnitPrice]]</f>
        <v>1.25</v>
      </c>
    </row>
    <row r="801" spans="1:10" x14ac:dyDescent="0.25">
      <c r="A801" s="2">
        <v>536464</v>
      </c>
      <c r="B801" s="2">
        <v>22297</v>
      </c>
      <c r="C801" s="2" t="s">
        <v>325</v>
      </c>
      <c r="D801" s="2">
        <v>1</v>
      </c>
      <c r="E801" s="8">
        <v>40513.515972222223</v>
      </c>
      <c r="F801" s="2">
        <v>1.25</v>
      </c>
      <c r="G801" s="2">
        <v>17968</v>
      </c>
      <c r="H801" s="2" t="s">
        <v>10</v>
      </c>
      <c r="I801" s="2">
        <f>ABS(DF[[#This Row],[Quantity_BEFORE]])</f>
        <v>1</v>
      </c>
      <c r="J801" s="2">
        <f>DF[[#This Row],[QUANTITY]]*DF[[#This Row],[UnitPrice]]</f>
        <v>1.25</v>
      </c>
    </row>
    <row r="802" spans="1:10" x14ac:dyDescent="0.25">
      <c r="A802" s="2">
        <v>536464</v>
      </c>
      <c r="B802" s="2">
        <v>22294</v>
      </c>
      <c r="C802" s="2" t="s">
        <v>526</v>
      </c>
      <c r="D802" s="2">
        <v>1</v>
      </c>
      <c r="E802" s="8">
        <v>40513.515972222223</v>
      </c>
      <c r="F802" s="2">
        <v>1.25</v>
      </c>
      <c r="G802" s="2">
        <v>17968</v>
      </c>
      <c r="H802" s="2" t="s">
        <v>10</v>
      </c>
      <c r="I802" s="2">
        <f>ABS(DF[[#This Row],[Quantity_BEFORE]])</f>
        <v>1</v>
      </c>
      <c r="J802" s="2">
        <f>DF[[#This Row],[QUANTITY]]*DF[[#This Row],[UnitPrice]]</f>
        <v>1.25</v>
      </c>
    </row>
    <row r="803" spans="1:10" x14ac:dyDescent="0.25">
      <c r="A803" s="2">
        <v>536464</v>
      </c>
      <c r="B803" s="2">
        <v>22295</v>
      </c>
      <c r="C803" s="2" t="s">
        <v>571</v>
      </c>
      <c r="D803" s="2">
        <v>1</v>
      </c>
      <c r="E803" s="8">
        <v>40513.515972222223</v>
      </c>
      <c r="F803" s="2">
        <v>1.65</v>
      </c>
      <c r="G803" s="2">
        <v>17968</v>
      </c>
      <c r="H803" s="2" t="s">
        <v>10</v>
      </c>
      <c r="I803" s="2">
        <f>ABS(DF[[#This Row],[Quantity_BEFORE]])</f>
        <v>1</v>
      </c>
      <c r="J803" s="2">
        <f>DF[[#This Row],[QUANTITY]]*DF[[#This Row],[UnitPrice]]</f>
        <v>1.65</v>
      </c>
    </row>
    <row r="804" spans="1:10" x14ac:dyDescent="0.25">
      <c r="A804" s="2">
        <v>536464</v>
      </c>
      <c r="B804" s="2">
        <v>22813</v>
      </c>
      <c r="C804" s="2" t="s">
        <v>357</v>
      </c>
      <c r="D804" s="2">
        <v>2</v>
      </c>
      <c r="E804" s="8">
        <v>40513.515972222223</v>
      </c>
      <c r="F804" s="2">
        <v>1.95</v>
      </c>
      <c r="G804" s="2">
        <v>17968</v>
      </c>
      <c r="H804" s="2" t="s">
        <v>10</v>
      </c>
      <c r="I804" s="2">
        <f>ABS(DF[[#This Row],[Quantity_BEFORE]])</f>
        <v>2</v>
      </c>
      <c r="J804" s="2">
        <f>DF[[#This Row],[QUANTITY]]*DF[[#This Row],[UnitPrice]]</f>
        <v>3.9</v>
      </c>
    </row>
    <row r="805" spans="1:10" x14ac:dyDescent="0.25">
      <c r="A805" s="2">
        <v>536464</v>
      </c>
      <c r="B805" s="2">
        <v>22812</v>
      </c>
      <c r="C805" s="2" t="s">
        <v>376</v>
      </c>
      <c r="D805" s="2">
        <v>6</v>
      </c>
      <c r="E805" s="8">
        <v>40513.515972222223</v>
      </c>
      <c r="F805" s="2">
        <v>1.95</v>
      </c>
      <c r="G805" s="2">
        <v>17968</v>
      </c>
      <c r="H805" s="2" t="s">
        <v>10</v>
      </c>
      <c r="I805" s="2">
        <f>ABS(DF[[#This Row],[Quantity_BEFORE]])</f>
        <v>6</v>
      </c>
      <c r="J805" s="2">
        <f>DF[[#This Row],[QUANTITY]]*DF[[#This Row],[UnitPrice]]</f>
        <v>11.7</v>
      </c>
    </row>
    <row r="806" spans="1:10" x14ac:dyDescent="0.25">
      <c r="A806" s="2">
        <v>536464</v>
      </c>
      <c r="B806" s="2">
        <v>22197</v>
      </c>
      <c r="C806" s="2" t="s">
        <v>208</v>
      </c>
      <c r="D806" s="2">
        <v>5</v>
      </c>
      <c r="E806" s="8">
        <v>40513.515972222223</v>
      </c>
      <c r="F806" s="2">
        <v>0.85</v>
      </c>
      <c r="G806" s="2">
        <v>17968</v>
      </c>
      <c r="H806" s="2" t="s">
        <v>10</v>
      </c>
      <c r="I806" s="2">
        <f>ABS(DF[[#This Row],[Quantity_BEFORE]])</f>
        <v>5</v>
      </c>
      <c r="J806" s="2">
        <f>DF[[#This Row],[QUANTITY]]*DF[[#This Row],[UnitPrice]]</f>
        <v>4.25</v>
      </c>
    </row>
    <row r="807" spans="1:10" x14ac:dyDescent="0.25">
      <c r="A807" s="2">
        <v>536464</v>
      </c>
      <c r="B807" s="2">
        <v>21977</v>
      </c>
      <c r="C807" s="2" t="s">
        <v>90</v>
      </c>
      <c r="D807" s="2">
        <v>1</v>
      </c>
      <c r="E807" s="8">
        <v>40513.515972222223</v>
      </c>
      <c r="F807" s="2">
        <v>0.55000000000000004</v>
      </c>
      <c r="G807" s="2">
        <v>17968</v>
      </c>
      <c r="H807" s="2" t="s">
        <v>10</v>
      </c>
      <c r="I807" s="2">
        <f>ABS(DF[[#This Row],[Quantity_BEFORE]])</f>
        <v>1</v>
      </c>
      <c r="J807" s="2">
        <f>DF[[#This Row],[QUANTITY]]*DF[[#This Row],[UnitPrice]]</f>
        <v>0.55000000000000004</v>
      </c>
    </row>
    <row r="808" spans="1:10" x14ac:dyDescent="0.25">
      <c r="A808" s="2">
        <v>536464</v>
      </c>
      <c r="B808" s="2">
        <v>22619</v>
      </c>
      <c r="C808" s="2" t="s">
        <v>227</v>
      </c>
      <c r="D808" s="2">
        <v>1</v>
      </c>
      <c r="E808" s="8">
        <v>40513.515972222223</v>
      </c>
      <c r="F808" s="2">
        <v>3.75</v>
      </c>
      <c r="G808" s="2">
        <v>17968</v>
      </c>
      <c r="H808" s="2" t="s">
        <v>10</v>
      </c>
      <c r="I808" s="2">
        <f>ABS(DF[[#This Row],[Quantity_BEFORE]])</f>
        <v>1</v>
      </c>
      <c r="J808" s="2">
        <f>DF[[#This Row],[QUANTITY]]*DF[[#This Row],[UnitPrice]]</f>
        <v>3.75</v>
      </c>
    </row>
    <row r="809" spans="1:10" x14ac:dyDescent="0.25">
      <c r="A809" s="2">
        <v>536464</v>
      </c>
      <c r="B809" s="2" t="s">
        <v>572</v>
      </c>
      <c r="C809" s="2" t="s">
        <v>573</v>
      </c>
      <c r="D809" s="2">
        <v>1</v>
      </c>
      <c r="E809" s="8">
        <v>40513.515972222223</v>
      </c>
      <c r="F809" s="2">
        <v>0.42</v>
      </c>
      <c r="G809" s="2">
        <v>17968</v>
      </c>
      <c r="H809" s="2" t="s">
        <v>10</v>
      </c>
      <c r="I809" s="2">
        <f>ABS(DF[[#This Row],[Quantity_BEFORE]])</f>
        <v>1</v>
      </c>
      <c r="J809" s="2">
        <f>DF[[#This Row],[QUANTITY]]*DF[[#This Row],[UnitPrice]]</f>
        <v>0.42</v>
      </c>
    </row>
    <row r="810" spans="1:10" x14ac:dyDescent="0.25">
      <c r="A810" s="2">
        <v>536464</v>
      </c>
      <c r="B810" s="2">
        <v>21992</v>
      </c>
      <c r="C810" s="2" t="s">
        <v>574</v>
      </c>
      <c r="D810" s="2">
        <v>1</v>
      </c>
      <c r="E810" s="8">
        <v>40513.515972222223</v>
      </c>
      <c r="F810" s="2">
        <v>2.95</v>
      </c>
      <c r="G810" s="2">
        <v>17968</v>
      </c>
      <c r="H810" s="2" t="s">
        <v>10</v>
      </c>
      <c r="I810" s="2">
        <f>ABS(DF[[#This Row],[Quantity_BEFORE]])</f>
        <v>1</v>
      </c>
      <c r="J810" s="2">
        <f>DF[[#This Row],[QUANTITY]]*DF[[#This Row],[UnitPrice]]</f>
        <v>2.95</v>
      </c>
    </row>
    <row r="811" spans="1:10" x14ac:dyDescent="0.25">
      <c r="A811" s="2">
        <v>536464</v>
      </c>
      <c r="B811" s="2">
        <v>22910</v>
      </c>
      <c r="C811" s="2" t="s">
        <v>206</v>
      </c>
      <c r="D811" s="2">
        <v>1</v>
      </c>
      <c r="E811" s="8">
        <v>40513.515972222223</v>
      </c>
      <c r="F811" s="2">
        <v>2.95</v>
      </c>
      <c r="G811" s="2">
        <v>17968</v>
      </c>
      <c r="H811" s="2" t="s">
        <v>10</v>
      </c>
      <c r="I811" s="2">
        <f>ABS(DF[[#This Row],[Quantity_BEFORE]])</f>
        <v>1</v>
      </c>
      <c r="J811" s="2">
        <f>DF[[#This Row],[QUANTITY]]*DF[[#This Row],[UnitPrice]]</f>
        <v>2.95</v>
      </c>
    </row>
    <row r="812" spans="1:10" x14ac:dyDescent="0.25">
      <c r="A812" s="2">
        <v>536464</v>
      </c>
      <c r="B812" s="2">
        <v>21124</v>
      </c>
      <c r="C812" s="2" t="s">
        <v>575</v>
      </c>
      <c r="D812" s="2">
        <v>1</v>
      </c>
      <c r="E812" s="8">
        <v>40513.515972222223</v>
      </c>
      <c r="F812" s="2">
        <v>1.25</v>
      </c>
      <c r="G812" s="2">
        <v>17968</v>
      </c>
      <c r="H812" s="2" t="s">
        <v>10</v>
      </c>
      <c r="I812" s="2">
        <f>ABS(DF[[#This Row],[Quantity_BEFORE]])</f>
        <v>1</v>
      </c>
      <c r="J812" s="2">
        <f>DF[[#This Row],[QUANTITY]]*DF[[#This Row],[UnitPrice]]</f>
        <v>1.25</v>
      </c>
    </row>
    <row r="813" spans="1:10" x14ac:dyDescent="0.25">
      <c r="A813" s="2">
        <v>536464</v>
      </c>
      <c r="B813" s="2">
        <v>22735</v>
      </c>
      <c r="C813" s="2" t="s">
        <v>576</v>
      </c>
      <c r="D813" s="2">
        <v>2</v>
      </c>
      <c r="E813" s="8">
        <v>40513.515972222223</v>
      </c>
      <c r="F813" s="2">
        <v>1.65</v>
      </c>
      <c r="G813" s="2">
        <v>17968</v>
      </c>
      <c r="H813" s="2" t="s">
        <v>10</v>
      </c>
      <c r="I813" s="2">
        <f>ABS(DF[[#This Row],[Quantity_BEFORE]])</f>
        <v>2</v>
      </c>
      <c r="J813" s="2">
        <f>DF[[#This Row],[QUANTITY]]*DF[[#This Row],[UnitPrice]]</f>
        <v>3.3</v>
      </c>
    </row>
    <row r="814" spans="1:10" x14ac:dyDescent="0.25">
      <c r="A814" s="2">
        <v>536464</v>
      </c>
      <c r="B814" s="2">
        <v>22952</v>
      </c>
      <c r="C814" s="2" t="s">
        <v>456</v>
      </c>
      <c r="D814" s="2">
        <v>2</v>
      </c>
      <c r="E814" s="8">
        <v>40513.515972222223</v>
      </c>
      <c r="F814" s="2">
        <v>0.55000000000000004</v>
      </c>
      <c r="G814" s="2">
        <v>17968</v>
      </c>
      <c r="H814" s="2" t="s">
        <v>10</v>
      </c>
      <c r="I814" s="2">
        <f>ABS(DF[[#This Row],[Quantity_BEFORE]])</f>
        <v>2</v>
      </c>
      <c r="J814" s="2">
        <f>DF[[#This Row],[QUANTITY]]*DF[[#This Row],[UnitPrice]]</f>
        <v>1.1000000000000001</v>
      </c>
    </row>
    <row r="815" spans="1:10" x14ac:dyDescent="0.25">
      <c r="A815" s="2">
        <v>536464</v>
      </c>
      <c r="B815" s="2">
        <v>22945</v>
      </c>
      <c r="C815" s="2" t="s">
        <v>577</v>
      </c>
      <c r="D815" s="2">
        <v>6</v>
      </c>
      <c r="E815" s="8">
        <v>40513.515972222223</v>
      </c>
      <c r="F815" s="2">
        <v>0.85</v>
      </c>
      <c r="G815" s="2">
        <v>17968</v>
      </c>
      <c r="H815" s="2" t="s">
        <v>10</v>
      </c>
      <c r="I815" s="2">
        <f>ABS(DF[[#This Row],[Quantity_BEFORE]])</f>
        <v>6</v>
      </c>
      <c r="J815" s="2">
        <f>DF[[#This Row],[QUANTITY]]*DF[[#This Row],[UnitPrice]]</f>
        <v>5.0999999999999996</v>
      </c>
    </row>
    <row r="816" spans="1:10" x14ac:dyDescent="0.25">
      <c r="A816" s="2">
        <v>536464</v>
      </c>
      <c r="B816" s="2">
        <v>21816</v>
      </c>
      <c r="C816" s="2" t="s">
        <v>578</v>
      </c>
      <c r="D816" s="2">
        <v>2</v>
      </c>
      <c r="E816" s="8">
        <v>40513.515972222223</v>
      </c>
      <c r="F816" s="2">
        <v>1.45</v>
      </c>
      <c r="G816" s="2">
        <v>17968</v>
      </c>
      <c r="H816" s="2" t="s">
        <v>10</v>
      </c>
      <c r="I816" s="2">
        <f>ABS(DF[[#This Row],[Quantity_BEFORE]])</f>
        <v>2</v>
      </c>
      <c r="J816" s="2">
        <f>DF[[#This Row],[QUANTITY]]*DF[[#This Row],[UnitPrice]]</f>
        <v>2.9</v>
      </c>
    </row>
    <row r="817" spans="1:10" x14ac:dyDescent="0.25">
      <c r="A817" s="2">
        <v>536464</v>
      </c>
      <c r="B817" s="2">
        <v>21815</v>
      </c>
      <c r="C817" s="2" t="s">
        <v>579</v>
      </c>
      <c r="D817" s="2">
        <v>4</v>
      </c>
      <c r="E817" s="8">
        <v>40513.515972222223</v>
      </c>
      <c r="F817" s="2">
        <v>1.45</v>
      </c>
      <c r="G817" s="2">
        <v>17968</v>
      </c>
      <c r="H817" s="2" t="s">
        <v>10</v>
      </c>
      <c r="I817" s="2">
        <f>ABS(DF[[#This Row],[Quantity_BEFORE]])</f>
        <v>4</v>
      </c>
      <c r="J817" s="2">
        <f>DF[[#This Row],[QUANTITY]]*DF[[#This Row],[UnitPrice]]</f>
        <v>5.8</v>
      </c>
    </row>
    <row r="818" spans="1:10" x14ac:dyDescent="0.25">
      <c r="A818" s="2">
        <v>536464</v>
      </c>
      <c r="B818" s="2">
        <v>21814</v>
      </c>
      <c r="C818" s="2" t="s">
        <v>580</v>
      </c>
      <c r="D818" s="2">
        <v>2</v>
      </c>
      <c r="E818" s="8">
        <v>40513.515972222223</v>
      </c>
      <c r="F818" s="2">
        <v>1.45</v>
      </c>
      <c r="G818" s="2">
        <v>17968</v>
      </c>
      <c r="H818" s="2" t="s">
        <v>10</v>
      </c>
      <c r="I818" s="2">
        <f>ABS(DF[[#This Row],[Quantity_BEFORE]])</f>
        <v>2</v>
      </c>
      <c r="J818" s="2">
        <f>DF[[#This Row],[QUANTITY]]*DF[[#This Row],[UnitPrice]]</f>
        <v>2.9</v>
      </c>
    </row>
    <row r="819" spans="1:10" x14ac:dyDescent="0.25">
      <c r="A819" s="2">
        <v>536464</v>
      </c>
      <c r="B819" s="2">
        <v>10125</v>
      </c>
      <c r="C819" s="2" t="s">
        <v>581</v>
      </c>
      <c r="D819" s="2">
        <v>2</v>
      </c>
      <c r="E819" s="8">
        <v>40513.515972222223</v>
      </c>
      <c r="F819" s="2">
        <v>0.85</v>
      </c>
      <c r="G819" s="2">
        <v>17968</v>
      </c>
      <c r="H819" s="2" t="s">
        <v>10</v>
      </c>
      <c r="I819" s="2">
        <f>ABS(DF[[#This Row],[Quantity_BEFORE]])</f>
        <v>2</v>
      </c>
      <c r="J819" s="2">
        <f>DF[[#This Row],[QUANTITY]]*DF[[#This Row],[UnitPrice]]</f>
        <v>1.7</v>
      </c>
    </row>
    <row r="820" spans="1:10" x14ac:dyDescent="0.25">
      <c r="A820" s="2">
        <v>536464</v>
      </c>
      <c r="B820" s="2">
        <v>22810</v>
      </c>
      <c r="C820" s="2" t="s">
        <v>295</v>
      </c>
      <c r="D820" s="2">
        <v>1</v>
      </c>
      <c r="E820" s="8">
        <v>40513.515972222223</v>
      </c>
      <c r="F820" s="2">
        <v>2.95</v>
      </c>
      <c r="G820" s="2">
        <v>17968</v>
      </c>
      <c r="H820" s="2" t="s">
        <v>10</v>
      </c>
      <c r="I820" s="2">
        <f>ABS(DF[[#This Row],[Quantity_BEFORE]])</f>
        <v>1</v>
      </c>
      <c r="J820" s="2">
        <f>DF[[#This Row],[QUANTITY]]*DF[[#This Row],[UnitPrice]]</f>
        <v>2.95</v>
      </c>
    </row>
    <row r="821" spans="1:10" x14ac:dyDescent="0.25">
      <c r="A821" s="2">
        <v>536464</v>
      </c>
      <c r="B821" s="2">
        <v>22573</v>
      </c>
      <c r="C821" s="2" t="s">
        <v>582</v>
      </c>
      <c r="D821" s="2">
        <v>1</v>
      </c>
      <c r="E821" s="8">
        <v>40513.515972222223</v>
      </c>
      <c r="F821" s="2">
        <v>0.85</v>
      </c>
      <c r="G821" s="2">
        <v>17968</v>
      </c>
      <c r="H821" s="2" t="s">
        <v>10</v>
      </c>
      <c r="I821" s="2">
        <f>ABS(DF[[#This Row],[Quantity_BEFORE]])</f>
        <v>1</v>
      </c>
      <c r="J821" s="2">
        <f>DF[[#This Row],[QUANTITY]]*DF[[#This Row],[UnitPrice]]</f>
        <v>0.85</v>
      </c>
    </row>
    <row r="822" spans="1:10" x14ac:dyDescent="0.25">
      <c r="A822" s="2">
        <v>536464</v>
      </c>
      <c r="B822" s="2">
        <v>22577</v>
      </c>
      <c r="C822" s="2" t="s">
        <v>583</v>
      </c>
      <c r="D822" s="2">
        <v>1</v>
      </c>
      <c r="E822" s="8">
        <v>40513.515972222223</v>
      </c>
      <c r="F822" s="2">
        <v>0.85</v>
      </c>
      <c r="G822" s="2">
        <v>17968</v>
      </c>
      <c r="H822" s="2" t="s">
        <v>10</v>
      </c>
      <c r="I822" s="2">
        <f>ABS(DF[[#This Row],[Quantity_BEFORE]])</f>
        <v>1</v>
      </c>
      <c r="J822" s="2">
        <f>DF[[#This Row],[QUANTITY]]*DF[[#This Row],[UnitPrice]]</f>
        <v>0.85</v>
      </c>
    </row>
    <row r="823" spans="1:10" x14ac:dyDescent="0.25">
      <c r="A823" s="2">
        <v>536464</v>
      </c>
      <c r="B823" s="2">
        <v>22603</v>
      </c>
      <c r="C823" s="2" t="s">
        <v>584</v>
      </c>
      <c r="D823" s="2">
        <v>2</v>
      </c>
      <c r="E823" s="8">
        <v>40513.515972222223</v>
      </c>
      <c r="F823" s="2">
        <v>0.85</v>
      </c>
      <c r="G823" s="2">
        <v>17968</v>
      </c>
      <c r="H823" s="2" t="s">
        <v>10</v>
      </c>
      <c r="I823" s="2">
        <f>ABS(DF[[#This Row],[Quantity_BEFORE]])</f>
        <v>2</v>
      </c>
      <c r="J823" s="2">
        <f>DF[[#This Row],[QUANTITY]]*DF[[#This Row],[UnitPrice]]</f>
        <v>1.7</v>
      </c>
    </row>
    <row r="824" spans="1:10" x14ac:dyDescent="0.25">
      <c r="A824" s="2">
        <v>536464</v>
      </c>
      <c r="B824" s="2">
        <v>22809</v>
      </c>
      <c r="C824" s="2" t="s">
        <v>296</v>
      </c>
      <c r="D824" s="2">
        <v>1</v>
      </c>
      <c r="E824" s="8">
        <v>40513.515972222223</v>
      </c>
      <c r="F824" s="2">
        <v>2.95</v>
      </c>
      <c r="G824" s="2">
        <v>17968</v>
      </c>
      <c r="H824" s="2" t="s">
        <v>10</v>
      </c>
      <c r="I824" s="2">
        <f>ABS(DF[[#This Row],[Quantity_BEFORE]])</f>
        <v>1</v>
      </c>
      <c r="J824" s="2">
        <f>DF[[#This Row],[QUANTITY]]*DF[[#This Row],[UnitPrice]]</f>
        <v>2.95</v>
      </c>
    </row>
    <row r="825" spans="1:10" x14ac:dyDescent="0.25">
      <c r="A825" s="2">
        <v>536464</v>
      </c>
      <c r="B825" s="2">
        <v>20878</v>
      </c>
      <c r="C825" s="2" t="s">
        <v>585</v>
      </c>
      <c r="D825" s="2">
        <v>1</v>
      </c>
      <c r="E825" s="8">
        <v>40513.515972222223</v>
      </c>
      <c r="F825" s="2">
        <v>1.25</v>
      </c>
      <c r="G825" s="2">
        <v>17968</v>
      </c>
      <c r="H825" s="2" t="s">
        <v>10</v>
      </c>
      <c r="I825" s="2">
        <f>ABS(DF[[#This Row],[Quantity_BEFORE]])</f>
        <v>1</v>
      </c>
      <c r="J825" s="2">
        <f>DF[[#This Row],[QUANTITY]]*DF[[#This Row],[UnitPrice]]</f>
        <v>1.25</v>
      </c>
    </row>
    <row r="826" spans="1:10" x14ac:dyDescent="0.25">
      <c r="A826" s="2">
        <v>536464</v>
      </c>
      <c r="B826" s="2">
        <v>20866</v>
      </c>
      <c r="C826" s="2" t="s">
        <v>586</v>
      </c>
      <c r="D826" s="2">
        <v>1</v>
      </c>
      <c r="E826" s="8">
        <v>40513.515972222223</v>
      </c>
      <c r="F826" s="2">
        <v>1.25</v>
      </c>
      <c r="G826" s="2">
        <v>17968</v>
      </c>
      <c r="H826" s="2" t="s">
        <v>10</v>
      </c>
      <c r="I826" s="2">
        <f>ABS(DF[[#This Row],[Quantity_BEFORE]])</f>
        <v>1</v>
      </c>
      <c r="J826" s="2">
        <f>DF[[#This Row],[QUANTITY]]*DF[[#This Row],[UnitPrice]]</f>
        <v>1.25</v>
      </c>
    </row>
    <row r="827" spans="1:10" x14ac:dyDescent="0.25">
      <c r="A827" s="2">
        <v>536464</v>
      </c>
      <c r="B827" s="2">
        <v>85095</v>
      </c>
      <c r="C827" s="2" t="s">
        <v>587</v>
      </c>
      <c r="D827" s="2">
        <v>1</v>
      </c>
      <c r="E827" s="8">
        <v>40513.515972222223</v>
      </c>
      <c r="F827" s="2">
        <v>1.95</v>
      </c>
      <c r="G827" s="2">
        <v>17968</v>
      </c>
      <c r="H827" s="2" t="s">
        <v>10</v>
      </c>
      <c r="I827" s="2">
        <f>ABS(DF[[#This Row],[Quantity_BEFORE]])</f>
        <v>1</v>
      </c>
      <c r="J827" s="2">
        <f>DF[[#This Row],[QUANTITY]]*DF[[#This Row],[UnitPrice]]</f>
        <v>1.95</v>
      </c>
    </row>
    <row r="828" spans="1:10" x14ac:dyDescent="0.25">
      <c r="A828" s="2">
        <v>536464</v>
      </c>
      <c r="B828" s="2">
        <v>22333</v>
      </c>
      <c r="C828" s="2" t="s">
        <v>588</v>
      </c>
      <c r="D828" s="2">
        <v>1</v>
      </c>
      <c r="E828" s="8">
        <v>40513.515972222223</v>
      </c>
      <c r="F828" s="2">
        <v>1.65</v>
      </c>
      <c r="G828" s="2">
        <v>17968</v>
      </c>
      <c r="H828" s="2" t="s">
        <v>10</v>
      </c>
      <c r="I828" s="2">
        <f>ABS(DF[[#This Row],[Quantity_BEFORE]])</f>
        <v>1</v>
      </c>
      <c r="J828" s="2">
        <f>DF[[#This Row],[QUANTITY]]*DF[[#This Row],[UnitPrice]]</f>
        <v>1.65</v>
      </c>
    </row>
    <row r="829" spans="1:10" x14ac:dyDescent="0.25">
      <c r="A829" s="2">
        <v>536464</v>
      </c>
      <c r="B829" s="2">
        <v>22557</v>
      </c>
      <c r="C829" s="2" t="s">
        <v>224</v>
      </c>
      <c r="D829" s="2">
        <v>1</v>
      </c>
      <c r="E829" s="8">
        <v>40513.515972222223</v>
      </c>
      <c r="F829" s="2">
        <v>1.65</v>
      </c>
      <c r="G829" s="2">
        <v>17968</v>
      </c>
      <c r="H829" s="2" t="s">
        <v>10</v>
      </c>
      <c r="I829" s="2">
        <f>ABS(DF[[#This Row],[Quantity_BEFORE]])</f>
        <v>1</v>
      </c>
      <c r="J829" s="2">
        <f>DF[[#This Row],[QUANTITY]]*DF[[#This Row],[UnitPrice]]</f>
        <v>1.65</v>
      </c>
    </row>
    <row r="830" spans="1:10" x14ac:dyDescent="0.25">
      <c r="A830" s="2">
        <v>536464</v>
      </c>
      <c r="B830" s="2">
        <v>21584</v>
      </c>
      <c r="C830" s="2" t="s">
        <v>589</v>
      </c>
      <c r="D830" s="2">
        <v>1</v>
      </c>
      <c r="E830" s="8">
        <v>40513.515972222223</v>
      </c>
      <c r="F830" s="2">
        <v>1.65</v>
      </c>
      <c r="G830" s="2">
        <v>17968</v>
      </c>
      <c r="H830" s="2" t="s">
        <v>10</v>
      </c>
      <c r="I830" s="2">
        <f>ABS(DF[[#This Row],[Quantity_BEFORE]])</f>
        <v>1</v>
      </c>
      <c r="J830" s="2">
        <f>DF[[#This Row],[QUANTITY]]*DF[[#This Row],[UnitPrice]]</f>
        <v>1.65</v>
      </c>
    </row>
    <row r="831" spans="1:10" x14ac:dyDescent="0.25">
      <c r="A831" s="2">
        <v>536464</v>
      </c>
      <c r="B831" s="2">
        <v>22866</v>
      </c>
      <c r="C831" s="2" t="s">
        <v>237</v>
      </c>
      <c r="D831" s="2">
        <v>1</v>
      </c>
      <c r="E831" s="8">
        <v>40513.515972222223</v>
      </c>
      <c r="F831" s="2">
        <v>2.1</v>
      </c>
      <c r="G831" s="2">
        <v>17968</v>
      </c>
      <c r="H831" s="2" t="s">
        <v>10</v>
      </c>
      <c r="I831" s="2">
        <f>ABS(DF[[#This Row],[Quantity_BEFORE]])</f>
        <v>1</v>
      </c>
      <c r="J831" s="2">
        <f>DF[[#This Row],[QUANTITY]]*DF[[#This Row],[UnitPrice]]</f>
        <v>2.1</v>
      </c>
    </row>
    <row r="832" spans="1:10" x14ac:dyDescent="0.25">
      <c r="A832" s="2">
        <v>536464</v>
      </c>
      <c r="B832" s="2">
        <v>22731</v>
      </c>
      <c r="C832" s="2" t="s">
        <v>590</v>
      </c>
      <c r="D832" s="2">
        <v>2</v>
      </c>
      <c r="E832" s="8">
        <v>40513.515972222223</v>
      </c>
      <c r="F832" s="2">
        <v>1.25</v>
      </c>
      <c r="G832" s="2">
        <v>17968</v>
      </c>
      <c r="H832" s="2" t="s">
        <v>10</v>
      </c>
      <c r="I832" s="2">
        <f>ABS(DF[[#This Row],[Quantity_BEFORE]])</f>
        <v>2</v>
      </c>
      <c r="J832" s="2">
        <f>DF[[#This Row],[QUANTITY]]*DF[[#This Row],[UnitPrice]]</f>
        <v>2.5</v>
      </c>
    </row>
    <row r="833" spans="1:10" x14ac:dyDescent="0.25">
      <c r="A833" s="2">
        <v>536464</v>
      </c>
      <c r="B833" s="2">
        <v>22866</v>
      </c>
      <c r="C833" s="2" t="s">
        <v>237</v>
      </c>
      <c r="D833" s="2">
        <v>1</v>
      </c>
      <c r="E833" s="8">
        <v>40513.515972222223</v>
      </c>
      <c r="F833" s="2">
        <v>2.1</v>
      </c>
      <c r="G833" s="2">
        <v>17968</v>
      </c>
      <c r="H833" s="2" t="s">
        <v>10</v>
      </c>
      <c r="I833" s="2">
        <f>ABS(DF[[#This Row],[Quantity_BEFORE]])</f>
        <v>1</v>
      </c>
      <c r="J833" s="2">
        <f>DF[[#This Row],[QUANTITY]]*DF[[#This Row],[UnitPrice]]</f>
        <v>2.1</v>
      </c>
    </row>
    <row r="834" spans="1:10" x14ac:dyDescent="0.25">
      <c r="A834" s="2">
        <v>536464</v>
      </c>
      <c r="B834" s="2">
        <v>22866</v>
      </c>
      <c r="C834" s="2" t="s">
        <v>237</v>
      </c>
      <c r="D834" s="2">
        <v>3</v>
      </c>
      <c r="E834" s="8">
        <v>40513.515972222223</v>
      </c>
      <c r="F834" s="2">
        <v>2.1</v>
      </c>
      <c r="G834" s="2">
        <v>17968</v>
      </c>
      <c r="H834" s="2" t="s">
        <v>10</v>
      </c>
      <c r="I834" s="2">
        <f>ABS(DF[[#This Row],[Quantity_BEFORE]])</f>
        <v>3</v>
      </c>
      <c r="J834" s="2">
        <f>DF[[#This Row],[QUANTITY]]*DF[[#This Row],[UnitPrice]]</f>
        <v>6.3000000000000007</v>
      </c>
    </row>
    <row r="835" spans="1:10" x14ac:dyDescent="0.25">
      <c r="A835" s="2">
        <v>536464</v>
      </c>
      <c r="B835" s="2">
        <v>22558</v>
      </c>
      <c r="C835" s="2" t="s">
        <v>241</v>
      </c>
      <c r="D835" s="2">
        <v>2</v>
      </c>
      <c r="E835" s="8">
        <v>40513.515972222223</v>
      </c>
      <c r="F835" s="2">
        <v>1.49</v>
      </c>
      <c r="G835" s="2">
        <v>17968</v>
      </c>
      <c r="H835" s="2" t="s">
        <v>10</v>
      </c>
      <c r="I835" s="2">
        <f>ABS(DF[[#This Row],[Quantity_BEFORE]])</f>
        <v>2</v>
      </c>
      <c r="J835" s="2">
        <f>DF[[#This Row],[QUANTITY]]*DF[[#This Row],[UnitPrice]]</f>
        <v>2.98</v>
      </c>
    </row>
    <row r="836" spans="1:10" x14ac:dyDescent="0.25">
      <c r="A836" s="2">
        <v>536464</v>
      </c>
      <c r="B836" s="2">
        <v>22956</v>
      </c>
      <c r="C836" s="2" t="s">
        <v>591</v>
      </c>
      <c r="D836" s="2">
        <v>1</v>
      </c>
      <c r="E836" s="8">
        <v>40513.515972222223</v>
      </c>
      <c r="F836" s="2">
        <v>2.1</v>
      </c>
      <c r="G836" s="2">
        <v>17968</v>
      </c>
      <c r="H836" s="2" t="s">
        <v>10</v>
      </c>
      <c r="I836" s="2">
        <f>ABS(DF[[#This Row],[Quantity_BEFORE]])</f>
        <v>1</v>
      </c>
      <c r="J836" s="2">
        <f>DF[[#This Row],[QUANTITY]]*DF[[#This Row],[UnitPrice]]</f>
        <v>2.1</v>
      </c>
    </row>
    <row r="837" spans="1:10" x14ac:dyDescent="0.25">
      <c r="A837" s="2">
        <v>536464</v>
      </c>
      <c r="B837" s="2">
        <v>22945</v>
      </c>
      <c r="C837" s="2" t="s">
        <v>577</v>
      </c>
      <c r="D837" s="2">
        <v>6</v>
      </c>
      <c r="E837" s="8">
        <v>40513.515972222223</v>
      </c>
      <c r="F837" s="2">
        <v>0.85</v>
      </c>
      <c r="G837" s="2">
        <v>17968</v>
      </c>
      <c r="H837" s="2" t="s">
        <v>10</v>
      </c>
      <c r="I837" s="2">
        <f>ABS(DF[[#This Row],[Quantity_BEFORE]])</f>
        <v>6</v>
      </c>
      <c r="J837" s="2">
        <f>DF[[#This Row],[QUANTITY]]*DF[[#This Row],[UnitPrice]]</f>
        <v>5.0999999999999996</v>
      </c>
    </row>
    <row r="838" spans="1:10" x14ac:dyDescent="0.25">
      <c r="A838" s="2">
        <v>536464</v>
      </c>
      <c r="B838" s="2">
        <v>22582</v>
      </c>
      <c r="C838" s="2" t="s">
        <v>592</v>
      </c>
      <c r="D838" s="2">
        <v>1</v>
      </c>
      <c r="E838" s="8">
        <v>40513.515972222223</v>
      </c>
      <c r="F838" s="2">
        <v>2.5499999999999998</v>
      </c>
      <c r="G838" s="2">
        <v>17968</v>
      </c>
      <c r="H838" s="2" t="s">
        <v>10</v>
      </c>
      <c r="I838" s="2">
        <f>ABS(DF[[#This Row],[Quantity_BEFORE]])</f>
        <v>1</v>
      </c>
      <c r="J838" s="2">
        <f>DF[[#This Row],[QUANTITY]]*DF[[#This Row],[UnitPrice]]</f>
        <v>2.5499999999999998</v>
      </c>
    </row>
    <row r="839" spans="1:10" x14ac:dyDescent="0.25">
      <c r="A839" s="2">
        <v>536464</v>
      </c>
      <c r="B839" s="2">
        <v>21212</v>
      </c>
      <c r="C839" s="2" t="s">
        <v>88</v>
      </c>
      <c r="D839" s="2">
        <v>1</v>
      </c>
      <c r="E839" s="8">
        <v>40513.515972222223</v>
      </c>
      <c r="F839" s="2">
        <v>0.55000000000000004</v>
      </c>
      <c r="G839" s="2">
        <v>17968</v>
      </c>
      <c r="H839" s="2" t="s">
        <v>10</v>
      </c>
      <c r="I839" s="2">
        <f>ABS(DF[[#This Row],[Quantity_BEFORE]])</f>
        <v>1</v>
      </c>
      <c r="J839" s="2">
        <f>DF[[#This Row],[QUANTITY]]*DF[[#This Row],[UnitPrice]]</f>
        <v>0.55000000000000004</v>
      </c>
    </row>
    <row r="840" spans="1:10" x14ac:dyDescent="0.25">
      <c r="A840" s="2">
        <v>536464</v>
      </c>
      <c r="B840" s="2">
        <v>21212</v>
      </c>
      <c r="C840" s="2" t="s">
        <v>88</v>
      </c>
      <c r="D840" s="2">
        <v>2</v>
      </c>
      <c r="E840" s="8">
        <v>40513.515972222223</v>
      </c>
      <c r="F840" s="2">
        <v>0.55000000000000004</v>
      </c>
      <c r="G840" s="2">
        <v>17968</v>
      </c>
      <c r="H840" s="2" t="s">
        <v>10</v>
      </c>
      <c r="I840" s="2">
        <f>ABS(DF[[#This Row],[Quantity_BEFORE]])</f>
        <v>2</v>
      </c>
      <c r="J840" s="2">
        <f>DF[[#This Row],[QUANTITY]]*DF[[#This Row],[UnitPrice]]</f>
        <v>1.1000000000000001</v>
      </c>
    </row>
    <row r="841" spans="1:10" x14ac:dyDescent="0.25">
      <c r="A841" s="2">
        <v>536464</v>
      </c>
      <c r="B841" s="2">
        <v>22585</v>
      </c>
      <c r="C841" s="2" t="s">
        <v>511</v>
      </c>
      <c r="D841" s="2">
        <v>3</v>
      </c>
      <c r="E841" s="8">
        <v>40513.515972222223</v>
      </c>
      <c r="F841" s="2">
        <v>1.25</v>
      </c>
      <c r="G841" s="2">
        <v>17968</v>
      </c>
      <c r="H841" s="2" t="s">
        <v>10</v>
      </c>
      <c r="I841" s="2">
        <f>ABS(DF[[#This Row],[Quantity_BEFORE]])</f>
        <v>3</v>
      </c>
      <c r="J841" s="2">
        <f>DF[[#This Row],[QUANTITY]]*DF[[#This Row],[UnitPrice]]</f>
        <v>3.75</v>
      </c>
    </row>
    <row r="842" spans="1:10" x14ac:dyDescent="0.25">
      <c r="A842" s="2">
        <v>536464</v>
      </c>
      <c r="B842" s="2">
        <v>21121</v>
      </c>
      <c r="C842" s="2" t="s">
        <v>549</v>
      </c>
      <c r="D842" s="2">
        <v>1</v>
      </c>
      <c r="E842" s="8">
        <v>40513.515972222223</v>
      </c>
      <c r="F842" s="2">
        <v>1.25</v>
      </c>
      <c r="G842" s="2">
        <v>17968</v>
      </c>
      <c r="H842" s="2" t="s">
        <v>10</v>
      </c>
      <c r="I842" s="2">
        <f>ABS(DF[[#This Row],[Quantity_BEFORE]])</f>
        <v>1</v>
      </c>
      <c r="J842" s="2">
        <f>DF[[#This Row],[QUANTITY]]*DF[[#This Row],[UnitPrice]]</f>
        <v>1.25</v>
      </c>
    </row>
    <row r="843" spans="1:10" x14ac:dyDescent="0.25">
      <c r="A843" s="2">
        <v>536464</v>
      </c>
      <c r="B843" s="2">
        <v>21122</v>
      </c>
      <c r="C843" s="2" t="s">
        <v>293</v>
      </c>
      <c r="D843" s="2">
        <v>1</v>
      </c>
      <c r="E843" s="8">
        <v>40513.515972222223</v>
      </c>
      <c r="F843" s="2">
        <v>1.25</v>
      </c>
      <c r="G843" s="2">
        <v>17968</v>
      </c>
      <c r="H843" s="2" t="s">
        <v>10</v>
      </c>
      <c r="I843" s="2">
        <f>ABS(DF[[#This Row],[Quantity_BEFORE]])</f>
        <v>1</v>
      </c>
      <c r="J843" s="2">
        <f>DF[[#This Row],[QUANTITY]]*DF[[#This Row],[UnitPrice]]</f>
        <v>1.25</v>
      </c>
    </row>
    <row r="844" spans="1:10" x14ac:dyDescent="0.25">
      <c r="A844" s="2">
        <v>536464</v>
      </c>
      <c r="B844" s="2">
        <v>22759</v>
      </c>
      <c r="C844" s="2" t="s">
        <v>431</v>
      </c>
      <c r="D844" s="2">
        <v>1</v>
      </c>
      <c r="E844" s="8">
        <v>40513.515972222223</v>
      </c>
      <c r="F844" s="2">
        <v>1.65</v>
      </c>
      <c r="G844" s="2">
        <v>17968</v>
      </c>
      <c r="H844" s="2" t="s">
        <v>10</v>
      </c>
      <c r="I844" s="2">
        <f>ABS(DF[[#This Row],[Quantity_BEFORE]])</f>
        <v>1</v>
      </c>
      <c r="J844" s="2">
        <f>DF[[#This Row],[QUANTITY]]*DF[[#This Row],[UnitPrice]]</f>
        <v>1.65</v>
      </c>
    </row>
    <row r="845" spans="1:10" x14ac:dyDescent="0.25">
      <c r="A845" s="2">
        <v>536464</v>
      </c>
      <c r="B845" s="2">
        <v>21815</v>
      </c>
      <c r="C845" s="2" t="s">
        <v>579</v>
      </c>
      <c r="D845" s="2">
        <v>1</v>
      </c>
      <c r="E845" s="8">
        <v>40513.515972222223</v>
      </c>
      <c r="F845" s="2">
        <v>1.45</v>
      </c>
      <c r="G845" s="2">
        <v>17968</v>
      </c>
      <c r="H845" s="2" t="s">
        <v>10</v>
      </c>
      <c r="I845" s="2">
        <f>ABS(DF[[#This Row],[Quantity_BEFORE]])</f>
        <v>1</v>
      </c>
      <c r="J845" s="2">
        <f>DF[[#This Row],[QUANTITY]]*DF[[#This Row],[UnitPrice]]</f>
        <v>1.45</v>
      </c>
    </row>
    <row r="846" spans="1:10" x14ac:dyDescent="0.25">
      <c r="A846" s="2">
        <v>536464</v>
      </c>
      <c r="B846" s="2" t="s">
        <v>593</v>
      </c>
      <c r="C846" s="2" t="s">
        <v>594</v>
      </c>
      <c r="D846" s="2">
        <v>3</v>
      </c>
      <c r="E846" s="8">
        <v>40513.515972222223</v>
      </c>
      <c r="F846" s="2">
        <v>0.85</v>
      </c>
      <c r="G846" s="2">
        <v>17968</v>
      </c>
      <c r="H846" s="2" t="s">
        <v>10</v>
      </c>
      <c r="I846" s="2">
        <f>ABS(DF[[#This Row],[Quantity_BEFORE]])</f>
        <v>3</v>
      </c>
      <c r="J846" s="2">
        <f>DF[[#This Row],[QUANTITY]]*DF[[#This Row],[UnitPrice]]</f>
        <v>2.5499999999999998</v>
      </c>
    </row>
    <row r="847" spans="1:10" x14ac:dyDescent="0.25">
      <c r="A847" s="2">
        <v>536464</v>
      </c>
      <c r="B847" s="2" t="s">
        <v>595</v>
      </c>
      <c r="C847" s="2" t="s">
        <v>596</v>
      </c>
      <c r="D847" s="2">
        <v>5</v>
      </c>
      <c r="E847" s="8">
        <v>40513.515972222223</v>
      </c>
      <c r="F847" s="2">
        <v>0.85</v>
      </c>
      <c r="G847" s="2">
        <v>17968</v>
      </c>
      <c r="H847" s="2" t="s">
        <v>10</v>
      </c>
      <c r="I847" s="2">
        <f>ABS(DF[[#This Row],[Quantity_BEFORE]])</f>
        <v>5</v>
      </c>
      <c r="J847" s="2">
        <f>DF[[#This Row],[QUANTITY]]*DF[[#This Row],[UnitPrice]]</f>
        <v>4.25</v>
      </c>
    </row>
    <row r="848" spans="1:10" x14ac:dyDescent="0.25">
      <c r="A848" s="2">
        <v>536464</v>
      </c>
      <c r="B848" s="2">
        <v>22082</v>
      </c>
      <c r="C848" s="2" t="s">
        <v>597</v>
      </c>
      <c r="D848" s="2">
        <v>5</v>
      </c>
      <c r="E848" s="8">
        <v>40513.515972222223</v>
      </c>
      <c r="F848" s="2">
        <v>1.65</v>
      </c>
      <c r="G848" s="2">
        <v>17968</v>
      </c>
      <c r="H848" s="2" t="s">
        <v>10</v>
      </c>
      <c r="I848" s="2">
        <f>ABS(DF[[#This Row],[Quantity_BEFORE]])</f>
        <v>5</v>
      </c>
      <c r="J848" s="2">
        <f>DF[[#This Row],[QUANTITY]]*DF[[#This Row],[UnitPrice]]</f>
        <v>8.25</v>
      </c>
    </row>
    <row r="849" spans="1:10" x14ac:dyDescent="0.25">
      <c r="A849" s="2">
        <v>536464</v>
      </c>
      <c r="B849" s="2">
        <v>22500</v>
      </c>
      <c r="C849" s="2" t="s">
        <v>598</v>
      </c>
      <c r="D849" s="2">
        <v>2</v>
      </c>
      <c r="E849" s="8">
        <v>40513.515972222223</v>
      </c>
      <c r="F849" s="2">
        <v>4.95</v>
      </c>
      <c r="G849" s="2">
        <v>17968</v>
      </c>
      <c r="H849" s="2" t="s">
        <v>10</v>
      </c>
      <c r="I849" s="2">
        <f>ABS(DF[[#This Row],[Quantity_BEFORE]])</f>
        <v>2</v>
      </c>
      <c r="J849" s="2">
        <f>DF[[#This Row],[QUANTITY]]*DF[[#This Row],[UnitPrice]]</f>
        <v>9.9</v>
      </c>
    </row>
    <row r="850" spans="1:10" x14ac:dyDescent="0.25">
      <c r="A850" s="2">
        <v>536464</v>
      </c>
      <c r="B850" s="2">
        <v>22742</v>
      </c>
      <c r="C850" s="2" t="s">
        <v>599</v>
      </c>
      <c r="D850" s="2">
        <v>1</v>
      </c>
      <c r="E850" s="8">
        <v>40513.515972222223</v>
      </c>
      <c r="F850" s="2">
        <v>2.95</v>
      </c>
      <c r="G850" s="2">
        <v>17968</v>
      </c>
      <c r="H850" s="2" t="s">
        <v>10</v>
      </c>
      <c r="I850" s="2">
        <f>ABS(DF[[#This Row],[Quantity_BEFORE]])</f>
        <v>1</v>
      </c>
      <c r="J850" s="2">
        <f>DF[[#This Row],[QUANTITY]]*DF[[#This Row],[UnitPrice]]</f>
        <v>2.95</v>
      </c>
    </row>
    <row r="851" spans="1:10" x14ac:dyDescent="0.25">
      <c r="A851" s="2">
        <v>536464</v>
      </c>
      <c r="B851" s="2">
        <v>21329</v>
      </c>
      <c r="C851" s="2" t="s">
        <v>600</v>
      </c>
      <c r="D851" s="2">
        <v>1</v>
      </c>
      <c r="E851" s="8">
        <v>40513.515972222223</v>
      </c>
      <c r="F851" s="2">
        <v>1.65</v>
      </c>
      <c r="G851" s="2">
        <v>17968</v>
      </c>
      <c r="H851" s="2" t="s">
        <v>10</v>
      </c>
      <c r="I851" s="2">
        <f>ABS(DF[[#This Row],[Quantity_BEFORE]])</f>
        <v>1</v>
      </c>
      <c r="J851" s="2">
        <f>DF[[#This Row],[QUANTITY]]*DF[[#This Row],[UnitPrice]]</f>
        <v>1.65</v>
      </c>
    </row>
    <row r="852" spans="1:10" x14ac:dyDescent="0.25">
      <c r="A852" s="2">
        <v>536464</v>
      </c>
      <c r="B852" s="2">
        <v>21328</v>
      </c>
      <c r="C852" s="2" t="s">
        <v>271</v>
      </c>
      <c r="D852" s="2">
        <v>1</v>
      </c>
      <c r="E852" s="8">
        <v>40513.515972222223</v>
      </c>
      <c r="F852" s="2">
        <v>1.65</v>
      </c>
      <c r="G852" s="2">
        <v>17968</v>
      </c>
      <c r="H852" s="2" t="s">
        <v>10</v>
      </c>
      <c r="I852" s="2">
        <f>ABS(DF[[#This Row],[Quantity_BEFORE]])</f>
        <v>1</v>
      </c>
      <c r="J852" s="2">
        <f>DF[[#This Row],[QUANTITY]]*DF[[#This Row],[UnitPrice]]</f>
        <v>1.65</v>
      </c>
    </row>
    <row r="853" spans="1:10" x14ac:dyDescent="0.25">
      <c r="A853" s="2">
        <v>536464</v>
      </c>
      <c r="B853" s="2">
        <v>21327</v>
      </c>
      <c r="C853" s="2" t="s">
        <v>601</v>
      </c>
      <c r="D853" s="2">
        <v>1</v>
      </c>
      <c r="E853" s="8">
        <v>40513.515972222223</v>
      </c>
      <c r="F853" s="2">
        <v>1.65</v>
      </c>
      <c r="G853" s="2">
        <v>17968</v>
      </c>
      <c r="H853" s="2" t="s">
        <v>10</v>
      </c>
      <c r="I853" s="2">
        <f>ABS(DF[[#This Row],[Quantity_BEFORE]])</f>
        <v>1</v>
      </c>
      <c r="J853" s="2">
        <f>DF[[#This Row],[QUANTITY]]*DF[[#This Row],[UnitPrice]]</f>
        <v>1.65</v>
      </c>
    </row>
    <row r="854" spans="1:10" x14ac:dyDescent="0.25">
      <c r="A854" s="2">
        <v>536464</v>
      </c>
      <c r="B854" s="2">
        <v>21992</v>
      </c>
      <c r="C854" s="2" t="s">
        <v>574</v>
      </c>
      <c r="D854" s="2">
        <v>1</v>
      </c>
      <c r="E854" s="8">
        <v>40513.515972222223</v>
      </c>
      <c r="F854" s="2">
        <v>2.95</v>
      </c>
      <c r="G854" s="2">
        <v>17968</v>
      </c>
      <c r="H854" s="2" t="s">
        <v>10</v>
      </c>
      <c r="I854" s="2">
        <f>ABS(DF[[#This Row],[Quantity_BEFORE]])</f>
        <v>1</v>
      </c>
      <c r="J854" s="2">
        <f>DF[[#This Row],[QUANTITY]]*DF[[#This Row],[UnitPrice]]</f>
        <v>2.95</v>
      </c>
    </row>
    <row r="855" spans="1:10" x14ac:dyDescent="0.25">
      <c r="A855" s="2">
        <v>536464</v>
      </c>
      <c r="B855" s="2">
        <v>21738</v>
      </c>
      <c r="C855" s="2" t="s">
        <v>433</v>
      </c>
      <c r="D855" s="2">
        <v>1</v>
      </c>
      <c r="E855" s="8">
        <v>40513.515972222223</v>
      </c>
      <c r="F855" s="2">
        <v>2.95</v>
      </c>
      <c r="G855" s="2">
        <v>17968</v>
      </c>
      <c r="H855" s="2" t="s">
        <v>10</v>
      </c>
      <c r="I855" s="2">
        <f>ABS(DF[[#This Row],[Quantity_BEFORE]])</f>
        <v>1</v>
      </c>
      <c r="J855" s="2">
        <f>DF[[#This Row],[QUANTITY]]*DF[[#This Row],[UnitPrice]]</f>
        <v>2.95</v>
      </c>
    </row>
    <row r="856" spans="1:10" x14ac:dyDescent="0.25">
      <c r="A856" s="2">
        <v>536464</v>
      </c>
      <c r="B856" s="2" t="s">
        <v>602</v>
      </c>
      <c r="C856" s="2" t="s">
        <v>603</v>
      </c>
      <c r="D856" s="2">
        <v>1</v>
      </c>
      <c r="E856" s="8">
        <v>40513.515972222223</v>
      </c>
      <c r="F856" s="2">
        <v>7.95</v>
      </c>
      <c r="G856" s="2">
        <v>17968</v>
      </c>
      <c r="H856" s="2" t="s">
        <v>10</v>
      </c>
      <c r="I856" s="2">
        <f>ABS(DF[[#This Row],[Quantity_BEFORE]])</f>
        <v>1</v>
      </c>
      <c r="J856" s="2">
        <f>DF[[#This Row],[QUANTITY]]*DF[[#This Row],[UnitPrice]]</f>
        <v>7.95</v>
      </c>
    </row>
    <row r="857" spans="1:10" x14ac:dyDescent="0.25">
      <c r="A857" s="2">
        <v>536464</v>
      </c>
      <c r="B857" s="2" t="s">
        <v>76</v>
      </c>
      <c r="C857" s="2" t="s">
        <v>77</v>
      </c>
      <c r="D857" s="2">
        <v>1</v>
      </c>
      <c r="E857" s="8">
        <v>40513.515972222223</v>
      </c>
      <c r="F857" s="2">
        <v>1.95</v>
      </c>
      <c r="G857" s="2">
        <v>17968</v>
      </c>
      <c r="H857" s="2" t="s">
        <v>10</v>
      </c>
      <c r="I857" s="2">
        <f>ABS(DF[[#This Row],[Quantity_BEFORE]])</f>
        <v>1</v>
      </c>
      <c r="J857" s="2">
        <f>DF[[#This Row],[QUANTITY]]*DF[[#This Row],[UnitPrice]]</f>
        <v>1.95</v>
      </c>
    </row>
    <row r="858" spans="1:10" x14ac:dyDescent="0.25">
      <c r="A858" s="2">
        <v>536464</v>
      </c>
      <c r="B858" s="2">
        <v>22960</v>
      </c>
      <c r="C858" s="2" t="s">
        <v>34</v>
      </c>
      <c r="D858" s="2">
        <v>1</v>
      </c>
      <c r="E858" s="8">
        <v>40513.515972222223</v>
      </c>
      <c r="F858" s="2">
        <v>4.25</v>
      </c>
      <c r="G858" s="2">
        <v>17968</v>
      </c>
      <c r="H858" s="2" t="s">
        <v>10</v>
      </c>
      <c r="I858" s="2">
        <f>ABS(DF[[#This Row],[Quantity_BEFORE]])</f>
        <v>1</v>
      </c>
      <c r="J858" s="2">
        <f>DF[[#This Row],[QUANTITY]]*DF[[#This Row],[UnitPrice]]</f>
        <v>4.25</v>
      </c>
    </row>
    <row r="859" spans="1:10" x14ac:dyDescent="0.25">
      <c r="A859" s="2">
        <v>536464</v>
      </c>
      <c r="B859" s="2" t="s">
        <v>595</v>
      </c>
      <c r="C859" s="2" t="s">
        <v>596</v>
      </c>
      <c r="D859" s="2">
        <v>1</v>
      </c>
      <c r="E859" s="8">
        <v>40513.515972222223</v>
      </c>
      <c r="F859" s="2">
        <v>0.85</v>
      </c>
      <c r="G859" s="2">
        <v>17968</v>
      </c>
      <c r="H859" s="2" t="s">
        <v>10</v>
      </c>
      <c r="I859" s="2">
        <f>ABS(DF[[#This Row],[Quantity_BEFORE]])</f>
        <v>1</v>
      </c>
      <c r="J859" s="2">
        <f>DF[[#This Row],[QUANTITY]]*DF[[#This Row],[UnitPrice]]</f>
        <v>0.85</v>
      </c>
    </row>
    <row r="860" spans="1:10" x14ac:dyDescent="0.25">
      <c r="A860" s="2">
        <v>536464</v>
      </c>
      <c r="B860" s="2" t="s">
        <v>593</v>
      </c>
      <c r="C860" s="2" t="s">
        <v>594</v>
      </c>
      <c r="D860" s="2">
        <v>2</v>
      </c>
      <c r="E860" s="8">
        <v>40513.515972222223</v>
      </c>
      <c r="F860" s="2">
        <v>0.85</v>
      </c>
      <c r="G860" s="2">
        <v>17968</v>
      </c>
      <c r="H860" s="2" t="s">
        <v>10</v>
      </c>
      <c r="I860" s="2">
        <f>ABS(DF[[#This Row],[Quantity_BEFORE]])</f>
        <v>2</v>
      </c>
      <c r="J860" s="2">
        <f>DF[[#This Row],[QUANTITY]]*DF[[#This Row],[UnitPrice]]</f>
        <v>1.7</v>
      </c>
    </row>
    <row r="861" spans="1:10" x14ac:dyDescent="0.25">
      <c r="A861" s="2">
        <v>536464</v>
      </c>
      <c r="B861" s="2">
        <v>22866</v>
      </c>
      <c r="C861" s="2" t="s">
        <v>237</v>
      </c>
      <c r="D861" s="2">
        <v>1</v>
      </c>
      <c r="E861" s="8">
        <v>40513.515972222223</v>
      </c>
      <c r="F861" s="2">
        <v>2.1</v>
      </c>
      <c r="G861" s="2">
        <v>17968</v>
      </c>
      <c r="H861" s="2" t="s">
        <v>10</v>
      </c>
      <c r="I861" s="2">
        <f>ABS(DF[[#This Row],[Quantity_BEFORE]])</f>
        <v>1</v>
      </c>
      <c r="J861" s="2">
        <f>DF[[#This Row],[QUANTITY]]*DF[[#This Row],[UnitPrice]]</f>
        <v>2.1</v>
      </c>
    </row>
    <row r="862" spans="1:10" x14ac:dyDescent="0.25">
      <c r="A862" s="2">
        <v>536464</v>
      </c>
      <c r="B862" s="2">
        <v>72818</v>
      </c>
      <c r="C862" s="2" t="s">
        <v>604</v>
      </c>
      <c r="D862" s="2">
        <v>1</v>
      </c>
      <c r="E862" s="8">
        <v>40513.515972222223</v>
      </c>
      <c r="F862" s="2">
        <v>0.85</v>
      </c>
      <c r="G862" s="2">
        <v>17968</v>
      </c>
      <c r="H862" s="2" t="s">
        <v>10</v>
      </c>
      <c r="I862" s="2">
        <f>ABS(DF[[#This Row],[Quantity_BEFORE]])</f>
        <v>1</v>
      </c>
      <c r="J862" s="2">
        <f>DF[[#This Row],[QUANTITY]]*DF[[#This Row],[UnitPrice]]</f>
        <v>0.85</v>
      </c>
    </row>
    <row r="863" spans="1:10" x14ac:dyDescent="0.25">
      <c r="A863" s="2">
        <v>536464</v>
      </c>
      <c r="B863" s="2">
        <v>21814</v>
      </c>
      <c r="C863" s="2" t="s">
        <v>580</v>
      </c>
      <c r="D863" s="2">
        <v>8</v>
      </c>
      <c r="E863" s="8">
        <v>40513.515972222223</v>
      </c>
      <c r="F863" s="2">
        <v>1.45</v>
      </c>
      <c r="G863" s="2">
        <v>17968</v>
      </c>
      <c r="H863" s="2" t="s">
        <v>10</v>
      </c>
      <c r="I863" s="2">
        <f>ABS(DF[[#This Row],[Quantity_BEFORE]])</f>
        <v>8</v>
      </c>
      <c r="J863" s="2">
        <f>DF[[#This Row],[QUANTITY]]*DF[[#This Row],[UnitPrice]]</f>
        <v>11.6</v>
      </c>
    </row>
    <row r="864" spans="1:10" x14ac:dyDescent="0.25">
      <c r="A864" s="2">
        <v>536464</v>
      </c>
      <c r="B864" s="2">
        <v>22441</v>
      </c>
      <c r="C864" s="2" t="s">
        <v>292</v>
      </c>
      <c r="D864" s="2">
        <v>1</v>
      </c>
      <c r="E864" s="8">
        <v>40513.515972222223</v>
      </c>
      <c r="F864" s="2">
        <v>2.1</v>
      </c>
      <c r="G864" s="2">
        <v>17968</v>
      </c>
      <c r="H864" s="2" t="s">
        <v>10</v>
      </c>
      <c r="I864" s="2">
        <f>ABS(DF[[#This Row],[Quantity_BEFORE]])</f>
        <v>1</v>
      </c>
      <c r="J864" s="2">
        <f>DF[[#This Row],[QUANTITY]]*DF[[#This Row],[UnitPrice]]</f>
        <v>2.1</v>
      </c>
    </row>
    <row r="865" spans="1:10" x14ac:dyDescent="0.25">
      <c r="A865" s="2">
        <v>536464</v>
      </c>
      <c r="B865" s="2">
        <v>22312</v>
      </c>
      <c r="C865" s="2" t="s">
        <v>605</v>
      </c>
      <c r="D865" s="2">
        <v>1</v>
      </c>
      <c r="E865" s="8">
        <v>40513.515972222223</v>
      </c>
      <c r="F865" s="2">
        <v>2.95</v>
      </c>
      <c r="G865" s="2">
        <v>17968</v>
      </c>
      <c r="H865" s="2" t="s">
        <v>10</v>
      </c>
      <c r="I865" s="2">
        <f>ABS(DF[[#This Row],[Quantity_BEFORE]])</f>
        <v>1</v>
      </c>
      <c r="J865" s="2">
        <f>DF[[#This Row],[QUANTITY]]*DF[[#This Row],[UnitPrice]]</f>
        <v>2.95</v>
      </c>
    </row>
    <row r="866" spans="1:10" x14ac:dyDescent="0.25">
      <c r="A866" s="2">
        <v>536464</v>
      </c>
      <c r="B866" s="2">
        <v>22197</v>
      </c>
      <c r="C866" s="2" t="s">
        <v>208</v>
      </c>
      <c r="D866" s="2">
        <v>6</v>
      </c>
      <c r="E866" s="8">
        <v>40513.515972222223</v>
      </c>
      <c r="F866" s="2">
        <v>0.85</v>
      </c>
      <c r="G866" s="2">
        <v>17968</v>
      </c>
      <c r="H866" s="2" t="s">
        <v>10</v>
      </c>
      <c r="I866" s="2">
        <f>ABS(DF[[#This Row],[Quantity_BEFORE]])</f>
        <v>6</v>
      </c>
      <c r="J866" s="2">
        <f>DF[[#This Row],[QUANTITY]]*DF[[#This Row],[UnitPrice]]</f>
        <v>5.0999999999999996</v>
      </c>
    </row>
    <row r="867" spans="1:10" x14ac:dyDescent="0.25">
      <c r="A867" s="2">
        <v>536464</v>
      </c>
      <c r="B867" s="2">
        <v>22663</v>
      </c>
      <c r="C867" s="2" t="s">
        <v>166</v>
      </c>
      <c r="D867" s="2">
        <v>1</v>
      </c>
      <c r="E867" s="8">
        <v>40513.515972222223</v>
      </c>
      <c r="F867" s="2">
        <v>1.95</v>
      </c>
      <c r="G867" s="2">
        <v>17968</v>
      </c>
      <c r="H867" s="2" t="s">
        <v>10</v>
      </c>
      <c r="I867" s="2">
        <f>ABS(DF[[#This Row],[Quantity_BEFORE]])</f>
        <v>1</v>
      </c>
      <c r="J867" s="2">
        <f>DF[[#This Row],[QUANTITY]]*DF[[#This Row],[UnitPrice]]</f>
        <v>1.95</v>
      </c>
    </row>
    <row r="868" spans="1:10" x14ac:dyDescent="0.25">
      <c r="A868" s="2">
        <v>536466</v>
      </c>
      <c r="B868" s="2">
        <v>22960</v>
      </c>
      <c r="C868" s="2" t="s">
        <v>34</v>
      </c>
      <c r="D868" s="2">
        <v>6</v>
      </c>
      <c r="E868" s="8">
        <v>40513.515972222223</v>
      </c>
      <c r="F868" s="2">
        <v>4.25</v>
      </c>
      <c r="G868" s="2">
        <v>14849</v>
      </c>
      <c r="H868" s="2" t="s">
        <v>10</v>
      </c>
      <c r="I868" s="2">
        <f>ABS(DF[[#This Row],[Quantity_BEFORE]])</f>
        <v>6</v>
      </c>
      <c r="J868" s="2">
        <f>DF[[#This Row],[QUANTITY]]*DF[[#This Row],[UnitPrice]]</f>
        <v>25.5</v>
      </c>
    </row>
    <row r="869" spans="1:10" x14ac:dyDescent="0.25">
      <c r="A869" s="2">
        <v>536466</v>
      </c>
      <c r="B869" s="2">
        <v>22961</v>
      </c>
      <c r="C869" s="2" t="s">
        <v>100</v>
      </c>
      <c r="D869" s="2">
        <v>12</v>
      </c>
      <c r="E869" s="8">
        <v>40513.515972222223</v>
      </c>
      <c r="F869" s="2">
        <v>1.45</v>
      </c>
      <c r="G869" s="2">
        <v>14849</v>
      </c>
      <c r="H869" s="2" t="s">
        <v>10</v>
      </c>
      <c r="I869" s="2">
        <f>ABS(DF[[#This Row],[Quantity_BEFORE]])</f>
        <v>12</v>
      </c>
      <c r="J869" s="2">
        <f>DF[[#This Row],[QUANTITY]]*DF[[#This Row],[UnitPrice]]</f>
        <v>17.399999999999999</v>
      </c>
    </row>
    <row r="870" spans="1:10" x14ac:dyDescent="0.25">
      <c r="A870" s="2">
        <v>536477</v>
      </c>
      <c r="B870" s="2">
        <v>21314</v>
      </c>
      <c r="C870" s="2" t="s">
        <v>245</v>
      </c>
      <c r="D870" s="2">
        <v>48</v>
      </c>
      <c r="E870" s="8">
        <v>40513.518750000003</v>
      </c>
      <c r="F870" s="2">
        <v>1.85</v>
      </c>
      <c r="G870" s="2">
        <v>16210</v>
      </c>
      <c r="H870" s="2" t="s">
        <v>10</v>
      </c>
      <c r="I870" s="2">
        <f>ABS(DF[[#This Row],[Quantity_BEFORE]])</f>
        <v>48</v>
      </c>
      <c r="J870" s="2">
        <f>DF[[#This Row],[QUANTITY]]*DF[[#This Row],[UnitPrice]]</f>
        <v>88.800000000000011</v>
      </c>
    </row>
    <row r="871" spans="1:10" x14ac:dyDescent="0.25">
      <c r="A871" s="2">
        <v>536477</v>
      </c>
      <c r="B871" s="2" t="s">
        <v>16</v>
      </c>
      <c r="C871" s="2" t="s">
        <v>17</v>
      </c>
      <c r="D871" s="2">
        <v>24</v>
      </c>
      <c r="E871" s="8">
        <v>40513.518750000003</v>
      </c>
      <c r="F871" s="2">
        <v>3.39</v>
      </c>
      <c r="G871" s="2">
        <v>16210</v>
      </c>
      <c r="H871" s="2" t="s">
        <v>10</v>
      </c>
      <c r="I871" s="2">
        <f>ABS(DF[[#This Row],[Quantity_BEFORE]])</f>
        <v>24</v>
      </c>
      <c r="J871" s="2">
        <f>DF[[#This Row],[QUANTITY]]*DF[[#This Row],[UnitPrice]]</f>
        <v>81.36</v>
      </c>
    </row>
    <row r="872" spans="1:10" x14ac:dyDescent="0.25">
      <c r="A872" s="2">
        <v>536477</v>
      </c>
      <c r="B872" s="2">
        <v>21137</v>
      </c>
      <c r="C872" s="2" t="s">
        <v>606</v>
      </c>
      <c r="D872" s="2">
        <v>480</v>
      </c>
      <c r="E872" s="8">
        <v>40513.518750000003</v>
      </c>
      <c r="F872" s="2">
        <v>3.39</v>
      </c>
      <c r="G872" s="2">
        <v>16210</v>
      </c>
      <c r="H872" s="2" t="s">
        <v>10</v>
      </c>
      <c r="I872" s="2">
        <f>ABS(DF[[#This Row],[Quantity_BEFORE]])</f>
        <v>480</v>
      </c>
      <c r="J872" s="2">
        <f>DF[[#This Row],[QUANTITY]]*DF[[#This Row],[UnitPrice]]</f>
        <v>1627.2</v>
      </c>
    </row>
    <row r="873" spans="1:10" x14ac:dyDescent="0.25">
      <c r="A873" s="2">
        <v>536477</v>
      </c>
      <c r="B873" s="2">
        <v>22041</v>
      </c>
      <c r="C873" s="2" t="s">
        <v>607</v>
      </c>
      <c r="D873" s="2">
        <v>48</v>
      </c>
      <c r="E873" s="8">
        <v>40513.518750000003</v>
      </c>
      <c r="F873" s="2">
        <v>2.1</v>
      </c>
      <c r="G873" s="2">
        <v>16210</v>
      </c>
      <c r="H873" s="2" t="s">
        <v>10</v>
      </c>
      <c r="I873" s="2">
        <f>ABS(DF[[#This Row],[Quantity_BEFORE]])</f>
        <v>48</v>
      </c>
      <c r="J873" s="2">
        <f>DF[[#This Row],[QUANTITY]]*DF[[#This Row],[UnitPrice]]</f>
        <v>100.80000000000001</v>
      </c>
    </row>
    <row r="874" spans="1:10" x14ac:dyDescent="0.25">
      <c r="A874" s="2">
        <v>536477</v>
      </c>
      <c r="B874" s="2">
        <v>20979</v>
      </c>
      <c r="C874" s="2" t="s">
        <v>608</v>
      </c>
      <c r="D874" s="2">
        <v>16</v>
      </c>
      <c r="E874" s="8">
        <v>40513.518750000003</v>
      </c>
      <c r="F874" s="2">
        <v>1.25</v>
      </c>
      <c r="G874" s="2">
        <v>16210</v>
      </c>
      <c r="H874" s="2" t="s">
        <v>10</v>
      </c>
      <c r="I874" s="2">
        <f>ABS(DF[[#This Row],[Quantity_BEFORE]])</f>
        <v>16</v>
      </c>
      <c r="J874" s="2">
        <f>DF[[#This Row],[QUANTITY]]*DF[[#This Row],[UnitPrice]]</f>
        <v>20</v>
      </c>
    </row>
    <row r="875" spans="1:10" x14ac:dyDescent="0.25">
      <c r="A875" s="2">
        <v>536477</v>
      </c>
      <c r="B875" s="2">
        <v>20977</v>
      </c>
      <c r="C875" s="2" t="s">
        <v>609</v>
      </c>
      <c r="D875" s="2">
        <v>16</v>
      </c>
      <c r="E875" s="8">
        <v>40513.518750000003</v>
      </c>
      <c r="F875" s="2">
        <v>1.25</v>
      </c>
      <c r="G875" s="2">
        <v>16210</v>
      </c>
      <c r="H875" s="2" t="s">
        <v>10</v>
      </c>
      <c r="I875" s="2">
        <f>ABS(DF[[#This Row],[Quantity_BEFORE]])</f>
        <v>16</v>
      </c>
      <c r="J875" s="2">
        <f>DF[[#This Row],[QUANTITY]]*DF[[#This Row],[UnitPrice]]</f>
        <v>20</v>
      </c>
    </row>
    <row r="876" spans="1:10" x14ac:dyDescent="0.25">
      <c r="A876" s="2">
        <v>536477</v>
      </c>
      <c r="B876" s="2">
        <v>22619</v>
      </c>
      <c r="C876" s="2" t="s">
        <v>227</v>
      </c>
      <c r="D876" s="2">
        <v>4</v>
      </c>
      <c r="E876" s="8">
        <v>40513.518750000003</v>
      </c>
      <c r="F876" s="2">
        <v>3.75</v>
      </c>
      <c r="G876" s="2">
        <v>16210</v>
      </c>
      <c r="H876" s="2" t="s">
        <v>10</v>
      </c>
      <c r="I876" s="2">
        <f>ABS(DF[[#This Row],[Quantity_BEFORE]])</f>
        <v>4</v>
      </c>
      <c r="J876" s="2">
        <f>DF[[#This Row],[QUANTITY]]*DF[[#This Row],[UnitPrice]]</f>
        <v>15</v>
      </c>
    </row>
    <row r="877" spans="1:10" x14ac:dyDescent="0.25">
      <c r="A877" s="2">
        <v>536477</v>
      </c>
      <c r="B877" s="2">
        <v>22571</v>
      </c>
      <c r="C877" s="2" t="s">
        <v>610</v>
      </c>
      <c r="D877" s="2">
        <v>96</v>
      </c>
      <c r="E877" s="8">
        <v>40513.518750000003</v>
      </c>
      <c r="F877" s="2">
        <v>0.72</v>
      </c>
      <c r="G877" s="2">
        <v>16210</v>
      </c>
      <c r="H877" s="2" t="s">
        <v>10</v>
      </c>
      <c r="I877" s="2">
        <f>ABS(DF[[#This Row],[Quantity_BEFORE]])</f>
        <v>96</v>
      </c>
      <c r="J877" s="2">
        <f>DF[[#This Row],[QUANTITY]]*DF[[#This Row],[UnitPrice]]</f>
        <v>69.12</v>
      </c>
    </row>
    <row r="878" spans="1:10" x14ac:dyDescent="0.25">
      <c r="A878" s="2">
        <v>536477</v>
      </c>
      <c r="B878" s="2">
        <v>22595</v>
      </c>
      <c r="C878" s="2" t="s">
        <v>473</v>
      </c>
      <c r="D878" s="2">
        <v>144</v>
      </c>
      <c r="E878" s="8">
        <v>40513.518750000003</v>
      </c>
      <c r="F878" s="2">
        <v>0.72</v>
      </c>
      <c r="G878" s="2">
        <v>16210</v>
      </c>
      <c r="H878" s="2" t="s">
        <v>10</v>
      </c>
      <c r="I878" s="2">
        <f>ABS(DF[[#This Row],[Quantity_BEFORE]])</f>
        <v>144</v>
      </c>
      <c r="J878" s="2">
        <f>DF[[#This Row],[QUANTITY]]*DF[[#This Row],[UnitPrice]]</f>
        <v>103.67999999999999</v>
      </c>
    </row>
    <row r="879" spans="1:10" x14ac:dyDescent="0.25">
      <c r="A879" s="2">
        <v>536477</v>
      </c>
      <c r="B879" s="2">
        <v>22593</v>
      </c>
      <c r="C879" s="2" t="s">
        <v>472</v>
      </c>
      <c r="D879" s="2">
        <v>144</v>
      </c>
      <c r="E879" s="8">
        <v>40513.518750000003</v>
      </c>
      <c r="F879" s="2">
        <v>0.72</v>
      </c>
      <c r="G879" s="2">
        <v>16210</v>
      </c>
      <c r="H879" s="2" t="s">
        <v>10</v>
      </c>
      <c r="I879" s="2">
        <f>ABS(DF[[#This Row],[Quantity_BEFORE]])</f>
        <v>144</v>
      </c>
      <c r="J879" s="2">
        <f>DF[[#This Row],[QUANTITY]]*DF[[#This Row],[UnitPrice]]</f>
        <v>103.67999999999999</v>
      </c>
    </row>
    <row r="880" spans="1:10" x14ac:dyDescent="0.25">
      <c r="A880" s="2">
        <v>536477</v>
      </c>
      <c r="B880" s="2">
        <v>22633</v>
      </c>
      <c r="C880" s="2" t="s">
        <v>20</v>
      </c>
      <c r="D880" s="2">
        <v>12</v>
      </c>
      <c r="E880" s="8">
        <v>40513.518750000003</v>
      </c>
      <c r="F880" s="2">
        <v>2.1</v>
      </c>
      <c r="G880" s="2">
        <v>16210</v>
      </c>
      <c r="H880" s="2" t="s">
        <v>10</v>
      </c>
      <c r="I880" s="2">
        <f>ABS(DF[[#This Row],[Quantity_BEFORE]])</f>
        <v>12</v>
      </c>
      <c r="J880" s="2">
        <f>DF[[#This Row],[QUANTITY]]*DF[[#This Row],[UnitPrice]]</f>
        <v>25.200000000000003</v>
      </c>
    </row>
    <row r="881" spans="1:10" x14ac:dyDescent="0.25">
      <c r="A881" s="2">
        <v>536477</v>
      </c>
      <c r="B881" s="2">
        <v>22632</v>
      </c>
      <c r="C881" s="2" t="s">
        <v>239</v>
      </c>
      <c r="D881" s="2">
        <v>12</v>
      </c>
      <c r="E881" s="8">
        <v>40513.518750000003</v>
      </c>
      <c r="F881" s="2">
        <v>2.1</v>
      </c>
      <c r="G881" s="2">
        <v>16210</v>
      </c>
      <c r="H881" s="2" t="s">
        <v>10</v>
      </c>
      <c r="I881" s="2">
        <f>ABS(DF[[#This Row],[Quantity_BEFORE]])</f>
        <v>12</v>
      </c>
      <c r="J881" s="2">
        <f>DF[[#This Row],[QUANTITY]]*DF[[#This Row],[UnitPrice]]</f>
        <v>25.200000000000003</v>
      </c>
    </row>
    <row r="882" spans="1:10" x14ac:dyDescent="0.25">
      <c r="A882" s="2">
        <v>536477</v>
      </c>
      <c r="B882" s="2">
        <v>22423</v>
      </c>
      <c r="C882" s="2" t="s">
        <v>611</v>
      </c>
      <c r="D882" s="2">
        <v>16</v>
      </c>
      <c r="E882" s="8">
        <v>40513.518750000003</v>
      </c>
      <c r="F882" s="2">
        <v>10.95</v>
      </c>
      <c r="G882" s="2">
        <v>16210</v>
      </c>
      <c r="H882" s="2" t="s">
        <v>10</v>
      </c>
      <c r="I882" s="2">
        <f>ABS(DF[[#This Row],[Quantity_BEFORE]])</f>
        <v>16</v>
      </c>
      <c r="J882" s="2">
        <f>DF[[#This Row],[QUANTITY]]*DF[[#This Row],[UnitPrice]]</f>
        <v>175.2</v>
      </c>
    </row>
    <row r="883" spans="1:10" x14ac:dyDescent="0.25">
      <c r="A883" s="2">
        <v>536477</v>
      </c>
      <c r="B883" s="2">
        <v>22411</v>
      </c>
      <c r="C883" s="2" t="s">
        <v>103</v>
      </c>
      <c r="D883" s="2">
        <v>10</v>
      </c>
      <c r="E883" s="8">
        <v>40513.518750000003</v>
      </c>
      <c r="F883" s="2">
        <v>1.95</v>
      </c>
      <c r="G883" s="2">
        <v>16210</v>
      </c>
      <c r="H883" s="2" t="s">
        <v>10</v>
      </c>
      <c r="I883" s="2">
        <f>ABS(DF[[#This Row],[Quantity_BEFORE]])</f>
        <v>10</v>
      </c>
      <c r="J883" s="2">
        <f>DF[[#This Row],[QUANTITY]]*DF[[#This Row],[UnitPrice]]</f>
        <v>19.5</v>
      </c>
    </row>
    <row r="884" spans="1:10" x14ac:dyDescent="0.25">
      <c r="A884" s="2">
        <v>536488</v>
      </c>
      <c r="B884" s="2">
        <v>22738</v>
      </c>
      <c r="C884" s="2" t="s">
        <v>458</v>
      </c>
      <c r="D884" s="2">
        <v>5</v>
      </c>
      <c r="E884" s="8">
        <v>40513.521527777775</v>
      </c>
      <c r="F884" s="2">
        <v>1.65</v>
      </c>
      <c r="G884" s="2">
        <v>17897</v>
      </c>
      <c r="H884" s="2" t="s">
        <v>10</v>
      </c>
      <c r="I884" s="2">
        <f>ABS(DF[[#This Row],[Quantity_BEFORE]])</f>
        <v>5</v>
      </c>
      <c r="J884" s="2">
        <f>DF[[#This Row],[QUANTITY]]*DF[[#This Row],[UnitPrice]]</f>
        <v>8.25</v>
      </c>
    </row>
    <row r="885" spans="1:10" x14ac:dyDescent="0.25">
      <c r="A885" s="2">
        <v>536488</v>
      </c>
      <c r="B885" s="2">
        <v>21621</v>
      </c>
      <c r="C885" s="2" t="s">
        <v>612</v>
      </c>
      <c r="D885" s="2">
        <v>1</v>
      </c>
      <c r="E885" s="8">
        <v>40513.521527777775</v>
      </c>
      <c r="F885" s="2">
        <v>8.5</v>
      </c>
      <c r="G885" s="2">
        <v>17897</v>
      </c>
      <c r="H885" s="2" t="s">
        <v>10</v>
      </c>
      <c r="I885" s="2">
        <f>ABS(DF[[#This Row],[Quantity_BEFORE]])</f>
        <v>1</v>
      </c>
      <c r="J885" s="2">
        <f>DF[[#This Row],[QUANTITY]]*DF[[#This Row],[UnitPrice]]</f>
        <v>8.5</v>
      </c>
    </row>
    <row r="886" spans="1:10" x14ac:dyDescent="0.25">
      <c r="A886" s="2">
        <v>536488</v>
      </c>
      <c r="B886" s="2">
        <v>22960</v>
      </c>
      <c r="C886" s="2" t="s">
        <v>34</v>
      </c>
      <c r="D886" s="2">
        <v>8</v>
      </c>
      <c r="E886" s="8">
        <v>40513.521527777775</v>
      </c>
      <c r="F886" s="2">
        <v>4.25</v>
      </c>
      <c r="G886" s="2">
        <v>17897</v>
      </c>
      <c r="H886" s="2" t="s">
        <v>10</v>
      </c>
      <c r="I886" s="2">
        <f>ABS(DF[[#This Row],[Quantity_BEFORE]])</f>
        <v>8</v>
      </c>
      <c r="J886" s="2">
        <f>DF[[#This Row],[QUANTITY]]*DF[[#This Row],[UnitPrice]]</f>
        <v>34</v>
      </c>
    </row>
    <row r="887" spans="1:10" x14ac:dyDescent="0.25">
      <c r="A887" s="2">
        <v>536488</v>
      </c>
      <c r="B887" s="2">
        <v>22082</v>
      </c>
      <c r="C887" s="2" t="s">
        <v>597</v>
      </c>
      <c r="D887" s="2">
        <v>5</v>
      </c>
      <c r="E887" s="8">
        <v>40513.521527777775</v>
      </c>
      <c r="F887" s="2">
        <v>1.65</v>
      </c>
      <c r="G887" s="2">
        <v>17897</v>
      </c>
      <c r="H887" s="2" t="s">
        <v>10</v>
      </c>
      <c r="I887" s="2">
        <f>ABS(DF[[#This Row],[Quantity_BEFORE]])</f>
        <v>5</v>
      </c>
      <c r="J887" s="2">
        <f>DF[[#This Row],[QUANTITY]]*DF[[#This Row],[UnitPrice]]</f>
        <v>8.25</v>
      </c>
    </row>
    <row r="888" spans="1:10" x14ac:dyDescent="0.25">
      <c r="A888" s="2">
        <v>536488</v>
      </c>
      <c r="B888" s="2" t="s">
        <v>613</v>
      </c>
      <c r="C888" s="2" t="s">
        <v>614</v>
      </c>
      <c r="D888" s="2">
        <v>1</v>
      </c>
      <c r="E888" s="8">
        <v>40513.521527777775</v>
      </c>
      <c r="F888" s="2">
        <v>3.75</v>
      </c>
      <c r="G888" s="2">
        <v>17897</v>
      </c>
      <c r="H888" s="2" t="s">
        <v>10</v>
      </c>
      <c r="I888" s="2">
        <f>ABS(DF[[#This Row],[Quantity_BEFORE]])</f>
        <v>1</v>
      </c>
      <c r="J888" s="2">
        <f>DF[[#This Row],[QUANTITY]]*DF[[#This Row],[UnitPrice]]</f>
        <v>3.75</v>
      </c>
    </row>
    <row r="889" spans="1:10" x14ac:dyDescent="0.25">
      <c r="A889" s="2">
        <v>536488</v>
      </c>
      <c r="B889" s="2" t="s">
        <v>615</v>
      </c>
      <c r="C889" s="2" t="s">
        <v>616</v>
      </c>
      <c r="D889" s="2">
        <v>1</v>
      </c>
      <c r="E889" s="8">
        <v>40513.521527777775</v>
      </c>
      <c r="F889" s="2">
        <v>2.95</v>
      </c>
      <c r="G889" s="2">
        <v>17897</v>
      </c>
      <c r="H889" s="2" t="s">
        <v>10</v>
      </c>
      <c r="I889" s="2">
        <f>ABS(DF[[#This Row],[Quantity_BEFORE]])</f>
        <v>1</v>
      </c>
      <c r="J889" s="2">
        <f>DF[[#This Row],[QUANTITY]]*DF[[#This Row],[UnitPrice]]</f>
        <v>2.95</v>
      </c>
    </row>
    <row r="890" spans="1:10" x14ac:dyDescent="0.25">
      <c r="A890" s="2">
        <v>536488</v>
      </c>
      <c r="B890" s="2">
        <v>21592</v>
      </c>
      <c r="C890" s="2" t="s">
        <v>306</v>
      </c>
      <c r="D890" s="2">
        <v>1</v>
      </c>
      <c r="E890" s="8">
        <v>40513.521527777775</v>
      </c>
      <c r="F890" s="2">
        <v>1.25</v>
      </c>
      <c r="G890" s="2">
        <v>17897</v>
      </c>
      <c r="H890" s="2" t="s">
        <v>10</v>
      </c>
      <c r="I890" s="2">
        <f>ABS(DF[[#This Row],[Quantity_BEFORE]])</f>
        <v>1</v>
      </c>
      <c r="J890" s="2">
        <f>DF[[#This Row],[QUANTITY]]*DF[[#This Row],[UnitPrice]]</f>
        <v>1.25</v>
      </c>
    </row>
    <row r="891" spans="1:10" x14ac:dyDescent="0.25">
      <c r="A891" s="2">
        <v>536488</v>
      </c>
      <c r="B891" s="2">
        <v>20878</v>
      </c>
      <c r="C891" s="2" t="s">
        <v>585</v>
      </c>
      <c r="D891" s="2">
        <v>2</v>
      </c>
      <c r="E891" s="8">
        <v>40513.521527777775</v>
      </c>
      <c r="F891" s="2">
        <v>1.25</v>
      </c>
      <c r="G891" s="2">
        <v>17897</v>
      </c>
      <c r="H891" s="2" t="s">
        <v>10</v>
      </c>
      <c r="I891" s="2">
        <f>ABS(DF[[#This Row],[Quantity_BEFORE]])</f>
        <v>2</v>
      </c>
      <c r="J891" s="2">
        <f>DF[[#This Row],[QUANTITY]]*DF[[#This Row],[UnitPrice]]</f>
        <v>2.5</v>
      </c>
    </row>
    <row r="892" spans="1:10" x14ac:dyDescent="0.25">
      <c r="A892" s="2">
        <v>536488</v>
      </c>
      <c r="B892" s="2">
        <v>84347</v>
      </c>
      <c r="C892" s="2" t="s">
        <v>377</v>
      </c>
      <c r="D892" s="2">
        <v>1</v>
      </c>
      <c r="E892" s="8">
        <v>40513.521527777775</v>
      </c>
      <c r="F892" s="2">
        <v>2.5499999999999998</v>
      </c>
      <c r="G892" s="2">
        <v>17897</v>
      </c>
      <c r="H892" s="2" t="s">
        <v>10</v>
      </c>
      <c r="I892" s="2">
        <f>ABS(DF[[#This Row],[Quantity_BEFORE]])</f>
        <v>1</v>
      </c>
      <c r="J892" s="2">
        <f>DF[[#This Row],[QUANTITY]]*DF[[#This Row],[UnitPrice]]</f>
        <v>2.5499999999999998</v>
      </c>
    </row>
    <row r="893" spans="1:10" x14ac:dyDescent="0.25">
      <c r="A893" s="2">
        <v>536488</v>
      </c>
      <c r="B893" s="2">
        <v>84347</v>
      </c>
      <c r="C893" s="2" t="s">
        <v>377</v>
      </c>
      <c r="D893" s="2">
        <v>1</v>
      </c>
      <c r="E893" s="8">
        <v>40513.521527777775</v>
      </c>
      <c r="F893" s="2">
        <v>2.5499999999999998</v>
      </c>
      <c r="G893" s="2">
        <v>17897</v>
      </c>
      <c r="H893" s="2" t="s">
        <v>10</v>
      </c>
      <c r="I893" s="2">
        <f>ABS(DF[[#This Row],[Quantity_BEFORE]])</f>
        <v>1</v>
      </c>
      <c r="J893" s="2">
        <f>DF[[#This Row],[QUANTITY]]*DF[[#This Row],[UnitPrice]]</f>
        <v>2.5499999999999998</v>
      </c>
    </row>
    <row r="894" spans="1:10" x14ac:dyDescent="0.25">
      <c r="A894" s="2">
        <v>536488</v>
      </c>
      <c r="B894" s="2">
        <v>21577</v>
      </c>
      <c r="C894" s="2" t="s">
        <v>617</v>
      </c>
      <c r="D894" s="2">
        <v>1</v>
      </c>
      <c r="E894" s="8">
        <v>40513.521527777775</v>
      </c>
      <c r="F894" s="2">
        <v>2.25</v>
      </c>
      <c r="G894" s="2">
        <v>17897</v>
      </c>
      <c r="H894" s="2" t="s">
        <v>10</v>
      </c>
      <c r="I894" s="2">
        <f>ABS(DF[[#This Row],[Quantity_BEFORE]])</f>
        <v>1</v>
      </c>
      <c r="J894" s="2">
        <f>DF[[#This Row],[QUANTITY]]*DF[[#This Row],[UnitPrice]]</f>
        <v>2.25</v>
      </c>
    </row>
    <row r="895" spans="1:10" x14ac:dyDescent="0.25">
      <c r="A895" s="2">
        <v>536488</v>
      </c>
      <c r="B895" s="2">
        <v>22909</v>
      </c>
      <c r="C895" s="2" t="s">
        <v>459</v>
      </c>
      <c r="D895" s="2">
        <v>1</v>
      </c>
      <c r="E895" s="8">
        <v>40513.521527777775</v>
      </c>
      <c r="F895" s="2">
        <v>0.85</v>
      </c>
      <c r="G895" s="2">
        <v>17897</v>
      </c>
      <c r="H895" s="2" t="s">
        <v>10</v>
      </c>
      <c r="I895" s="2">
        <f>ABS(DF[[#This Row],[Quantity_BEFORE]])</f>
        <v>1</v>
      </c>
      <c r="J895" s="2">
        <f>DF[[#This Row],[QUANTITY]]*DF[[#This Row],[UnitPrice]]</f>
        <v>0.85</v>
      </c>
    </row>
    <row r="896" spans="1:10" x14ac:dyDescent="0.25">
      <c r="A896" s="2">
        <v>536488</v>
      </c>
      <c r="B896" s="2">
        <v>22087</v>
      </c>
      <c r="C896" s="2" t="s">
        <v>618</v>
      </c>
      <c r="D896" s="2">
        <v>1</v>
      </c>
      <c r="E896" s="8">
        <v>40513.521527777775</v>
      </c>
      <c r="F896" s="2">
        <v>2.95</v>
      </c>
      <c r="G896" s="2">
        <v>17897</v>
      </c>
      <c r="H896" s="2" t="s">
        <v>10</v>
      </c>
      <c r="I896" s="2">
        <f>ABS(DF[[#This Row],[Quantity_BEFORE]])</f>
        <v>1</v>
      </c>
      <c r="J896" s="2">
        <f>DF[[#This Row],[QUANTITY]]*DF[[#This Row],[UnitPrice]]</f>
        <v>2.95</v>
      </c>
    </row>
    <row r="897" spans="1:10" x14ac:dyDescent="0.25">
      <c r="A897" s="2">
        <v>536488</v>
      </c>
      <c r="B897" s="2">
        <v>22651</v>
      </c>
      <c r="C897" s="2" t="s">
        <v>619</v>
      </c>
      <c r="D897" s="2">
        <v>2</v>
      </c>
      <c r="E897" s="8">
        <v>40513.521527777775</v>
      </c>
      <c r="F897" s="2">
        <v>0.85</v>
      </c>
      <c r="G897" s="2">
        <v>17897</v>
      </c>
      <c r="H897" s="2" t="s">
        <v>10</v>
      </c>
      <c r="I897" s="2">
        <f>ABS(DF[[#This Row],[Quantity_BEFORE]])</f>
        <v>2</v>
      </c>
      <c r="J897" s="2">
        <f>DF[[#This Row],[QUANTITY]]*DF[[#This Row],[UnitPrice]]</f>
        <v>1.7</v>
      </c>
    </row>
    <row r="898" spans="1:10" x14ac:dyDescent="0.25">
      <c r="A898" s="2">
        <v>536488</v>
      </c>
      <c r="B898" s="2">
        <v>22713</v>
      </c>
      <c r="C898" s="2" t="s">
        <v>620</v>
      </c>
      <c r="D898" s="2">
        <v>12</v>
      </c>
      <c r="E898" s="8">
        <v>40513.521527777775</v>
      </c>
      <c r="F898" s="2">
        <v>0.42</v>
      </c>
      <c r="G898" s="2">
        <v>17897</v>
      </c>
      <c r="H898" s="2" t="s">
        <v>10</v>
      </c>
      <c r="I898" s="2">
        <f>ABS(DF[[#This Row],[Quantity_BEFORE]])</f>
        <v>12</v>
      </c>
      <c r="J898" s="2">
        <f>DF[[#This Row],[QUANTITY]]*DF[[#This Row],[UnitPrice]]</f>
        <v>5.04</v>
      </c>
    </row>
    <row r="899" spans="1:10" x14ac:dyDescent="0.25">
      <c r="A899" s="2">
        <v>536488</v>
      </c>
      <c r="B899" s="2">
        <v>22910</v>
      </c>
      <c r="C899" s="2" t="s">
        <v>206</v>
      </c>
      <c r="D899" s="2">
        <v>1</v>
      </c>
      <c r="E899" s="8">
        <v>40513.521527777775</v>
      </c>
      <c r="F899" s="2">
        <v>2.95</v>
      </c>
      <c r="G899" s="2">
        <v>17897</v>
      </c>
      <c r="H899" s="2" t="s">
        <v>10</v>
      </c>
      <c r="I899" s="2">
        <f>ABS(DF[[#This Row],[Quantity_BEFORE]])</f>
        <v>1</v>
      </c>
      <c r="J899" s="2">
        <f>DF[[#This Row],[QUANTITY]]*DF[[#This Row],[UnitPrice]]</f>
        <v>2.95</v>
      </c>
    </row>
    <row r="900" spans="1:10" x14ac:dyDescent="0.25">
      <c r="A900" s="2">
        <v>536488</v>
      </c>
      <c r="B900" s="2">
        <v>21370</v>
      </c>
      <c r="C900" s="2" t="s">
        <v>621</v>
      </c>
      <c r="D900" s="2">
        <v>2</v>
      </c>
      <c r="E900" s="8">
        <v>40513.521527777775</v>
      </c>
      <c r="F900" s="2">
        <v>6.35</v>
      </c>
      <c r="G900" s="2">
        <v>17897</v>
      </c>
      <c r="H900" s="2" t="s">
        <v>10</v>
      </c>
      <c r="I900" s="2">
        <f>ABS(DF[[#This Row],[Quantity_BEFORE]])</f>
        <v>2</v>
      </c>
      <c r="J900" s="2">
        <f>DF[[#This Row],[QUANTITY]]*DF[[#This Row],[UnitPrice]]</f>
        <v>12.7</v>
      </c>
    </row>
    <row r="901" spans="1:10" x14ac:dyDescent="0.25">
      <c r="A901" s="2">
        <v>536488</v>
      </c>
      <c r="B901" s="2">
        <v>21367</v>
      </c>
      <c r="C901" s="2" t="s">
        <v>622</v>
      </c>
      <c r="D901" s="2">
        <v>1</v>
      </c>
      <c r="E901" s="8">
        <v>40513.521527777775</v>
      </c>
      <c r="F901" s="2">
        <v>2.5499999999999998</v>
      </c>
      <c r="G901" s="2">
        <v>17897</v>
      </c>
      <c r="H901" s="2" t="s">
        <v>10</v>
      </c>
      <c r="I901" s="2">
        <f>ABS(DF[[#This Row],[Quantity_BEFORE]])</f>
        <v>1</v>
      </c>
      <c r="J901" s="2">
        <f>DF[[#This Row],[QUANTITY]]*DF[[#This Row],[UnitPrice]]</f>
        <v>2.5499999999999998</v>
      </c>
    </row>
    <row r="902" spans="1:10" x14ac:dyDescent="0.25">
      <c r="A902" s="2">
        <v>536488</v>
      </c>
      <c r="B902" s="2">
        <v>22376</v>
      </c>
      <c r="C902" s="2" t="s">
        <v>623</v>
      </c>
      <c r="D902" s="2">
        <v>1</v>
      </c>
      <c r="E902" s="8">
        <v>40513.521527777775</v>
      </c>
      <c r="F902" s="2">
        <v>4.25</v>
      </c>
      <c r="G902" s="2">
        <v>17897</v>
      </c>
      <c r="H902" s="2" t="s">
        <v>10</v>
      </c>
      <c r="I902" s="2">
        <f>ABS(DF[[#This Row],[Quantity_BEFORE]])</f>
        <v>1</v>
      </c>
      <c r="J902" s="2">
        <f>DF[[#This Row],[QUANTITY]]*DF[[#This Row],[UnitPrice]]</f>
        <v>4.25</v>
      </c>
    </row>
    <row r="903" spans="1:10" x14ac:dyDescent="0.25">
      <c r="A903" s="2">
        <v>536488</v>
      </c>
      <c r="B903" s="2">
        <v>22961</v>
      </c>
      <c r="C903" s="2" t="s">
        <v>100</v>
      </c>
      <c r="D903" s="2">
        <v>1</v>
      </c>
      <c r="E903" s="8">
        <v>40513.521527777775</v>
      </c>
      <c r="F903" s="2">
        <v>1.45</v>
      </c>
      <c r="G903" s="2">
        <v>17897</v>
      </c>
      <c r="H903" s="2" t="s">
        <v>10</v>
      </c>
      <c r="I903" s="2">
        <f>ABS(DF[[#This Row],[Quantity_BEFORE]])</f>
        <v>1</v>
      </c>
      <c r="J903" s="2">
        <f>DF[[#This Row],[QUANTITY]]*DF[[#This Row],[UnitPrice]]</f>
        <v>1.45</v>
      </c>
    </row>
    <row r="904" spans="1:10" x14ac:dyDescent="0.25">
      <c r="A904" s="2">
        <v>536488</v>
      </c>
      <c r="B904" s="2">
        <v>21895</v>
      </c>
      <c r="C904" s="2" t="s">
        <v>624</v>
      </c>
      <c r="D904" s="2">
        <v>1</v>
      </c>
      <c r="E904" s="8">
        <v>40513.521527777775</v>
      </c>
      <c r="F904" s="2">
        <v>4.25</v>
      </c>
      <c r="G904" s="2">
        <v>17897</v>
      </c>
      <c r="H904" s="2" t="s">
        <v>10</v>
      </c>
      <c r="I904" s="2">
        <f>ABS(DF[[#This Row],[Quantity_BEFORE]])</f>
        <v>1</v>
      </c>
      <c r="J904" s="2">
        <f>DF[[#This Row],[QUANTITY]]*DF[[#This Row],[UnitPrice]]</f>
        <v>4.25</v>
      </c>
    </row>
    <row r="905" spans="1:10" x14ac:dyDescent="0.25">
      <c r="A905" s="2">
        <v>536488</v>
      </c>
      <c r="B905" s="2">
        <v>22468</v>
      </c>
      <c r="C905" s="2" t="s">
        <v>253</v>
      </c>
      <c r="D905" s="2">
        <v>1</v>
      </c>
      <c r="E905" s="8">
        <v>40513.521527777775</v>
      </c>
      <c r="F905" s="2">
        <v>6.75</v>
      </c>
      <c r="G905" s="2">
        <v>17897</v>
      </c>
      <c r="H905" s="2" t="s">
        <v>10</v>
      </c>
      <c r="I905" s="2">
        <f>ABS(DF[[#This Row],[Quantity_BEFORE]])</f>
        <v>1</v>
      </c>
      <c r="J905" s="2">
        <f>DF[[#This Row],[QUANTITY]]*DF[[#This Row],[UnitPrice]]</f>
        <v>6.75</v>
      </c>
    </row>
    <row r="906" spans="1:10" x14ac:dyDescent="0.25">
      <c r="A906" s="2">
        <v>536488</v>
      </c>
      <c r="B906" s="2">
        <v>21034</v>
      </c>
      <c r="C906" s="2" t="s">
        <v>443</v>
      </c>
      <c r="D906" s="2">
        <v>1</v>
      </c>
      <c r="E906" s="8">
        <v>40513.521527777775</v>
      </c>
      <c r="F906" s="2">
        <v>0.95</v>
      </c>
      <c r="G906" s="2">
        <v>17897</v>
      </c>
      <c r="H906" s="2" t="s">
        <v>10</v>
      </c>
      <c r="I906" s="2">
        <f>ABS(DF[[#This Row],[Quantity_BEFORE]])</f>
        <v>1</v>
      </c>
      <c r="J906" s="2">
        <f>DF[[#This Row],[QUANTITY]]*DF[[#This Row],[UnitPrice]]</f>
        <v>0.95</v>
      </c>
    </row>
    <row r="907" spans="1:10" x14ac:dyDescent="0.25">
      <c r="A907" s="2">
        <v>536488</v>
      </c>
      <c r="B907" s="2">
        <v>22372</v>
      </c>
      <c r="C907" s="2" t="s">
        <v>625</v>
      </c>
      <c r="D907" s="2">
        <v>1</v>
      </c>
      <c r="E907" s="8">
        <v>40513.521527777775</v>
      </c>
      <c r="F907" s="2">
        <v>4.25</v>
      </c>
      <c r="G907" s="2">
        <v>17897</v>
      </c>
      <c r="H907" s="2" t="s">
        <v>10</v>
      </c>
      <c r="I907" s="2">
        <f>ABS(DF[[#This Row],[Quantity_BEFORE]])</f>
        <v>1</v>
      </c>
      <c r="J907" s="2">
        <f>DF[[#This Row],[QUANTITY]]*DF[[#This Row],[UnitPrice]]</f>
        <v>4.25</v>
      </c>
    </row>
    <row r="908" spans="1:10" x14ac:dyDescent="0.25">
      <c r="A908" s="2">
        <v>536488</v>
      </c>
      <c r="B908" s="2">
        <v>22867</v>
      </c>
      <c r="C908" s="2" t="s">
        <v>248</v>
      </c>
      <c r="D908" s="2">
        <v>1</v>
      </c>
      <c r="E908" s="8">
        <v>40513.521527777775</v>
      </c>
      <c r="F908" s="2">
        <v>2.1</v>
      </c>
      <c r="G908" s="2">
        <v>17897</v>
      </c>
      <c r="H908" s="2" t="s">
        <v>10</v>
      </c>
      <c r="I908" s="2">
        <f>ABS(DF[[#This Row],[Quantity_BEFORE]])</f>
        <v>1</v>
      </c>
      <c r="J908" s="2">
        <f>DF[[#This Row],[QUANTITY]]*DF[[#This Row],[UnitPrice]]</f>
        <v>2.1</v>
      </c>
    </row>
    <row r="909" spans="1:10" x14ac:dyDescent="0.25">
      <c r="A909" s="2">
        <v>536488</v>
      </c>
      <c r="B909" s="2">
        <v>22144</v>
      </c>
      <c r="C909" s="2" t="s">
        <v>438</v>
      </c>
      <c r="D909" s="2">
        <v>1</v>
      </c>
      <c r="E909" s="8">
        <v>40513.521527777775</v>
      </c>
      <c r="F909" s="2">
        <v>2.1</v>
      </c>
      <c r="G909" s="2">
        <v>17897</v>
      </c>
      <c r="H909" s="2" t="s">
        <v>10</v>
      </c>
      <c r="I909" s="2">
        <f>ABS(DF[[#This Row],[Quantity_BEFORE]])</f>
        <v>1</v>
      </c>
      <c r="J909" s="2">
        <f>DF[[#This Row],[QUANTITY]]*DF[[#This Row],[UnitPrice]]</f>
        <v>2.1</v>
      </c>
    </row>
    <row r="910" spans="1:10" x14ac:dyDescent="0.25">
      <c r="A910" s="2">
        <v>536488</v>
      </c>
      <c r="B910" s="2">
        <v>21190</v>
      </c>
      <c r="C910" s="2" t="s">
        <v>626</v>
      </c>
      <c r="D910" s="2">
        <v>1</v>
      </c>
      <c r="E910" s="8">
        <v>40513.521527777775</v>
      </c>
      <c r="F910" s="2">
        <v>1.65</v>
      </c>
      <c r="G910" s="2">
        <v>17897</v>
      </c>
      <c r="H910" s="2" t="s">
        <v>10</v>
      </c>
      <c r="I910" s="2">
        <f>ABS(DF[[#This Row],[Quantity_BEFORE]])</f>
        <v>1</v>
      </c>
      <c r="J910" s="2">
        <f>DF[[#This Row],[QUANTITY]]*DF[[#This Row],[UnitPrice]]</f>
        <v>1.65</v>
      </c>
    </row>
    <row r="911" spans="1:10" x14ac:dyDescent="0.25">
      <c r="A911" s="2">
        <v>536488</v>
      </c>
      <c r="B911" s="2">
        <v>21894</v>
      </c>
      <c r="C911" s="2" t="s">
        <v>627</v>
      </c>
      <c r="D911" s="2">
        <v>3</v>
      </c>
      <c r="E911" s="8">
        <v>40513.521527777775</v>
      </c>
      <c r="F911" s="2">
        <v>1.25</v>
      </c>
      <c r="G911" s="2">
        <v>17897</v>
      </c>
      <c r="H911" s="2" t="s">
        <v>10</v>
      </c>
      <c r="I911" s="2">
        <f>ABS(DF[[#This Row],[Quantity_BEFORE]])</f>
        <v>3</v>
      </c>
      <c r="J911" s="2">
        <f>DF[[#This Row],[QUANTITY]]*DF[[#This Row],[UnitPrice]]</f>
        <v>3.75</v>
      </c>
    </row>
    <row r="912" spans="1:10" x14ac:dyDescent="0.25">
      <c r="A912" s="2">
        <v>536488</v>
      </c>
      <c r="B912" s="2">
        <v>70007</v>
      </c>
      <c r="C912" s="2" t="s">
        <v>628</v>
      </c>
      <c r="D912" s="2">
        <v>3</v>
      </c>
      <c r="E912" s="8">
        <v>40513.521527777775</v>
      </c>
      <c r="F912" s="2">
        <v>1.65</v>
      </c>
      <c r="G912" s="2">
        <v>17897</v>
      </c>
      <c r="H912" s="2" t="s">
        <v>10</v>
      </c>
      <c r="I912" s="2">
        <f>ABS(DF[[#This Row],[Quantity_BEFORE]])</f>
        <v>3</v>
      </c>
      <c r="J912" s="2">
        <f>DF[[#This Row],[QUANTITY]]*DF[[#This Row],[UnitPrice]]</f>
        <v>4.9499999999999993</v>
      </c>
    </row>
    <row r="913" spans="1:10" x14ac:dyDescent="0.25">
      <c r="A913" s="2">
        <v>536488</v>
      </c>
      <c r="B913" s="2">
        <v>22940</v>
      </c>
      <c r="C913" s="2" t="s">
        <v>430</v>
      </c>
      <c r="D913" s="2">
        <v>1</v>
      </c>
      <c r="E913" s="8">
        <v>40513.521527777775</v>
      </c>
      <c r="F913" s="2">
        <v>4.25</v>
      </c>
      <c r="G913" s="2">
        <v>17897</v>
      </c>
      <c r="H913" s="2" t="s">
        <v>10</v>
      </c>
      <c r="I913" s="2">
        <f>ABS(DF[[#This Row],[Quantity_BEFORE]])</f>
        <v>1</v>
      </c>
      <c r="J913" s="2">
        <f>DF[[#This Row],[QUANTITY]]*DF[[#This Row],[UnitPrice]]</f>
        <v>4.25</v>
      </c>
    </row>
    <row r="914" spans="1:10" x14ac:dyDescent="0.25">
      <c r="A914" s="2">
        <v>536488</v>
      </c>
      <c r="B914" s="2">
        <v>70007</v>
      </c>
      <c r="C914" s="2" t="s">
        <v>628</v>
      </c>
      <c r="D914" s="2">
        <v>1</v>
      </c>
      <c r="E914" s="8">
        <v>40513.521527777775</v>
      </c>
      <c r="F914" s="2">
        <v>1.65</v>
      </c>
      <c r="G914" s="2">
        <v>17897</v>
      </c>
      <c r="H914" s="2" t="s">
        <v>10</v>
      </c>
      <c r="I914" s="2">
        <f>ABS(DF[[#This Row],[Quantity_BEFORE]])</f>
        <v>1</v>
      </c>
      <c r="J914" s="2">
        <f>DF[[#This Row],[QUANTITY]]*DF[[#This Row],[UnitPrice]]</f>
        <v>1.65</v>
      </c>
    </row>
    <row r="915" spans="1:10" x14ac:dyDescent="0.25">
      <c r="A915" s="2">
        <v>536488</v>
      </c>
      <c r="B915" s="2">
        <v>84347</v>
      </c>
      <c r="C915" s="2" t="s">
        <v>377</v>
      </c>
      <c r="D915" s="2">
        <v>3</v>
      </c>
      <c r="E915" s="8">
        <v>40513.521527777775</v>
      </c>
      <c r="F915" s="2">
        <v>2.5499999999999998</v>
      </c>
      <c r="G915" s="2">
        <v>17897</v>
      </c>
      <c r="H915" s="2" t="s">
        <v>10</v>
      </c>
      <c r="I915" s="2">
        <f>ABS(DF[[#This Row],[Quantity_BEFORE]])</f>
        <v>3</v>
      </c>
      <c r="J915" s="2">
        <f>DF[[#This Row],[QUANTITY]]*DF[[#This Row],[UnitPrice]]</f>
        <v>7.6499999999999995</v>
      </c>
    </row>
    <row r="916" spans="1:10" x14ac:dyDescent="0.25">
      <c r="A916" s="2">
        <v>536488</v>
      </c>
      <c r="B916" s="2">
        <v>22150</v>
      </c>
      <c r="C916" s="2" t="s">
        <v>226</v>
      </c>
      <c r="D916" s="2">
        <v>1</v>
      </c>
      <c r="E916" s="8">
        <v>40513.521527777775</v>
      </c>
      <c r="F916" s="2">
        <v>1.95</v>
      </c>
      <c r="G916" s="2">
        <v>17897</v>
      </c>
      <c r="H916" s="2" t="s">
        <v>10</v>
      </c>
      <c r="I916" s="2">
        <f>ABS(DF[[#This Row],[Quantity_BEFORE]])</f>
        <v>1</v>
      </c>
      <c r="J916" s="2">
        <f>DF[[#This Row],[QUANTITY]]*DF[[#This Row],[UnitPrice]]</f>
        <v>1.95</v>
      </c>
    </row>
    <row r="917" spans="1:10" x14ac:dyDescent="0.25">
      <c r="A917" s="2">
        <v>536488</v>
      </c>
      <c r="B917" s="2">
        <v>22149</v>
      </c>
      <c r="C917" s="2" t="s">
        <v>469</v>
      </c>
      <c r="D917" s="2">
        <v>2</v>
      </c>
      <c r="E917" s="8">
        <v>40513.521527777775</v>
      </c>
      <c r="F917" s="2">
        <v>2.1</v>
      </c>
      <c r="G917" s="2">
        <v>17897</v>
      </c>
      <c r="H917" s="2" t="s">
        <v>10</v>
      </c>
      <c r="I917" s="2">
        <f>ABS(DF[[#This Row],[Quantity_BEFORE]])</f>
        <v>2</v>
      </c>
      <c r="J917" s="2">
        <f>DF[[#This Row],[QUANTITY]]*DF[[#This Row],[UnitPrice]]</f>
        <v>4.2</v>
      </c>
    </row>
    <row r="918" spans="1:10" x14ac:dyDescent="0.25">
      <c r="A918" s="2">
        <v>536488</v>
      </c>
      <c r="B918" s="2">
        <v>22144</v>
      </c>
      <c r="C918" s="2" t="s">
        <v>438</v>
      </c>
      <c r="D918" s="2">
        <v>2</v>
      </c>
      <c r="E918" s="8">
        <v>40513.521527777775</v>
      </c>
      <c r="F918" s="2">
        <v>2.1</v>
      </c>
      <c r="G918" s="2">
        <v>17897</v>
      </c>
      <c r="H918" s="2" t="s">
        <v>10</v>
      </c>
      <c r="I918" s="2">
        <f>ABS(DF[[#This Row],[Quantity_BEFORE]])</f>
        <v>2</v>
      </c>
      <c r="J918" s="2">
        <f>DF[[#This Row],[QUANTITY]]*DF[[#This Row],[UnitPrice]]</f>
        <v>4.2</v>
      </c>
    </row>
    <row r="919" spans="1:10" x14ac:dyDescent="0.25">
      <c r="A919" s="2">
        <v>536500</v>
      </c>
      <c r="B919" s="2">
        <v>21622</v>
      </c>
      <c r="C919" s="2" t="s">
        <v>189</v>
      </c>
      <c r="D919" s="2">
        <v>10</v>
      </c>
      <c r="E919" s="8">
        <v>40513.524305555555</v>
      </c>
      <c r="F919" s="2">
        <v>4.95</v>
      </c>
      <c r="G919" s="2">
        <v>17377</v>
      </c>
      <c r="H919" s="2" t="s">
        <v>10</v>
      </c>
      <c r="I919" s="2">
        <f>ABS(DF[[#This Row],[Quantity_BEFORE]])</f>
        <v>10</v>
      </c>
      <c r="J919" s="2">
        <f>DF[[#This Row],[QUANTITY]]*DF[[#This Row],[UnitPrice]]</f>
        <v>49.5</v>
      </c>
    </row>
    <row r="920" spans="1:10" x14ac:dyDescent="0.25">
      <c r="A920" s="2">
        <v>536500</v>
      </c>
      <c r="B920" s="2" t="s">
        <v>629</v>
      </c>
      <c r="C920" s="2" t="s">
        <v>630</v>
      </c>
      <c r="D920" s="2">
        <v>10</v>
      </c>
      <c r="E920" s="8">
        <v>40513.524305555555</v>
      </c>
      <c r="F920" s="2">
        <v>1.55</v>
      </c>
      <c r="G920" s="2">
        <v>17377</v>
      </c>
      <c r="H920" s="2" t="s">
        <v>10</v>
      </c>
      <c r="I920" s="2">
        <f>ABS(DF[[#This Row],[Quantity_BEFORE]])</f>
        <v>10</v>
      </c>
      <c r="J920" s="2">
        <f>DF[[#This Row],[QUANTITY]]*DF[[#This Row],[UnitPrice]]</f>
        <v>15.5</v>
      </c>
    </row>
    <row r="921" spans="1:10" x14ac:dyDescent="0.25">
      <c r="A921" s="2">
        <v>536500</v>
      </c>
      <c r="B921" s="2">
        <v>22630</v>
      </c>
      <c r="C921" s="2" t="s">
        <v>424</v>
      </c>
      <c r="D921" s="2">
        <v>2</v>
      </c>
      <c r="E921" s="8">
        <v>40513.524305555555</v>
      </c>
      <c r="F921" s="2">
        <v>1.95</v>
      </c>
      <c r="G921" s="2">
        <v>17377</v>
      </c>
      <c r="H921" s="2" t="s">
        <v>10</v>
      </c>
      <c r="I921" s="2">
        <f>ABS(DF[[#This Row],[Quantity_BEFORE]])</f>
        <v>2</v>
      </c>
      <c r="J921" s="2">
        <f>DF[[#This Row],[QUANTITY]]*DF[[#This Row],[UnitPrice]]</f>
        <v>3.9</v>
      </c>
    </row>
    <row r="922" spans="1:10" x14ac:dyDescent="0.25">
      <c r="A922" s="2">
        <v>536500</v>
      </c>
      <c r="B922" s="2">
        <v>22616</v>
      </c>
      <c r="C922" s="2" t="s">
        <v>476</v>
      </c>
      <c r="D922" s="2">
        <v>12</v>
      </c>
      <c r="E922" s="8">
        <v>40513.524305555555</v>
      </c>
      <c r="F922" s="2">
        <v>0.28999999999999998</v>
      </c>
      <c r="G922" s="2">
        <v>17377</v>
      </c>
      <c r="H922" s="2" t="s">
        <v>10</v>
      </c>
      <c r="I922" s="2">
        <f>ABS(DF[[#This Row],[Quantity_BEFORE]])</f>
        <v>12</v>
      </c>
      <c r="J922" s="2">
        <f>DF[[#This Row],[QUANTITY]]*DF[[#This Row],[UnitPrice]]</f>
        <v>3.4799999999999995</v>
      </c>
    </row>
    <row r="923" spans="1:10" x14ac:dyDescent="0.25">
      <c r="A923" s="2">
        <v>536500</v>
      </c>
      <c r="B923" s="2">
        <v>22712</v>
      </c>
      <c r="C923" s="2" t="s">
        <v>631</v>
      </c>
      <c r="D923" s="2">
        <v>12</v>
      </c>
      <c r="E923" s="8">
        <v>40513.524305555555</v>
      </c>
      <c r="F923" s="2">
        <v>0.42</v>
      </c>
      <c r="G923" s="2">
        <v>17377</v>
      </c>
      <c r="H923" s="2" t="s">
        <v>10</v>
      </c>
      <c r="I923" s="2">
        <f>ABS(DF[[#This Row],[Quantity_BEFORE]])</f>
        <v>12</v>
      </c>
      <c r="J923" s="2">
        <f>DF[[#This Row],[QUANTITY]]*DF[[#This Row],[UnitPrice]]</f>
        <v>5.04</v>
      </c>
    </row>
    <row r="924" spans="1:10" x14ac:dyDescent="0.25">
      <c r="A924" s="2">
        <v>536500</v>
      </c>
      <c r="B924" s="2">
        <v>22983</v>
      </c>
      <c r="C924" s="2" t="s">
        <v>632</v>
      </c>
      <c r="D924" s="2">
        <v>12</v>
      </c>
      <c r="E924" s="8">
        <v>40513.524305555555</v>
      </c>
      <c r="F924" s="2">
        <v>0.42</v>
      </c>
      <c r="G924" s="2">
        <v>17377</v>
      </c>
      <c r="H924" s="2" t="s">
        <v>10</v>
      </c>
      <c r="I924" s="2">
        <f>ABS(DF[[#This Row],[Quantity_BEFORE]])</f>
        <v>12</v>
      </c>
      <c r="J924" s="2">
        <f>DF[[#This Row],[QUANTITY]]*DF[[#This Row],[UnitPrice]]</f>
        <v>5.04</v>
      </c>
    </row>
    <row r="925" spans="1:10" x14ac:dyDescent="0.25">
      <c r="A925" s="2">
        <v>536500</v>
      </c>
      <c r="B925" s="2">
        <v>22024</v>
      </c>
      <c r="C925" s="2" t="s">
        <v>633</v>
      </c>
      <c r="D925" s="2">
        <v>12</v>
      </c>
      <c r="E925" s="8">
        <v>40513.524305555555</v>
      </c>
      <c r="F925" s="2">
        <v>0.42</v>
      </c>
      <c r="G925" s="2">
        <v>17377</v>
      </c>
      <c r="H925" s="2" t="s">
        <v>10</v>
      </c>
      <c r="I925" s="2">
        <f>ABS(DF[[#This Row],[Quantity_BEFORE]])</f>
        <v>12</v>
      </c>
      <c r="J925" s="2">
        <f>DF[[#This Row],[QUANTITY]]*DF[[#This Row],[UnitPrice]]</f>
        <v>5.04</v>
      </c>
    </row>
    <row r="926" spans="1:10" x14ac:dyDescent="0.25">
      <c r="A926" s="2">
        <v>536500</v>
      </c>
      <c r="B926" s="2">
        <v>22113</v>
      </c>
      <c r="C926" s="2" t="s">
        <v>506</v>
      </c>
      <c r="D926" s="2">
        <v>3</v>
      </c>
      <c r="E926" s="8">
        <v>40513.524305555555</v>
      </c>
      <c r="F926" s="2">
        <v>3.75</v>
      </c>
      <c r="G926" s="2">
        <v>17377</v>
      </c>
      <c r="H926" s="2" t="s">
        <v>10</v>
      </c>
      <c r="I926" s="2">
        <f>ABS(DF[[#This Row],[Quantity_BEFORE]])</f>
        <v>3</v>
      </c>
      <c r="J926" s="2">
        <f>DF[[#This Row],[QUANTITY]]*DF[[#This Row],[UnitPrice]]</f>
        <v>11.25</v>
      </c>
    </row>
    <row r="927" spans="1:10" x14ac:dyDescent="0.25">
      <c r="A927" s="2">
        <v>536500</v>
      </c>
      <c r="B927" s="2" t="s">
        <v>16</v>
      </c>
      <c r="C927" s="2" t="s">
        <v>17</v>
      </c>
      <c r="D927" s="2">
        <v>2</v>
      </c>
      <c r="E927" s="8">
        <v>40513.524305555555</v>
      </c>
      <c r="F927" s="2">
        <v>3.75</v>
      </c>
      <c r="G927" s="2">
        <v>17377</v>
      </c>
      <c r="H927" s="2" t="s">
        <v>10</v>
      </c>
      <c r="I927" s="2">
        <f>ABS(DF[[#This Row],[Quantity_BEFORE]])</f>
        <v>2</v>
      </c>
      <c r="J927" s="2">
        <f>DF[[#This Row],[QUANTITY]]*DF[[#This Row],[UnitPrice]]</f>
        <v>7.5</v>
      </c>
    </row>
    <row r="928" spans="1:10" x14ac:dyDescent="0.25">
      <c r="A928" s="2">
        <v>536500</v>
      </c>
      <c r="B928" s="2">
        <v>21488</v>
      </c>
      <c r="C928" s="2" t="s">
        <v>634</v>
      </c>
      <c r="D928" s="2">
        <v>2</v>
      </c>
      <c r="E928" s="8">
        <v>40513.524305555555</v>
      </c>
      <c r="F928" s="2">
        <v>3.95</v>
      </c>
      <c r="G928" s="2">
        <v>17377</v>
      </c>
      <c r="H928" s="2" t="s">
        <v>10</v>
      </c>
      <c r="I928" s="2">
        <f>ABS(DF[[#This Row],[Quantity_BEFORE]])</f>
        <v>2</v>
      </c>
      <c r="J928" s="2">
        <f>DF[[#This Row],[QUANTITY]]*DF[[#This Row],[UnitPrice]]</f>
        <v>7.9</v>
      </c>
    </row>
    <row r="929" spans="1:10" x14ac:dyDescent="0.25">
      <c r="A929" s="2">
        <v>536500</v>
      </c>
      <c r="B929" s="2">
        <v>22900</v>
      </c>
      <c r="C929" s="2" t="s">
        <v>54</v>
      </c>
      <c r="D929" s="2">
        <v>7</v>
      </c>
      <c r="E929" s="8">
        <v>40513.524305555555</v>
      </c>
      <c r="F929" s="2">
        <v>2.95</v>
      </c>
      <c r="G929" s="2">
        <v>17377</v>
      </c>
      <c r="H929" s="2" t="s">
        <v>10</v>
      </c>
      <c r="I929" s="2">
        <f>ABS(DF[[#This Row],[Quantity_BEFORE]])</f>
        <v>7</v>
      </c>
      <c r="J929" s="2">
        <f>DF[[#This Row],[QUANTITY]]*DF[[#This Row],[UnitPrice]]</f>
        <v>20.650000000000002</v>
      </c>
    </row>
    <row r="930" spans="1:10" x14ac:dyDescent="0.25">
      <c r="A930" s="2">
        <v>536500</v>
      </c>
      <c r="B930" s="2">
        <v>22895</v>
      </c>
      <c r="C930" s="2" t="s">
        <v>635</v>
      </c>
      <c r="D930" s="2">
        <v>3</v>
      </c>
      <c r="E930" s="8">
        <v>40513.524305555555</v>
      </c>
      <c r="F930" s="2">
        <v>2.95</v>
      </c>
      <c r="G930" s="2">
        <v>17377</v>
      </c>
      <c r="H930" s="2" t="s">
        <v>10</v>
      </c>
      <c r="I930" s="2">
        <f>ABS(DF[[#This Row],[Quantity_BEFORE]])</f>
        <v>3</v>
      </c>
      <c r="J930" s="2">
        <f>DF[[#This Row],[QUANTITY]]*DF[[#This Row],[UnitPrice]]</f>
        <v>8.8500000000000014</v>
      </c>
    </row>
    <row r="931" spans="1:10" x14ac:dyDescent="0.25">
      <c r="A931" s="2">
        <v>536500</v>
      </c>
      <c r="B931" s="2">
        <v>21035</v>
      </c>
      <c r="C931" s="2" t="s">
        <v>47</v>
      </c>
      <c r="D931" s="2">
        <v>3</v>
      </c>
      <c r="E931" s="8">
        <v>40513.524305555555</v>
      </c>
      <c r="F931" s="2">
        <v>2.95</v>
      </c>
      <c r="G931" s="2">
        <v>17377</v>
      </c>
      <c r="H931" s="2" t="s">
        <v>10</v>
      </c>
      <c r="I931" s="2">
        <f>ABS(DF[[#This Row],[Quantity_BEFORE]])</f>
        <v>3</v>
      </c>
      <c r="J931" s="2">
        <f>DF[[#This Row],[QUANTITY]]*DF[[#This Row],[UnitPrice]]</f>
        <v>8.8500000000000014</v>
      </c>
    </row>
    <row r="932" spans="1:10" x14ac:dyDescent="0.25">
      <c r="A932" s="2">
        <v>536500</v>
      </c>
      <c r="B932" s="2">
        <v>21755</v>
      </c>
      <c r="C932" s="2" t="s">
        <v>31</v>
      </c>
      <c r="D932" s="2">
        <v>6</v>
      </c>
      <c r="E932" s="8">
        <v>40513.524305555555</v>
      </c>
      <c r="F932" s="2">
        <v>5.95</v>
      </c>
      <c r="G932" s="2">
        <v>17377</v>
      </c>
      <c r="H932" s="2" t="s">
        <v>10</v>
      </c>
      <c r="I932" s="2">
        <f>ABS(DF[[#This Row],[Quantity_BEFORE]])</f>
        <v>6</v>
      </c>
      <c r="J932" s="2">
        <f>DF[[#This Row],[QUANTITY]]*DF[[#This Row],[UnitPrice]]</f>
        <v>35.700000000000003</v>
      </c>
    </row>
    <row r="933" spans="1:10" x14ac:dyDescent="0.25">
      <c r="A933" s="2">
        <v>536500</v>
      </c>
      <c r="B933" s="2">
        <v>21754</v>
      </c>
      <c r="C933" s="2" t="s">
        <v>30</v>
      </c>
      <c r="D933" s="2">
        <v>6</v>
      </c>
      <c r="E933" s="8">
        <v>40513.524305555555</v>
      </c>
      <c r="F933" s="2">
        <v>5.95</v>
      </c>
      <c r="G933" s="2">
        <v>17377</v>
      </c>
      <c r="H933" s="2" t="s">
        <v>10</v>
      </c>
      <c r="I933" s="2">
        <f>ABS(DF[[#This Row],[Quantity_BEFORE]])</f>
        <v>6</v>
      </c>
      <c r="J933" s="2">
        <f>DF[[#This Row],[QUANTITY]]*DF[[#This Row],[UnitPrice]]</f>
        <v>35.700000000000003</v>
      </c>
    </row>
    <row r="934" spans="1:10" x14ac:dyDescent="0.25">
      <c r="A934" s="2">
        <v>536502</v>
      </c>
      <c r="B934" s="2">
        <v>84879</v>
      </c>
      <c r="C934" s="2" t="s">
        <v>22</v>
      </c>
      <c r="D934" s="2">
        <v>16</v>
      </c>
      <c r="E934" s="8">
        <v>40513.525000000001</v>
      </c>
      <c r="F934" s="2">
        <v>1.69</v>
      </c>
      <c r="G934" s="2">
        <v>16552</v>
      </c>
      <c r="H934" s="2" t="s">
        <v>10</v>
      </c>
      <c r="I934" s="2">
        <f>ABS(DF[[#This Row],[Quantity_BEFORE]])</f>
        <v>16</v>
      </c>
      <c r="J934" s="2">
        <f>DF[[#This Row],[QUANTITY]]*DF[[#This Row],[UnitPrice]]</f>
        <v>27.04</v>
      </c>
    </row>
    <row r="935" spans="1:10" x14ac:dyDescent="0.25">
      <c r="A935" s="2">
        <v>536502</v>
      </c>
      <c r="B935" s="2">
        <v>22784</v>
      </c>
      <c r="C935" s="2" t="s">
        <v>636</v>
      </c>
      <c r="D935" s="2">
        <v>3</v>
      </c>
      <c r="E935" s="8">
        <v>40513.525000000001</v>
      </c>
      <c r="F935" s="2">
        <v>4.95</v>
      </c>
      <c r="G935" s="2">
        <v>16552</v>
      </c>
      <c r="H935" s="2" t="s">
        <v>10</v>
      </c>
      <c r="I935" s="2">
        <f>ABS(DF[[#This Row],[Quantity_BEFORE]])</f>
        <v>3</v>
      </c>
      <c r="J935" s="2">
        <f>DF[[#This Row],[QUANTITY]]*DF[[#This Row],[UnitPrice]]</f>
        <v>14.850000000000001</v>
      </c>
    </row>
    <row r="936" spans="1:10" x14ac:dyDescent="0.25">
      <c r="A936" s="2">
        <v>536502</v>
      </c>
      <c r="B936" s="2">
        <v>21441</v>
      </c>
      <c r="C936" s="2" t="s">
        <v>637</v>
      </c>
      <c r="D936" s="2">
        <v>12</v>
      </c>
      <c r="E936" s="8">
        <v>40513.525000000001</v>
      </c>
      <c r="F936" s="2">
        <v>0.85</v>
      </c>
      <c r="G936" s="2">
        <v>16552</v>
      </c>
      <c r="H936" s="2" t="s">
        <v>10</v>
      </c>
      <c r="I936" s="2">
        <f>ABS(DF[[#This Row],[Quantity_BEFORE]])</f>
        <v>12</v>
      </c>
      <c r="J936" s="2">
        <f>DF[[#This Row],[QUANTITY]]*DF[[#This Row],[UnitPrice]]</f>
        <v>10.199999999999999</v>
      </c>
    </row>
    <row r="937" spans="1:10" x14ac:dyDescent="0.25">
      <c r="A937" s="2">
        <v>536502</v>
      </c>
      <c r="B937" s="2" t="s">
        <v>8</v>
      </c>
      <c r="C937" s="2" t="s">
        <v>9</v>
      </c>
      <c r="D937" s="2">
        <v>6</v>
      </c>
      <c r="E937" s="8">
        <v>40513.525000000001</v>
      </c>
      <c r="F937" s="2">
        <v>2.95</v>
      </c>
      <c r="G937" s="2">
        <v>16552</v>
      </c>
      <c r="H937" s="2" t="s">
        <v>10</v>
      </c>
      <c r="I937" s="2">
        <f>ABS(DF[[#This Row],[Quantity_BEFORE]])</f>
        <v>6</v>
      </c>
      <c r="J937" s="2">
        <f>DF[[#This Row],[QUANTITY]]*DF[[#This Row],[UnitPrice]]</f>
        <v>17.700000000000003</v>
      </c>
    </row>
    <row r="938" spans="1:10" x14ac:dyDescent="0.25">
      <c r="A938" s="2">
        <v>536502</v>
      </c>
      <c r="B938" s="2">
        <v>22423</v>
      </c>
      <c r="C938" s="2" t="s">
        <v>611</v>
      </c>
      <c r="D938" s="2">
        <v>2</v>
      </c>
      <c r="E938" s="8">
        <v>40513.525000000001</v>
      </c>
      <c r="F938" s="2">
        <v>12.75</v>
      </c>
      <c r="G938" s="2">
        <v>16552</v>
      </c>
      <c r="H938" s="2" t="s">
        <v>10</v>
      </c>
      <c r="I938" s="2">
        <f>ABS(DF[[#This Row],[Quantity_BEFORE]])</f>
        <v>2</v>
      </c>
      <c r="J938" s="2">
        <f>DF[[#This Row],[QUANTITY]]*DF[[#This Row],[UnitPrice]]</f>
        <v>25.5</v>
      </c>
    </row>
    <row r="939" spans="1:10" x14ac:dyDescent="0.25">
      <c r="A939" s="2">
        <v>536508</v>
      </c>
      <c r="B939" s="2">
        <v>84947</v>
      </c>
      <c r="C939" s="2" t="s">
        <v>638</v>
      </c>
      <c r="D939" s="2">
        <v>72</v>
      </c>
      <c r="E939" s="8">
        <v>40513.526388888888</v>
      </c>
      <c r="F939" s="2">
        <v>1.06</v>
      </c>
      <c r="G939" s="2">
        <v>17181</v>
      </c>
      <c r="H939" s="2" t="s">
        <v>10</v>
      </c>
      <c r="I939" s="2">
        <f>ABS(DF[[#This Row],[Quantity_BEFORE]])</f>
        <v>72</v>
      </c>
      <c r="J939" s="2">
        <f>DF[[#This Row],[QUANTITY]]*DF[[#This Row],[UnitPrice]]</f>
        <v>76.320000000000007</v>
      </c>
    </row>
    <row r="940" spans="1:10" x14ac:dyDescent="0.25">
      <c r="A940" s="2">
        <v>536508</v>
      </c>
      <c r="B940" s="2">
        <v>21326</v>
      </c>
      <c r="C940" s="2" t="s">
        <v>411</v>
      </c>
      <c r="D940" s="2">
        <v>144</v>
      </c>
      <c r="E940" s="8">
        <v>40513.526388888888</v>
      </c>
      <c r="F940" s="2">
        <v>0.55000000000000004</v>
      </c>
      <c r="G940" s="2">
        <v>17181</v>
      </c>
      <c r="H940" s="2" t="s">
        <v>10</v>
      </c>
      <c r="I940" s="2">
        <f>ABS(DF[[#This Row],[Quantity_BEFORE]])</f>
        <v>144</v>
      </c>
      <c r="J940" s="2">
        <f>DF[[#This Row],[QUANTITY]]*DF[[#This Row],[UnitPrice]]</f>
        <v>79.2</v>
      </c>
    </row>
    <row r="941" spans="1:10" x14ac:dyDescent="0.25">
      <c r="A941" s="2" t="s">
        <v>639</v>
      </c>
      <c r="B941" s="2">
        <v>22960</v>
      </c>
      <c r="C941" s="2" t="s">
        <v>34</v>
      </c>
      <c r="D941" s="2">
        <v>-6</v>
      </c>
      <c r="E941" s="8">
        <v>40513.526388888888</v>
      </c>
      <c r="F941" s="2">
        <v>4.25</v>
      </c>
      <c r="G941" s="2">
        <v>17897</v>
      </c>
      <c r="H941" s="2" t="s">
        <v>10</v>
      </c>
      <c r="I941" s="2">
        <f>ABS(DF[[#This Row],[Quantity_BEFORE]])</f>
        <v>6</v>
      </c>
      <c r="J941" s="2">
        <f>DF[[#This Row],[QUANTITY]]*DF[[#This Row],[UnitPrice]]</f>
        <v>25.5</v>
      </c>
    </row>
    <row r="942" spans="1:10" x14ac:dyDescent="0.25">
      <c r="A942" s="2">
        <v>536514</v>
      </c>
      <c r="B942" s="2">
        <v>22865</v>
      </c>
      <c r="C942" s="2" t="s">
        <v>238</v>
      </c>
      <c r="D942" s="2">
        <v>36</v>
      </c>
      <c r="E942" s="8">
        <v>40513.527777777781</v>
      </c>
      <c r="F942" s="2">
        <v>2.1</v>
      </c>
      <c r="G942" s="2">
        <v>17951</v>
      </c>
      <c r="H942" s="2" t="s">
        <v>10</v>
      </c>
      <c r="I942" s="2">
        <f>ABS(DF[[#This Row],[Quantity_BEFORE]])</f>
        <v>36</v>
      </c>
      <c r="J942" s="2">
        <f>DF[[#This Row],[QUANTITY]]*DF[[#This Row],[UnitPrice]]</f>
        <v>75.600000000000009</v>
      </c>
    </row>
    <row r="943" spans="1:10" x14ac:dyDescent="0.25">
      <c r="A943" s="2">
        <v>536514</v>
      </c>
      <c r="B943" s="2">
        <v>22485</v>
      </c>
      <c r="C943" s="2" t="s">
        <v>640</v>
      </c>
      <c r="D943" s="2">
        <v>4</v>
      </c>
      <c r="E943" s="8">
        <v>40513.527777777781</v>
      </c>
      <c r="F943" s="2">
        <v>12.75</v>
      </c>
      <c r="G943" s="2">
        <v>17951</v>
      </c>
      <c r="H943" s="2" t="s">
        <v>10</v>
      </c>
      <c r="I943" s="2">
        <f>ABS(DF[[#This Row],[Quantity_BEFORE]])</f>
        <v>4</v>
      </c>
      <c r="J943" s="2">
        <f>DF[[#This Row],[QUANTITY]]*DF[[#This Row],[UnitPrice]]</f>
        <v>51</v>
      </c>
    </row>
    <row r="944" spans="1:10" x14ac:dyDescent="0.25">
      <c r="A944" s="2">
        <v>536514</v>
      </c>
      <c r="B944" s="2">
        <v>22807</v>
      </c>
      <c r="C944" s="2" t="s">
        <v>498</v>
      </c>
      <c r="D944" s="2">
        <v>6</v>
      </c>
      <c r="E944" s="8">
        <v>40513.527777777781</v>
      </c>
      <c r="F944" s="2">
        <v>2.95</v>
      </c>
      <c r="G944" s="2">
        <v>17951</v>
      </c>
      <c r="H944" s="2" t="s">
        <v>10</v>
      </c>
      <c r="I944" s="2">
        <f>ABS(DF[[#This Row],[Quantity_BEFORE]])</f>
        <v>6</v>
      </c>
      <c r="J944" s="2">
        <f>DF[[#This Row],[QUANTITY]]*DF[[#This Row],[UnitPrice]]</f>
        <v>17.700000000000003</v>
      </c>
    </row>
    <row r="945" spans="1:10" x14ac:dyDescent="0.25">
      <c r="A945" s="2">
        <v>536514</v>
      </c>
      <c r="B945" s="2">
        <v>22633</v>
      </c>
      <c r="C945" s="2" t="s">
        <v>20</v>
      </c>
      <c r="D945" s="2">
        <v>36</v>
      </c>
      <c r="E945" s="8">
        <v>40513.527777777781</v>
      </c>
      <c r="F945" s="2">
        <v>2.1</v>
      </c>
      <c r="G945" s="2">
        <v>17951</v>
      </c>
      <c r="H945" s="2" t="s">
        <v>10</v>
      </c>
      <c r="I945" s="2">
        <f>ABS(DF[[#This Row],[Quantity_BEFORE]])</f>
        <v>36</v>
      </c>
      <c r="J945" s="2">
        <f>DF[[#This Row],[QUANTITY]]*DF[[#This Row],[UnitPrice]]</f>
        <v>75.600000000000009</v>
      </c>
    </row>
    <row r="946" spans="1:10" x14ac:dyDescent="0.25">
      <c r="A946" s="2">
        <v>536514</v>
      </c>
      <c r="B946" s="2">
        <v>22866</v>
      </c>
      <c r="C946" s="2" t="s">
        <v>237</v>
      </c>
      <c r="D946" s="2">
        <v>36</v>
      </c>
      <c r="E946" s="8">
        <v>40513.527777777781</v>
      </c>
      <c r="F946" s="2">
        <v>2.1</v>
      </c>
      <c r="G946" s="2">
        <v>17951</v>
      </c>
      <c r="H946" s="2" t="s">
        <v>10</v>
      </c>
      <c r="I946" s="2">
        <f>ABS(DF[[#This Row],[Quantity_BEFORE]])</f>
        <v>36</v>
      </c>
      <c r="J946" s="2">
        <f>DF[[#This Row],[QUANTITY]]*DF[[#This Row],[UnitPrice]]</f>
        <v>75.600000000000009</v>
      </c>
    </row>
    <row r="947" spans="1:10" x14ac:dyDescent="0.25">
      <c r="A947" s="2">
        <v>536520</v>
      </c>
      <c r="B947" s="2">
        <v>21794</v>
      </c>
      <c r="C947" s="2" t="s">
        <v>641</v>
      </c>
      <c r="D947" s="2">
        <v>1</v>
      </c>
      <c r="E947" s="8">
        <v>40513.529861111114</v>
      </c>
      <c r="F947" s="2">
        <v>6.75</v>
      </c>
      <c r="G947" s="2">
        <v>14729</v>
      </c>
      <c r="H947" s="2" t="s">
        <v>10</v>
      </c>
      <c r="I947" s="2">
        <f>ABS(DF[[#This Row],[Quantity_BEFORE]])</f>
        <v>1</v>
      </c>
      <c r="J947" s="2">
        <f>DF[[#This Row],[QUANTITY]]*DF[[#This Row],[UnitPrice]]</f>
        <v>6.75</v>
      </c>
    </row>
    <row r="948" spans="1:10" x14ac:dyDescent="0.25">
      <c r="A948" s="2">
        <v>536520</v>
      </c>
      <c r="B948" s="2">
        <v>20707</v>
      </c>
      <c r="C948" s="2" t="s">
        <v>642</v>
      </c>
      <c r="D948" s="2">
        <v>1</v>
      </c>
      <c r="E948" s="8">
        <v>40513.529861111114</v>
      </c>
      <c r="F948" s="2">
        <v>1.25</v>
      </c>
      <c r="G948" s="2">
        <v>14729</v>
      </c>
      <c r="H948" s="2" t="s">
        <v>10</v>
      </c>
      <c r="I948" s="2">
        <f>ABS(DF[[#This Row],[Quantity_BEFORE]])</f>
        <v>1</v>
      </c>
      <c r="J948" s="2">
        <f>DF[[#This Row],[QUANTITY]]*DF[[#This Row],[UnitPrice]]</f>
        <v>1.25</v>
      </c>
    </row>
    <row r="949" spans="1:10" x14ac:dyDescent="0.25">
      <c r="A949" s="2">
        <v>536520</v>
      </c>
      <c r="B949" s="2">
        <v>21175</v>
      </c>
      <c r="C949" s="2" t="s">
        <v>114</v>
      </c>
      <c r="D949" s="2">
        <v>1</v>
      </c>
      <c r="E949" s="8">
        <v>40513.529861111114</v>
      </c>
      <c r="F949" s="2">
        <v>2.1</v>
      </c>
      <c r="G949" s="2">
        <v>14729</v>
      </c>
      <c r="H949" s="2" t="s">
        <v>10</v>
      </c>
      <c r="I949" s="2">
        <f>ABS(DF[[#This Row],[Quantity_BEFORE]])</f>
        <v>1</v>
      </c>
      <c r="J949" s="2">
        <f>DF[[#This Row],[QUANTITY]]*DF[[#This Row],[UnitPrice]]</f>
        <v>2.1</v>
      </c>
    </row>
    <row r="950" spans="1:10" x14ac:dyDescent="0.25">
      <c r="A950" s="2">
        <v>536520</v>
      </c>
      <c r="B950" s="2">
        <v>22926</v>
      </c>
      <c r="C950" s="2" t="s">
        <v>146</v>
      </c>
      <c r="D950" s="2">
        <v>1</v>
      </c>
      <c r="E950" s="8">
        <v>40513.529861111114</v>
      </c>
      <c r="F950" s="2">
        <v>5.95</v>
      </c>
      <c r="G950" s="2">
        <v>14729</v>
      </c>
      <c r="H950" s="2" t="s">
        <v>10</v>
      </c>
      <c r="I950" s="2">
        <f>ABS(DF[[#This Row],[Quantity_BEFORE]])</f>
        <v>1</v>
      </c>
      <c r="J950" s="2">
        <f>DF[[#This Row],[QUANTITY]]*DF[[#This Row],[UnitPrice]]</f>
        <v>5.95</v>
      </c>
    </row>
    <row r="951" spans="1:10" x14ac:dyDescent="0.25">
      <c r="A951" s="2">
        <v>536520</v>
      </c>
      <c r="B951" s="2">
        <v>22588</v>
      </c>
      <c r="C951" s="2" t="s">
        <v>643</v>
      </c>
      <c r="D951" s="2">
        <v>2</v>
      </c>
      <c r="E951" s="8">
        <v>40513.529861111114</v>
      </c>
      <c r="F951" s="2">
        <v>2.5499999999999998</v>
      </c>
      <c r="G951" s="2">
        <v>14729</v>
      </c>
      <c r="H951" s="2" t="s">
        <v>10</v>
      </c>
      <c r="I951" s="2">
        <f>ABS(DF[[#This Row],[Quantity_BEFORE]])</f>
        <v>2</v>
      </c>
      <c r="J951" s="2">
        <f>DF[[#This Row],[QUANTITY]]*DF[[#This Row],[UnitPrice]]</f>
        <v>5.0999999999999996</v>
      </c>
    </row>
    <row r="952" spans="1:10" x14ac:dyDescent="0.25">
      <c r="A952" s="2">
        <v>536520</v>
      </c>
      <c r="B952" s="2">
        <v>21292</v>
      </c>
      <c r="C952" s="2" t="s">
        <v>644</v>
      </c>
      <c r="D952" s="2">
        <v>16</v>
      </c>
      <c r="E952" s="8">
        <v>40513.529861111114</v>
      </c>
      <c r="F952" s="2">
        <v>0.85</v>
      </c>
      <c r="G952" s="2">
        <v>14729</v>
      </c>
      <c r="H952" s="2" t="s">
        <v>10</v>
      </c>
      <c r="I952" s="2">
        <f>ABS(DF[[#This Row],[Quantity_BEFORE]])</f>
        <v>16</v>
      </c>
      <c r="J952" s="2">
        <f>DF[[#This Row],[QUANTITY]]*DF[[#This Row],[UnitPrice]]</f>
        <v>13.6</v>
      </c>
    </row>
    <row r="953" spans="1:10" x14ac:dyDescent="0.25">
      <c r="A953" s="2">
        <v>536520</v>
      </c>
      <c r="B953" s="2">
        <v>21890</v>
      </c>
      <c r="C953" s="2" t="s">
        <v>502</v>
      </c>
      <c r="D953" s="2">
        <v>1</v>
      </c>
      <c r="E953" s="8">
        <v>40513.529861111114</v>
      </c>
      <c r="F953" s="2">
        <v>2.95</v>
      </c>
      <c r="G953" s="2">
        <v>14729</v>
      </c>
      <c r="H953" s="2" t="s">
        <v>10</v>
      </c>
      <c r="I953" s="2">
        <f>ABS(DF[[#This Row],[Quantity_BEFORE]])</f>
        <v>1</v>
      </c>
      <c r="J953" s="2">
        <f>DF[[#This Row],[QUANTITY]]*DF[[#This Row],[UnitPrice]]</f>
        <v>2.95</v>
      </c>
    </row>
    <row r="954" spans="1:10" x14ac:dyDescent="0.25">
      <c r="A954" s="2">
        <v>536520</v>
      </c>
      <c r="B954" s="2">
        <v>22632</v>
      </c>
      <c r="C954" s="2" t="s">
        <v>239</v>
      </c>
      <c r="D954" s="2">
        <v>4</v>
      </c>
      <c r="E954" s="8">
        <v>40513.529861111114</v>
      </c>
      <c r="F954" s="2">
        <v>2.1</v>
      </c>
      <c r="G954" s="2">
        <v>14729</v>
      </c>
      <c r="H954" s="2" t="s">
        <v>10</v>
      </c>
      <c r="I954" s="2">
        <f>ABS(DF[[#This Row],[Quantity_BEFORE]])</f>
        <v>4</v>
      </c>
      <c r="J954" s="2">
        <f>DF[[#This Row],[QUANTITY]]*DF[[#This Row],[UnitPrice]]</f>
        <v>8.4</v>
      </c>
    </row>
    <row r="955" spans="1:10" x14ac:dyDescent="0.25">
      <c r="A955" s="2">
        <v>536520</v>
      </c>
      <c r="B955" s="2">
        <v>22633</v>
      </c>
      <c r="C955" s="2" t="s">
        <v>20</v>
      </c>
      <c r="D955" s="2">
        <v>3</v>
      </c>
      <c r="E955" s="8">
        <v>40513.529861111114</v>
      </c>
      <c r="F955" s="2">
        <v>2.1</v>
      </c>
      <c r="G955" s="2">
        <v>14729</v>
      </c>
      <c r="H955" s="2" t="s">
        <v>10</v>
      </c>
      <c r="I955" s="2">
        <f>ABS(DF[[#This Row],[Quantity_BEFORE]])</f>
        <v>3</v>
      </c>
      <c r="J955" s="2">
        <f>DF[[#This Row],[QUANTITY]]*DF[[#This Row],[UnitPrice]]</f>
        <v>6.3000000000000007</v>
      </c>
    </row>
    <row r="956" spans="1:10" x14ac:dyDescent="0.25">
      <c r="A956" s="2">
        <v>536520</v>
      </c>
      <c r="B956" s="2">
        <v>22670</v>
      </c>
      <c r="C956" s="2" t="s">
        <v>542</v>
      </c>
      <c r="D956" s="2">
        <v>1</v>
      </c>
      <c r="E956" s="8">
        <v>40513.529861111114</v>
      </c>
      <c r="F956" s="2">
        <v>1.25</v>
      </c>
      <c r="G956" s="2">
        <v>14729</v>
      </c>
      <c r="H956" s="2" t="s">
        <v>10</v>
      </c>
      <c r="I956" s="2">
        <f>ABS(DF[[#This Row],[Quantity_BEFORE]])</f>
        <v>1</v>
      </c>
      <c r="J956" s="2">
        <f>DF[[#This Row],[QUANTITY]]*DF[[#This Row],[UnitPrice]]</f>
        <v>1.25</v>
      </c>
    </row>
    <row r="957" spans="1:10" x14ac:dyDescent="0.25">
      <c r="A957" s="2">
        <v>536520</v>
      </c>
      <c r="B957" s="2">
        <v>21867</v>
      </c>
      <c r="C957" s="2" t="s">
        <v>409</v>
      </c>
      <c r="D957" s="2">
        <v>1</v>
      </c>
      <c r="E957" s="8">
        <v>40513.529861111114</v>
      </c>
      <c r="F957" s="2">
        <v>1.25</v>
      </c>
      <c r="G957" s="2">
        <v>14729</v>
      </c>
      <c r="H957" s="2" t="s">
        <v>10</v>
      </c>
      <c r="I957" s="2">
        <f>ABS(DF[[#This Row],[Quantity_BEFORE]])</f>
        <v>1</v>
      </c>
      <c r="J957" s="2">
        <f>DF[[#This Row],[QUANTITY]]*DF[[#This Row],[UnitPrice]]</f>
        <v>1.25</v>
      </c>
    </row>
    <row r="958" spans="1:10" x14ac:dyDescent="0.25">
      <c r="A958" s="2">
        <v>536520</v>
      </c>
      <c r="B958" s="2">
        <v>22760</v>
      </c>
      <c r="C958" s="2" t="s">
        <v>645</v>
      </c>
      <c r="D958" s="2">
        <v>1</v>
      </c>
      <c r="E958" s="8">
        <v>40513.529861111114</v>
      </c>
      <c r="F958" s="2">
        <v>12.75</v>
      </c>
      <c r="G958" s="2">
        <v>14729</v>
      </c>
      <c r="H958" s="2" t="s">
        <v>10</v>
      </c>
      <c r="I958" s="2">
        <f>ABS(DF[[#This Row],[Quantity_BEFORE]])</f>
        <v>1</v>
      </c>
      <c r="J958" s="2">
        <f>DF[[#This Row],[QUANTITY]]*DF[[#This Row],[UnitPrice]]</f>
        <v>12.75</v>
      </c>
    </row>
    <row r="959" spans="1:10" x14ac:dyDescent="0.25">
      <c r="A959" s="2">
        <v>536520</v>
      </c>
      <c r="B959" s="2">
        <v>22107</v>
      </c>
      <c r="C959" s="2" t="s">
        <v>646</v>
      </c>
      <c r="D959" s="2">
        <v>2</v>
      </c>
      <c r="E959" s="8">
        <v>40513.529861111114</v>
      </c>
      <c r="F959" s="2">
        <v>3.75</v>
      </c>
      <c r="G959" s="2">
        <v>14729</v>
      </c>
      <c r="H959" s="2" t="s">
        <v>10</v>
      </c>
      <c r="I959" s="2">
        <f>ABS(DF[[#This Row],[Quantity_BEFORE]])</f>
        <v>2</v>
      </c>
      <c r="J959" s="2">
        <f>DF[[#This Row],[QUANTITY]]*DF[[#This Row],[UnitPrice]]</f>
        <v>7.5</v>
      </c>
    </row>
    <row r="960" spans="1:10" x14ac:dyDescent="0.25">
      <c r="A960" s="2">
        <v>536520</v>
      </c>
      <c r="B960" s="2">
        <v>22470</v>
      </c>
      <c r="C960" s="2" t="s">
        <v>159</v>
      </c>
      <c r="D960" s="2">
        <v>1</v>
      </c>
      <c r="E960" s="8">
        <v>40513.529861111114</v>
      </c>
      <c r="F960" s="2">
        <v>2.95</v>
      </c>
      <c r="G960" s="2">
        <v>14729</v>
      </c>
      <c r="H960" s="2" t="s">
        <v>10</v>
      </c>
      <c r="I960" s="2">
        <f>ABS(DF[[#This Row],[Quantity_BEFORE]])</f>
        <v>1</v>
      </c>
      <c r="J960" s="2">
        <f>DF[[#This Row],[QUANTITY]]*DF[[#This Row],[UnitPrice]]</f>
        <v>2.95</v>
      </c>
    </row>
    <row r="961" spans="1:10" x14ac:dyDescent="0.25">
      <c r="A961" s="2">
        <v>536520</v>
      </c>
      <c r="B961" s="2">
        <v>21486</v>
      </c>
      <c r="C961" s="2" t="s">
        <v>647</v>
      </c>
      <c r="D961" s="2">
        <v>1</v>
      </c>
      <c r="E961" s="8">
        <v>40513.529861111114</v>
      </c>
      <c r="F961" s="2">
        <v>3.75</v>
      </c>
      <c r="G961" s="2">
        <v>14729</v>
      </c>
      <c r="H961" s="2" t="s">
        <v>10</v>
      </c>
      <c r="I961" s="2">
        <f>ABS(DF[[#This Row],[Quantity_BEFORE]])</f>
        <v>1</v>
      </c>
      <c r="J961" s="2">
        <f>DF[[#This Row],[QUANTITY]]*DF[[#This Row],[UnitPrice]]</f>
        <v>3.75</v>
      </c>
    </row>
    <row r="962" spans="1:10" x14ac:dyDescent="0.25">
      <c r="A962" s="2">
        <v>536520</v>
      </c>
      <c r="B962" s="2">
        <v>22151</v>
      </c>
      <c r="C962" s="2" t="s">
        <v>648</v>
      </c>
      <c r="D962" s="2">
        <v>14</v>
      </c>
      <c r="E962" s="8">
        <v>40513.529861111114</v>
      </c>
      <c r="F962" s="2">
        <v>0.42</v>
      </c>
      <c r="G962" s="2">
        <v>14729</v>
      </c>
      <c r="H962" s="2" t="s">
        <v>10</v>
      </c>
      <c r="I962" s="2">
        <f>ABS(DF[[#This Row],[Quantity_BEFORE]])</f>
        <v>14</v>
      </c>
      <c r="J962" s="2">
        <f>DF[[#This Row],[QUANTITY]]*DF[[#This Row],[UnitPrice]]</f>
        <v>5.88</v>
      </c>
    </row>
    <row r="963" spans="1:10" x14ac:dyDescent="0.25">
      <c r="A963" s="2">
        <v>536520</v>
      </c>
      <c r="B963" s="2">
        <v>22643</v>
      </c>
      <c r="C963" s="2" t="s">
        <v>649</v>
      </c>
      <c r="D963" s="2">
        <v>4</v>
      </c>
      <c r="E963" s="8">
        <v>40513.529861111114</v>
      </c>
      <c r="F963" s="2">
        <v>2.5499999999999998</v>
      </c>
      <c r="G963" s="2">
        <v>14729</v>
      </c>
      <c r="H963" s="2" t="s">
        <v>10</v>
      </c>
      <c r="I963" s="2">
        <f>ABS(DF[[#This Row],[Quantity_BEFORE]])</f>
        <v>4</v>
      </c>
      <c r="J963" s="2">
        <f>DF[[#This Row],[QUANTITY]]*DF[[#This Row],[UnitPrice]]</f>
        <v>10.199999999999999</v>
      </c>
    </row>
    <row r="964" spans="1:10" x14ac:dyDescent="0.25">
      <c r="A964" s="2">
        <v>536520</v>
      </c>
      <c r="B964" s="2">
        <v>22642</v>
      </c>
      <c r="C964" s="2" t="s">
        <v>650</v>
      </c>
      <c r="D964" s="2">
        <v>4</v>
      </c>
      <c r="E964" s="8">
        <v>40513.529861111114</v>
      </c>
      <c r="F964" s="2">
        <v>2.5499999999999998</v>
      </c>
      <c r="G964" s="2">
        <v>14729</v>
      </c>
      <c r="H964" s="2" t="s">
        <v>10</v>
      </c>
      <c r="I964" s="2">
        <f>ABS(DF[[#This Row],[Quantity_BEFORE]])</f>
        <v>4</v>
      </c>
      <c r="J964" s="2">
        <f>DF[[#This Row],[QUANTITY]]*DF[[#This Row],[UnitPrice]]</f>
        <v>10.199999999999999</v>
      </c>
    </row>
    <row r="965" spans="1:10" x14ac:dyDescent="0.25">
      <c r="A965" s="2">
        <v>536520</v>
      </c>
      <c r="B965" s="2">
        <v>22604</v>
      </c>
      <c r="C965" s="2" t="s">
        <v>651</v>
      </c>
      <c r="D965" s="2">
        <v>3</v>
      </c>
      <c r="E965" s="8">
        <v>40513.529861111114</v>
      </c>
      <c r="F965" s="2">
        <v>2.5499999999999998</v>
      </c>
      <c r="G965" s="2">
        <v>14729</v>
      </c>
      <c r="H965" s="2" t="s">
        <v>10</v>
      </c>
      <c r="I965" s="2">
        <f>ABS(DF[[#This Row],[Quantity_BEFORE]])</f>
        <v>3</v>
      </c>
      <c r="J965" s="2">
        <f>DF[[#This Row],[QUANTITY]]*DF[[#This Row],[UnitPrice]]</f>
        <v>7.6499999999999995</v>
      </c>
    </row>
    <row r="966" spans="1:10" x14ac:dyDescent="0.25">
      <c r="A966" s="2">
        <v>536520</v>
      </c>
      <c r="B966" s="2">
        <v>22099</v>
      </c>
      <c r="C966" s="2" t="s">
        <v>652</v>
      </c>
      <c r="D966" s="2">
        <v>2</v>
      </c>
      <c r="E966" s="8">
        <v>40513.529861111114</v>
      </c>
      <c r="F966" s="2">
        <v>1.25</v>
      </c>
      <c r="G966" s="2">
        <v>14729</v>
      </c>
      <c r="H966" s="2" t="s">
        <v>10</v>
      </c>
      <c r="I966" s="2">
        <f>ABS(DF[[#This Row],[Quantity_BEFORE]])</f>
        <v>2</v>
      </c>
      <c r="J966" s="2">
        <f>DF[[#This Row],[QUANTITY]]*DF[[#This Row],[UnitPrice]]</f>
        <v>2.5</v>
      </c>
    </row>
    <row r="967" spans="1:10" x14ac:dyDescent="0.25">
      <c r="A967" s="2">
        <v>536520</v>
      </c>
      <c r="B967" s="2">
        <v>22553</v>
      </c>
      <c r="C967" s="2" t="s">
        <v>225</v>
      </c>
      <c r="D967" s="2">
        <v>1</v>
      </c>
      <c r="E967" s="8">
        <v>40513.529861111114</v>
      </c>
      <c r="F967" s="2">
        <v>1.65</v>
      </c>
      <c r="G967" s="2">
        <v>14729</v>
      </c>
      <c r="H967" s="2" t="s">
        <v>10</v>
      </c>
      <c r="I967" s="2">
        <f>ABS(DF[[#This Row],[Quantity_BEFORE]])</f>
        <v>1</v>
      </c>
      <c r="J967" s="2">
        <f>DF[[#This Row],[QUANTITY]]*DF[[#This Row],[UnitPrice]]</f>
        <v>1.65</v>
      </c>
    </row>
    <row r="968" spans="1:10" x14ac:dyDescent="0.25">
      <c r="A968" s="2">
        <v>536520</v>
      </c>
      <c r="B968" s="2">
        <v>22551</v>
      </c>
      <c r="C968" s="2" t="s">
        <v>489</v>
      </c>
      <c r="D968" s="2">
        <v>1</v>
      </c>
      <c r="E968" s="8">
        <v>40513.529861111114</v>
      </c>
      <c r="F968" s="2">
        <v>1.65</v>
      </c>
      <c r="G968" s="2">
        <v>14729</v>
      </c>
      <c r="H968" s="2" t="s">
        <v>10</v>
      </c>
      <c r="I968" s="2">
        <f>ABS(DF[[#This Row],[Quantity_BEFORE]])</f>
        <v>1</v>
      </c>
      <c r="J968" s="2">
        <f>DF[[#This Row],[QUANTITY]]*DF[[#This Row],[UnitPrice]]</f>
        <v>1.65</v>
      </c>
    </row>
    <row r="969" spans="1:10" x14ac:dyDescent="0.25">
      <c r="A969" s="2">
        <v>536520</v>
      </c>
      <c r="B969" s="2">
        <v>22653</v>
      </c>
      <c r="C969" s="2" t="s">
        <v>653</v>
      </c>
      <c r="D969" s="2">
        <v>1</v>
      </c>
      <c r="E969" s="8">
        <v>40513.529861111114</v>
      </c>
      <c r="F969" s="2">
        <v>1.95</v>
      </c>
      <c r="G969" s="2">
        <v>14729</v>
      </c>
      <c r="H969" s="2" t="s">
        <v>10</v>
      </c>
      <c r="I969" s="2">
        <f>ABS(DF[[#This Row],[Quantity_BEFORE]])</f>
        <v>1</v>
      </c>
      <c r="J969" s="2">
        <f>DF[[#This Row],[QUANTITY]]*DF[[#This Row],[UnitPrice]]</f>
        <v>1.95</v>
      </c>
    </row>
    <row r="970" spans="1:10" x14ac:dyDescent="0.25">
      <c r="A970" s="2">
        <v>536520</v>
      </c>
      <c r="B970" s="2">
        <v>22557</v>
      </c>
      <c r="C970" s="2" t="s">
        <v>224</v>
      </c>
      <c r="D970" s="2">
        <v>2</v>
      </c>
      <c r="E970" s="8">
        <v>40513.529861111114</v>
      </c>
      <c r="F970" s="2">
        <v>1.65</v>
      </c>
      <c r="G970" s="2">
        <v>14729</v>
      </c>
      <c r="H970" s="2" t="s">
        <v>10</v>
      </c>
      <c r="I970" s="2">
        <f>ABS(DF[[#This Row],[Quantity_BEFORE]])</f>
        <v>2</v>
      </c>
      <c r="J970" s="2">
        <f>DF[[#This Row],[QUANTITY]]*DF[[#This Row],[UnitPrice]]</f>
        <v>3.3</v>
      </c>
    </row>
    <row r="971" spans="1:10" x14ac:dyDescent="0.25">
      <c r="A971" s="2">
        <v>536520</v>
      </c>
      <c r="B971" s="2">
        <v>22906</v>
      </c>
      <c r="C971" s="2" t="s">
        <v>654</v>
      </c>
      <c r="D971" s="2">
        <v>6</v>
      </c>
      <c r="E971" s="8">
        <v>40513.529861111114</v>
      </c>
      <c r="F971" s="2">
        <v>1.65</v>
      </c>
      <c r="G971" s="2">
        <v>14729</v>
      </c>
      <c r="H971" s="2" t="s">
        <v>10</v>
      </c>
      <c r="I971" s="2">
        <f>ABS(DF[[#This Row],[Quantity_BEFORE]])</f>
        <v>6</v>
      </c>
      <c r="J971" s="2">
        <f>DF[[#This Row],[QUANTITY]]*DF[[#This Row],[UnitPrice]]</f>
        <v>9.8999999999999986</v>
      </c>
    </row>
    <row r="972" spans="1:10" x14ac:dyDescent="0.25">
      <c r="A972" s="2">
        <v>536520</v>
      </c>
      <c r="B972" s="2">
        <v>22754</v>
      </c>
      <c r="C972" s="2" t="s">
        <v>655</v>
      </c>
      <c r="D972" s="2">
        <v>1</v>
      </c>
      <c r="E972" s="8">
        <v>40513.529861111114</v>
      </c>
      <c r="F972" s="2">
        <v>0.85</v>
      </c>
      <c r="G972" s="2">
        <v>14729</v>
      </c>
      <c r="H972" s="2" t="s">
        <v>10</v>
      </c>
      <c r="I972" s="2">
        <f>ABS(DF[[#This Row],[Quantity_BEFORE]])</f>
        <v>1</v>
      </c>
      <c r="J972" s="2">
        <f>DF[[#This Row],[QUANTITY]]*DF[[#This Row],[UnitPrice]]</f>
        <v>0.85</v>
      </c>
    </row>
    <row r="973" spans="1:10" x14ac:dyDescent="0.25">
      <c r="A973" s="2">
        <v>536520</v>
      </c>
      <c r="B973" s="2">
        <v>22938</v>
      </c>
      <c r="C973" s="2" t="s">
        <v>500</v>
      </c>
      <c r="D973" s="2">
        <v>5</v>
      </c>
      <c r="E973" s="8">
        <v>40513.529861111114</v>
      </c>
      <c r="F973" s="2">
        <v>1.95</v>
      </c>
      <c r="G973" s="2">
        <v>14729</v>
      </c>
      <c r="H973" s="2" t="s">
        <v>10</v>
      </c>
      <c r="I973" s="2">
        <f>ABS(DF[[#This Row],[Quantity_BEFORE]])</f>
        <v>5</v>
      </c>
      <c r="J973" s="2">
        <f>DF[[#This Row],[QUANTITY]]*DF[[#This Row],[UnitPrice]]</f>
        <v>9.75</v>
      </c>
    </row>
    <row r="974" spans="1:10" x14ac:dyDescent="0.25">
      <c r="A974" s="2">
        <v>536520</v>
      </c>
      <c r="B974" s="2">
        <v>22812</v>
      </c>
      <c r="C974" s="2" t="s">
        <v>376</v>
      </c>
      <c r="D974" s="2">
        <v>3</v>
      </c>
      <c r="E974" s="8">
        <v>40513.529861111114</v>
      </c>
      <c r="F974" s="2">
        <v>1.95</v>
      </c>
      <c r="G974" s="2">
        <v>14729</v>
      </c>
      <c r="H974" s="2" t="s">
        <v>10</v>
      </c>
      <c r="I974" s="2">
        <f>ABS(DF[[#This Row],[Quantity_BEFORE]])</f>
        <v>3</v>
      </c>
      <c r="J974" s="2">
        <f>DF[[#This Row],[QUANTITY]]*DF[[#This Row],[UnitPrice]]</f>
        <v>5.85</v>
      </c>
    </row>
    <row r="975" spans="1:10" x14ac:dyDescent="0.25">
      <c r="A975" s="2">
        <v>536520</v>
      </c>
      <c r="B975" s="2">
        <v>22919</v>
      </c>
      <c r="C975" s="2" t="s">
        <v>656</v>
      </c>
      <c r="D975" s="2">
        <v>2</v>
      </c>
      <c r="E975" s="8">
        <v>40513.529861111114</v>
      </c>
      <c r="F975" s="2">
        <v>0.65</v>
      </c>
      <c r="G975" s="2">
        <v>14729</v>
      </c>
      <c r="H975" s="2" t="s">
        <v>10</v>
      </c>
      <c r="I975" s="2">
        <f>ABS(DF[[#This Row],[Quantity_BEFORE]])</f>
        <v>2</v>
      </c>
      <c r="J975" s="2">
        <f>DF[[#This Row],[QUANTITY]]*DF[[#This Row],[UnitPrice]]</f>
        <v>1.3</v>
      </c>
    </row>
    <row r="976" spans="1:10" x14ac:dyDescent="0.25">
      <c r="A976" s="2">
        <v>536520</v>
      </c>
      <c r="B976" s="2">
        <v>22917</v>
      </c>
      <c r="C976" s="2" t="s">
        <v>657</v>
      </c>
      <c r="D976" s="2">
        <v>1</v>
      </c>
      <c r="E976" s="8">
        <v>40513.529861111114</v>
      </c>
      <c r="F976" s="2">
        <v>0.65</v>
      </c>
      <c r="G976" s="2">
        <v>14729</v>
      </c>
      <c r="H976" s="2" t="s">
        <v>10</v>
      </c>
      <c r="I976" s="2">
        <f>ABS(DF[[#This Row],[Quantity_BEFORE]])</f>
        <v>1</v>
      </c>
      <c r="J976" s="2">
        <f>DF[[#This Row],[QUANTITY]]*DF[[#This Row],[UnitPrice]]</f>
        <v>0.65</v>
      </c>
    </row>
    <row r="977" spans="1:10" x14ac:dyDescent="0.25">
      <c r="A977" s="2">
        <v>536520</v>
      </c>
      <c r="B977" s="2">
        <v>22920</v>
      </c>
      <c r="C977" s="2" t="s">
        <v>658</v>
      </c>
      <c r="D977" s="2">
        <v>3</v>
      </c>
      <c r="E977" s="8">
        <v>40513.529861111114</v>
      </c>
      <c r="F977" s="2">
        <v>0.65</v>
      </c>
      <c r="G977" s="2">
        <v>14729</v>
      </c>
      <c r="H977" s="2" t="s">
        <v>10</v>
      </c>
      <c r="I977" s="2">
        <f>ABS(DF[[#This Row],[Quantity_BEFORE]])</f>
        <v>3</v>
      </c>
      <c r="J977" s="2">
        <f>DF[[#This Row],[QUANTITY]]*DF[[#This Row],[UnitPrice]]</f>
        <v>1.9500000000000002</v>
      </c>
    </row>
    <row r="978" spans="1:10" x14ac:dyDescent="0.25">
      <c r="A978" s="2">
        <v>536520</v>
      </c>
      <c r="B978" s="2">
        <v>22921</v>
      </c>
      <c r="C978" s="2" t="s">
        <v>659</v>
      </c>
      <c r="D978" s="2">
        <v>2</v>
      </c>
      <c r="E978" s="8">
        <v>40513.529861111114</v>
      </c>
      <c r="F978" s="2">
        <v>0.65</v>
      </c>
      <c r="G978" s="2">
        <v>14729</v>
      </c>
      <c r="H978" s="2" t="s">
        <v>10</v>
      </c>
      <c r="I978" s="2">
        <f>ABS(DF[[#This Row],[Quantity_BEFORE]])</f>
        <v>2</v>
      </c>
      <c r="J978" s="2">
        <f>DF[[#This Row],[QUANTITY]]*DF[[#This Row],[UnitPrice]]</f>
        <v>1.3</v>
      </c>
    </row>
    <row r="979" spans="1:10" x14ac:dyDescent="0.25">
      <c r="A979" s="2">
        <v>536520</v>
      </c>
      <c r="B979" s="2">
        <v>22918</v>
      </c>
      <c r="C979" s="2" t="s">
        <v>660</v>
      </c>
      <c r="D979" s="2">
        <v>2</v>
      </c>
      <c r="E979" s="8">
        <v>40513.529861111114</v>
      </c>
      <c r="F979" s="2">
        <v>0.65</v>
      </c>
      <c r="G979" s="2">
        <v>14729</v>
      </c>
      <c r="H979" s="2" t="s">
        <v>10</v>
      </c>
      <c r="I979" s="2">
        <f>ABS(DF[[#This Row],[Quantity_BEFORE]])</f>
        <v>2</v>
      </c>
      <c r="J979" s="2">
        <f>DF[[#This Row],[QUANTITY]]*DF[[#This Row],[UnitPrice]]</f>
        <v>1.3</v>
      </c>
    </row>
    <row r="980" spans="1:10" x14ac:dyDescent="0.25">
      <c r="A980" s="2">
        <v>536520</v>
      </c>
      <c r="B980" s="2">
        <v>22916</v>
      </c>
      <c r="C980" s="2" t="s">
        <v>661</v>
      </c>
      <c r="D980" s="2">
        <v>1</v>
      </c>
      <c r="E980" s="8">
        <v>40513.529861111114</v>
      </c>
      <c r="F980" s="2">
        <v>0.65</v>
      </c>
      <c r="G980" s="2">
        <v>14729</v>
      </c>
      <c r="H980" s="2" t="s">
        <v>10</v>
      </c>
      <c r="I980" s="2">
        <f>ABS(DF[[#This Row],[Quantity_BEFORE]])</f>
        <v>1</v>
      </c>
      <c r="J980" s="2">
        <f>DF[[#This Row],[QUANTITY]]*DF[[#This Row],[UnitPrice]]</f>
        <v>0.65</v>
      </c>
    </row>
    <row r="981" spans="1:10" x14ac:dyDescent="0.25">
      <c r="A981" s="2">
        <v>536520</v>
      </c>
      <c r="B981" s="2" t="s">
        <v>8</v>
      </c>
      <c r="C981" s="2" t="s">
        <v>9</v>
      </c>
      <c r="D981" s="2">
        <v>3</v>
      </c>
      <c r="E981" s="8">
        <v>40513.529861111114</v>
      </c>
      <c r="F981" s="2">
        <v>2.95</v>
      </c>
      <c r="G981" s="2">
        <v>14729</v>
      </c>
      <c r="H981" s="2" t="s">
        <v>10</v>
      </c>
      <c r="I981" s="2">
        <f>ABS(DF[[#This Row],[Quantity_BEFORE]])</f>
        <v>3</v>
      </c>
      <c r="J981" s="2">
        <f>DF[[#This Row],[QUANTITY]]*DF[[#This Row],[UnitPrice]]</f>
        <v>8.8500000000000014</v>
      </c>
    </row>
    <row r="982" spans="1:10" x14ac:dyDescent="0.25">
      <c r="A982" s="2">
        <v>536520</v>
      </c>
      <c r="B982" s="2">
        <v>22575</v>
      </c>
      <c r="C982" s="2" t="s">
        <v>662</v>
      </c>
      <c r="D982" s="2">
        <v>1</v>
      </c>
      <c r="E982" s="8">
        <v>40513.529861111114</v>
      </c>
      <c r="F982" s="2">
        <v>1.95</v>
      </c>
      <c r="G982" s="2">
        <v>14729</v>
      </c>
      <c r="H982" s="2" t="s">
        <v>10</v>
      </c>
      <c r="I982" s="2">
        <f>ABS(DF[[#This Row],[Quantity_BEFORE]])</f>
        <v>1</v>
      </c>
      <c r="J982" s="2">
        <f>DF[[#This Row],[QUANTITY]]*DF[[#This Row],[UnitPrice]]</f>
        <v>1.95</v>
      </c>
    </row>
    <row r="983" spans="1:10" x14ac:dyDescent="0.25">
      <c r="A983" s="2">
        <v>536520</v>
      </c>
      <c r="B983" s="2">
        <v>21804</v>
      </c>
      <c r="C983" s="2" t="s">
        <v>663</v>
      </c>
      <c r="D983" s="2">
        <v>3</v>
      </c>
      <c r="E983" s="8">
        <v>40513.529861111114</v>
      </c>
      <c r="F983" s="2">
        <v>3.75</v>
      </c>
      <c r="G983" s="2">
        <v>14729</v>
      </c>
      <c r="H983" s="2" t="s">
        <v>10</v>
      </c>
      <c r="I983" s="2">
        <f>ABS(DF[[#This Row],[Quantity_BEFORE]])</f>
        <v>3</v>
      </c>
      <c r="J983" s="2">
        <f>DF[[#This Row],[QUANTITY]]*DF[[#This Row],[UnitPrice]]</f>
        <v>11.25</v>
      </c>
    </row>
    <row r="984" spans="1:10" x14ac:dyDescent="0.25">
      <c r="A984" s="2">
        <v>536520</v>
      </c>
      <c r="B984" s="2">
        <v>21584</v>
      </c>
      <c r="C984" s="2" t="s">
        <v>589</v>
      </c>
      <c r="D984" s="2">
        <v>12</v>
      </c>
      <c r="E984" s="8">
        <v>40513.529861111114</v>
      </c>
      <c r="F984" s="2">
        <v>1.65</v>
      </c>
      <c r="G984" s="2">
        <v>14729</v>
      </c>
      <c r="H984" s="2" t="s">
        <v>10</v>
      </c>
      <c r="I984" s="2">
        <f>ABS(DF[[#This Row],[Quantity_BEFORE]])</f>
        <v>12</v>
      </c>
      <c r="J984" s="2">
        <f>DF[[#This Row],[QUANTITY]]*DF[[#This Row],[UnitPrice]]</f>
        <v>19.799999999999997</v>
      </c>
    </row>
    <row r="985" spans="1:10" x14ac:dyDescent="0.25">
      <c r="A985" s="2">
        <v>536520</v>
      </c>
      <c r="B985" s="2">
        <v>21588</v>
      </c>
      <c r="C985" s="2" t="s">
        <v>664</v>
      </c>
      <c r="D985" s="2">
        <v>3</v>
      </c>
      <c r="E985" s="8">
        <v>40513.529861111114</v>
      </c>
      <c r="F985" s="2">
        <v>2.5499999999999998</v>
      </c>
      <c r="G985" s="2">
        <v>14729</v>
      </c>
      <c r="H985" s="2" t="s">
        <v>10</v>
      </c>
      <c r="I985" s="2">
        <f>ABS(DF[[#This Row],[Quantity_BEFORE]])</f>
        <v>3</v>
      </c>
      <c r="J985" s="2">
        <f>DF[[#This Row],[QUANTITY]]*DF[[#This Row],[UnitPrice]]</f>
        <v>7.6499999999999995</v>
      </c>
    </row>
    <row r="986" spans="1:10" x14ac:dyDescent="0.25">
      <c r="A986" s="2">
        <v>536520</v>
      </c>
      <c r="B986" s="2">
        <v>22152</v>
      </c>
      <c r="C986" s="2" t="s">
        <v>540</v>
      </c>
      <c r="D986" s="2">
        <v>12</v>
      </c>
      <c r="E986" s="8">
        <v>40513.529861111114</v>
      </c>
      <c r="F986" s="2">
        <v>0.42</v>
      </c>
      <c r="G986" s="2">
        <v>14729</v>
      </c>
      <c r="H986" s="2" t="s">
        <v>10</v>
      </c>
      <c r="I986" s="2">
        <f>ABS(DF[[#This Row],[Quantity_BEFORE]])</f>
        <v>12</v>
      </c>
      <c r="J986" s="2">
        <f>DF[[#This Row],[QUANTITY]]*DF[[#This Row],[UnitPrice]]</f>
        <v>5.04</v>
      </c>
    </row>
    <row r="987" spans="1:10" x14ac:dyDescent="0.25">
      <c r="A987" s="2">
        <v>536520</v>
      </c>
      <c r="B987" s="2">
        <v>22441</v>
      </c>
      <c r="C987" s="2" t="s">
        <v>292</v>
      </c>
      <c r="D987" s="2">
        <v>1</v>
      </c>
      <c r="E987" s="8">
        <v>40513.529861111114</v>
      </c>
      <c r="F987" s="2">
        <v>2.1</v>
      </c>
      <c r="G987" s="2">
        <v>14729</v>
      </c>
      <c r="H987" s="2" t="s">
        <v>10</v>
      </c>
      <c r="I987" s="2">
        <f>ABS(DF[[#This Row],[Quantity_BEFORE]])</f>
        <v>1</v>
      </c>
      <c r="J987" s="2">
        <f>DF[[#This Row],[QUANTITY]]*DF[[#This Row],[UnitPrice]]</f>
        <v>2.1</v>
      </c>
    </row>
    <row r="988" spans="1:10" x14ac:dyDescent="0.25">
      <c r="A988" s="2">
        <v>536520</v>
      </c>
      <c r="B988" s="2">
        <v>22955</v>
      </c>
      <c r="C988" s="2" t="s">
        <v>665</v>
      </c>
      <c r="D988" s="2">
        <v>2</v>
      </c>
      <c r="E988" s="8">
        <v>40513.529861111114</v>
      </c>
      <c r="F988" s="2">
        <v>2.1</v>
      </c>
      <c r="G988" s="2">
        <v>14729</v>
      </c>
      <c r="H988" s="2" t="s">
        <v>10</v>
      </c>
      <c r="I988" s="2">
        <f>ABS(DF[[#This Row],[Quantity_BEFORE]])</f>
        <v>2</v>
      </c>
      <c r="J988" s="2">
        <f>DF[[#This Row],[QUANTITY]]*DF[[#This Row],[UnitPrice]]</f>
        <v>4.2</v>
      </c>
    </row>
    <row r="989" spans="1:10" x14ac:dyDescent="0.25">
      <c r="A989" s="2">
        <v>536520</v>
      </c>
      <c r="B989" s="2">
        <v>22956</v>
      </c>
      <c r="C989" s="2" t="s">
        <v>591</v>
      </c>
      <c r="D989" s="2">
        <v>2</v>
      </c>
      <c r="E989" s="8">
        <v>40513.529861111114</v>
      </c>
      <c r="F989" s="2">
        <v>2.1</v>
      </c>
      <c r="G989" s="2">
        <v>14729</v>
      </c>
      <c r="H989" s="2" t="s">
        <v>10</v>
      </c>
      <c r="I989" s="2">
        <f>ABS(DF[[#This Row],[Quantity_BEFORE]])</f>
        <v>2</v>
      </c>
      <c r="J989" s="2">
        <f>DF[[#This Row],[QUANTITY]]*DF[[#This Row],[UnitPrice]]</f>
        <v>4.2</v>
      </c>
    </row>
    <row r="990" spans="1:10" x14ac:dyDescent="0.25">
      <c r="A990" s="2">
        <v>536520</v>
      </c>
      <c r="B990" s="2">
        <v>22582</v>
      </c>
      <c r="C990" s="2" t="s">
        <v>592</v>
      </c>
      <c r="D990" s="2">
        <v>2</v>
      </c>
      <c r="E990" s="8">
        <v>40513.529861111114</v>
      </c>
      <c r="F990" s="2">
        <v>2.5499999999999998</v>
      </c>
      <c r="G990" s="2">
        <v>14729</v>
      </c>
      <c r="H990" s="2" t="s">
        <v>10</v>
      </c>
      <c r="I990" s="2">
        <f>ABS(DF[[#This Row],[Quantity_BEFORE]])</f>
        <v>2</v>
      </c>
      <c r="J990" s="2">
        <f>DF[[#This Row],[QUANTITY]]*DF[[#This Row],[UnitPrice]]</f>
        <v>5.0999999999999996</v>
      </c>
    </row>
    <row r="991" spans="1:10" x14ac:dyDescent="0.25">
      <c r="A991" s="2">
        <v>536520</v>
      </c>
      <c r="B991" s="2">
        <v>22583</v>
      </c>
      <c r="C991" s="2" t="s">
        <v>666</v>
      </c>
      <c r="D991" s="2">
        <v>3</v>
      </c>
      <c r="E991" s="8">
        <v>40513.529861111114</v>
      </c>
      <c r="F991" s="2">
        <v>2.5499999999999998</v>
      </c>
      <c r="G991" s="2">
        <v>14729</v>
      </c>
      <c r="H991" s="2" t="s">
        <v>10</v>
      </c>
      <c r="I991" s="2">
        <f>ABS(DF[[#This Row],[Quantity_BEFORE]])</f>
        <v>3</v>
      </c>
      <c r="J991" s="2">
        <f>DF[[#This Row],[QUANTITY]]*DF[[#This Row],[UnitPrice]]</f>
        <v>7.6499999999999995</v>
      </c>
    </row>
    <row r="992" spans="1:10" x14ac:dyDescent="0.25">
      <c r="A992" s="2">
        <v>536520</v>
      </c>
      <c r="B992" s="2">
        <v>22241</v>
      </c>
      <c r="C992" s="2" t="s">
        <v>667</v>
      </c>
      <c r="D992" s="2">
        <v>2</v>
      </c>
      <c r="E992" s="8">
        <v>40513.529861111114</v>
      </c>
      <c r="F992" s="2">
        <v>1.25</v>
      </c>
      <c r="G992" s="2">
        <v>14729</v>
      </c>
      <c r="H992" s="2" t="s">
        <v>10</v>
      </c>
      <c r="I992" s="2">
        <f>ABS(DF[[#This Row],[Quantity_BEFORE]])</f>
        <v>2</v>
      </c>
      <c r="J992" s="2">
        <f>DF[[#This Row],[QUANTITY]]*DF[[#This Row],[UnitPrice]]</f>
        <v>2.5</v>
      </c>
    </row>
    <row r="993" spans="1:10" x14ac:dyDescent="0.25">
      <c r="A993" s="2">
        <v>536520</v>
      </c>
      <c r="B993" s="2">
        <v>22904</v>
      </c>
      <c r="C993" s="2" t="s">
        <v>668</v>
      </c>
      <c r="D993" s="2">
        <v>3</v>
      </c>
      <c r="E993" s="8">
        <v>40513.529861111114</v>
      </c>
      <c r="F993" s="2">
        <v>2.95</v>
      </c>
      <c r="G993" s="2">
        <v>14729</v>
      </c>
      <c r="H993" s="2" t="s">
        <v>10</v>
      </c>
      <c r="I993" s="2">
        <f>ABS(DF[[#This Row],[Quantity_BEFORE]])</f>
        <v>3</v>
      </c>
      <c r="J993" s="2">
        <f>DF[[#This Row],[QUANTITY]]*DF[[#This Row],[UnitPrice]]</f>
        <v>8.8500000000000014</v>
      </c>
    </row>
    <row r="994" spans="1:10" x14ac:dyDescent="0.25">
      <c r="A994" s="2">
        <v>536520</v>
      </c>
      <c r="B994" s="2">
        <v>22905</v>
      </c>
      <c r="C994" s="2" t="s">
        <v>669</v>
      </c>
      <c r="D994" s="2">
        <v>2</v>
      </c>
      <c r="E994" s="8">
        <v>40513.529861111114</v>
      </c>
      <c r="F994" s="2">
        <v>2.95</v>
      </c>
      <c r="G994" s="2">
        <v>14729</v>
      </c>
      <c r="H994" s="2" t="s">
        <v>10</v>
      </c>
      <c r="I994" s="2">
        <f>ABS(DF[[#This Row],[Quantity_BEFORE]])</f>
        <v>2</v>
      </c>
      <c r="J994" s="2">
        <f>DF[[#This Row],[QUANTITY]]*DF[[#This Row],[UnitPrice]]</f>
        <v>5.9</v>
      </c>
    </row>
    <row r="995" spans="1:10" x14ac:dyDescent="0.25">
      <c r="A995" s="2">
        <v>536520</v>
      </c>
      <c r="B995" s="2">
        <v>22197</v>
      </c>
      <c r="C995" s="2" t="s">
        <v>208</v>
      </c>
      <c r="D995" s="2">
        <v>3</v>
      </c>
      <c r="E995" s="8">
        <v>40513.529861111114</v>
      </c>
      <c r="F995" s="2">
        <v>0.85</v>
      </c>
      <c r="G995" s="2">
        <v>14729</v>
      </c>
      <c r="H995" s="2" t="s">
        <v>10</v>
      </c>
      <c r="I995" s="2">
        <f>ABS(DF[[#This Row],[Quantity_BEFORE]])</f>
        <v>3</v>
      </c>
      <c r="J995" s="2">
        <f>DF[[#This Row],[QUANTITY]]*DF[[#This Row],[UnitPrice]]</f>
        <v>2.5499999999999998</v>
      </c>
    </row>
    <row r="996" spans="1:10" x14ac:dyDescent="0.25">
      <c r="A996" s="2">
        <v>536520</v>
      </c>
      <c r="B996" s="2">
        <v>22092</v>
      </c>
      <c r="C996" s="2" t="s">
        <v>670</v>
      </c>
      <c r="D996" s="2">
        <v>1</v>
      </c>
      <c r="E996" s="8">
        <v>40513.529861111114</v>
      </c>
      <c r="F996" s="2">
        <v>1.25</v>
      </c>
      <c r="G996" s="2">
        <v>14729</v>
      </c>
      <c r="H996" s="2" t="s">
        <v>10</v>
      </c>
      <c r="I996" s="2">
        <f>ABS(DF[[#This Row],[Quantity_BEFORE]])</f>
        <v>1</v>
      </c>
      <c r="J996" s="2">
        <f>DF[[#This Row],[QUANTITY]]*DF[[#This Row],[UnitPrice]]</f>
        <v>1.25</v>
      </c>
    </row>
    <row r="997" spans="1:10" x14ac:dyDescent="0.25">
      <c r="A997" s="2">
        <v>536520</v>
      </c>
      <c r="B997" s="2">
        <v>22469</v>
      </c>
      <c r="C997" s="2" t="s">
        <v>158</v>
      </c>
      <c r="D997" s="2">
        <v>1</v>
      </c>
      <c r="E997" s="8">
        <v>40513.529861111114</v>
      </c>
      <c r="F997" s="2">
        <v>1.65</v>
      </c>
      <c r="G997" s="2">
        <v>14729</v>
      </c>
      <c r="H997" s="2" t="s">
        <v>10</v>
      </c>
      <c r="I997" s="2">
        <f>ABS(DF[[#This Row],[Quantity_BEFORE]])</f>
        <v>1</v>
      </c>
      <c r="J997" s="2">
        <f>DF[[#This Row],[QUANTITY]]*DF[[#This Row],[UnitPrice]]</f>
        <v>1.65</v>
      </c>
    </row>
    <row r="998" spans="1:10" x14ac:dyDescent="0.25">
      <c r="A998" s="2">
        <v>536520</v>
      </c>
      <c r="B998" s="2">
        <v>22100</v>
      </c>
      <c r="C998" s="2" t="s">
        <v>264</v>
      </c>
      <c r="D998" s="2">
        <v>1</v>
      </c>
      <c r="E998" s="8">
        <v>40513.529861111114</v>
      </c>
      <c r="F998" s="2">
        <v>1.25</v>
      </c>
      <c r="G998" s="2">
        <v>14729</v>
      </c>
      <c r="H998" s="2" t="s">
        <v>10</v>
      </c>
      <c r="I998" s="2">
        <f>ABS(DF[[#This Row],[Quantity_BEFORE]])</f>
        <v>1</v>
      </c>
      <c r="J998" s="2">
        <f>DF[[#This Row],[QUANTITY]]*DF[[#This Row],[UnitPrice]]</f>
        <v>1.25</v>
      </c>
    </row>
    <row r="999" spans="1:10" x14ac:dyDescent="0.25">
      <c r="A999" s="2">
        <v>536520</v>
      </c>
      <c r="B999" s="2">
        <v>22096</v>
      </c>
      <c r="C999" s="2" t="s">
        <v>671</v>
      </c>
      <c r="D999" s="2">
        <v>1</v>
      </c>
      <c r="E999" s="8">
        <v>40513.529861111114</v>
      </c>
      <c r="F999" s="2">
        <v>1.25</v>
      </c>
      <c r="G999" s="2">
        <v>14729</v>
      </c>
      <c r="H999" s="2" t="s">
        <v>10</v>
      </c>
      <c r="I999" s="2">
        <f>ABS(DF[[#This Row],[Quantity_BEFORE]])</f>
        <v>1</v>
      </c>
      <c r="J999" s="2">
        <f>DF[[#This Row],[QUANTITY]]*DF[[#This Row],[UnitPrice]]</f>
        <v>1.25</v>
      </c>
    </row>
    <row r="1000" spans="1:10" x14ac:dyDescent="0.25">
      <c r="A1000" s="2">
        <v>536520</v>
      </c>
      <c r="B1000" s="2">
        <v>22583</v>
      </c>
      <c r="C1000" s="2" t="s">
        <v>666</v>
      </c>
      <c r="D1000" s="2">
        <v>1</v>
      </c>
      <c r="E1000" s="8">
        <v>40513.529861111114</v>
      </c>
      <c r="F1000" s="2">
        <v>2.5499999999999998</v>
      </c>
      <c r="G1000" s="2">
        <v>14729</v>
      </c>
      <c r="H1000" s="2" t="s">
        <v>10</v>
      </c>
      <c r="I1000" s="2">
        <f>ABS(DF[[#This Row],[Quantity_BEFORE]])</f>
        <v>1</v>
      </c>
      <c r="J1000" s="2">
        <f>DF[[#This Row],[QUANTITY]]*DF[[#This Row],[UnitPrice]]</f>
        <v>2.5499999999999998</v>
      </c>
    </row>
    <row r="1001" spans="1:10" x14ac:dyDescent="0.25">
      <c r="A1001" s="2">
        <v>536520</v>
      </c>
      <c r="B1001" s="2">
        <v>21358</v>
      </c>
      <c r="C1001" s="2" t="s">
        <v>672</v>
      </c>
      <c r="D1001" s="2">
        <v>2</v>
      </c>
      <c r="E1001" s="8">
        <v>40513.529861111114</v>
      </c>
      <c r="F1001" s="2">
        <v>1.25</v>
      </c>
      <c r="G1001" s="2">
        <v>14729</v>
      </c>
      <c r="H1001" s="2" t="s">
        <v>10</v>
      </c>
      <c r="I1001" s="2">
        <f>ABS(DF[[#This Row],[Quantity_BEFORE]])</f>
        <v>2</v>
      </c>
      <c r="J1001" s="2">
        <f>DF[[#This Row],[QUANTITY]]*DF[[#This Row],[UnitPrice]]</f>
        <v>2.5</v>
      </c>
    </row>
    <row r="1002" spans="1:10" x14ac:dyDescent="0.25">
      <c r="A1002" s="2">
        <v>536520</v>
      </c>
      <c r="B1002" s="2">
        <v>21123</v>
      </c>
      <c r="C1002" s="2" t="s">
        <v>673</v>
      </c>
      <c r="D1002" s="2">
        <v>1</v>
      </c>
      <c r="E1002" s="8">
        <v>40513.529861111114</v>
      </c>
      <c r="F1002" s="2">
        <v>1.25</v>
      </c>
      <c r="G1002" s="2">
        <v>14729</v>
      </c>
      <c r="H1002" s="2" t="s">
        <v>10</v>
      </c>
      <c r="I1002" s="2">
        <f>ABS(DF[[#This Row],[Quantity_BEFORE]])</f>
        <v>1</v>
      </c>
      <c r="J1002" s="2">
        <f>DF[[#This Row],[QUANTITY]]*DF[[#This Row],[UnitPrice]]</f>
        <v>1.25</v>
      </c>
    </row>
    <row r="1003" spans="1:10" x14ac:dyDescent="0.25">
      <c r="A1003" s="2">
        <v>536520</v>
      </c>
      <c r="B1003" s="2">
        <v>21124</v>
      </c>
      <c r="C1003" s="2" t="s">
        <v>575</v>
      </c>
      <c r="D1003" s="2">
        <v>1</v>
      </c>
      <c r="E1003" s="8">
        <v>40513.529861111114</v>
      </c>
      <c r="F1003" s="2">
        <v>1.25</v>
      </c>
      <c r="G1003" s="2">
        <v>14729</v>
      </c>
      <c r="H1003" s="2" t="s">
        <v>10</v>
      </c>
      <c r="I1003" s="2">
        <f>ABS(DF[[#This Row],[Quantity_BEFORE]])</f>
        <v>1</v>
      </c>
      <c r="J1003" s="2">
        <f>DF[[#This Row],[QUANTITY]]*DF[[#This Row],[UnitPrice]]</f>
        <v>1.25</v>
      </c>
    </row>
    <row r="1004" spans="1:10" x14ac:dyDescent="0.25">
      <c r="A1004" s="2">
        <v>536520</v>
      </c>
      <c r="B1004" s="2">
        <v>21122</v>
      </c>
      <c r="C1004" s="2" t="s">
        <v>293</v>
      </c>
      <c r="D1004" s="2">
        <v>1</v>
      </c>
      <c r="E1004" s="8">
        <v>40513.529861111114</v>
      </c>
      <c r="F1004" s="2">
        <v>1.25</v>
      </c>
      <c r="G1004" s="2">
        <v>14729</v>
      </c>
      <c r="H1004" s="2" t="s">
        <v>10</v>
      </c>
      <c r="I1004" s="2">
        <f>ABS(DF[[#This Row],[Quantity_BEFORE]])</f>
        <v>1</v>
      </c>
      <c r="J1004" s="2">
        <f>DF[[#This Row],[QUANTITY]]*DF[[#This Row],[UnitPrice]]</f>
        <v>1.25</v>
      </c>
    </row>
    <row r="1005" spans="1:10" x14ac:dyDescent="0.25">
      <c r="A1005" s="2">
        <v>536520</v>
      </c>
      <c r="B1005" s="2">
        <v>84378</v>
      </c>
      <c r="C1005" s="2" t="s">
        <v>341</v>
      </c>
      <c r="D1005" s="2">
        <v>1</v>
      </c>
      <c r="E1005" s="8">
        <v>40513.529861111114</v>
      </c>
      <c r="F1005" s="2">
        <v>1.25</v>
      </c>
      <c r="G1005" s="2">
        <v>14729</v>
      </c>
      <c r="H1005" s="2" t="s">
        <v>10</v>
      </c>
      <c r="I1005" s="2">
        <f>ABS(DF[[#This Row],[Quantity_BEFORE]])</f>
        <v>1</v>
      </c>
      <c r="J1005" s="2">
        <f>DF[[#This Row],[QUANTITY]]*DF[[#This Row],[UnitPrice]]</f>
        <v>1.25</v>
      </c>
    </row>
    <row r="1006" spans="1:10" x14ac:dyDescent="0.25">
      <c r="A1006" s="2">
        <v>536520</v>
      </c>
      <c r="B1006" s="2">
        <v>21985</v>
      </c>
      <c r="C1006" s="2" t="s">
        <v>570</v>
      </c>
      <c r="D1006" s="2">
        <v>12</v>
      </c>
      <c r="E1006" s="8">
        <v>40513.529861111114</v>
      </c>
      <c r="F1006" s="2">
        <v>0.28999999999999998</v>
      </c>
      <c r="G1006" s="2">
        <v>14729</v>
      </c>
      <c r="H1006" s="2" t="s">
        <v>10</v>
      </c>
      <c r="I1006" s="2">
        <f>ABS(DF[[#This Row],[Quantity_BEFORE]])</f>
        <v>12</v>
      </c>
      <c r="J1006" s="2">
        <f>DF[[#This Row],[QUANTITY]]*DF[[#This Row],[UnitPrice]]</f>
        <v>3.4799999999999995</v>
      </c>
    </row>
    <row r="1007" spans="1:10" x14ac:dyDescent="0.25">
      <c r="A1007" s="2">
        <v>536520</v>
      </c>
      <c r="B1007" s="2">
        <v>21427</v>
      </c>
      <c r="C1007" s="2" t="s">
        <v>674</v>
      </c>
      <c r="D1007" s="2">
        <v>2</v>
      </c>
      <c r="E1007" s="8">
        <v>40513.529861111114</v>
      </c>
      <c r="F1007" s="2">
        <v>2.1</v>
      </c>
      <c r="G1007" s="2">
        <v>14729</v>
      </c>
      <c r="H1007" s="2" t="s">
        <v>10</v>
      </c>
      <c r="I1007" s="2">
        <f>ABS(DF[[#This Row],[Quantity_BEFORE]])</f>
        <v>2</v>
      </c>
      <c r="J1007" s="2">
        <f>DF[[#This Row],[QUANTITY]]*DF[[#This Row],[UnitPrice]]</f>
        <v>4.2</v>
      </c>
    </row>
    <row r="1008" spans="1:10" x14ac:dyDescent="0.25">
      <c r="A1008" s="2">
        <v>536520</v>
      </c>
      <c r="B1008" s="2">
        <v>21034</v>
      </c>
      <c r="C1008" s="2" t="s">
        <v>443</v>
      </c>
      <c r="D1008" s="2">
        <v>2</v>
      </c>
      <c r="E1008" s="8">
        <v>40513.529861111114</v>
      </c>
      <c r="F1008" s="2">
        <v>0.95</v>
      </c>
      <c r="G1008" s="2">
        <v>14729</v>
      </c>
      <c r="H1008" s="2" t="s">
        <v>10</v>
      </c>
      <c r="I1008" s="2">
        <f>ABS(DF[[#This Row],[Quantity_BEFORE]])</f>
        <v>2</v>
      </c>
      <c r="J1008" s="2">
        <f>DF[[#This Row],[QUANTITY]]*DF[[#This Row],[UnitPrice]]</f>
        <v>1.9</v>
      </c>
    </row>
    <row r="1009" spans="1:10" x14ac:dyDescent="0.25">
      <c r="A1009" s="2">
        <v>536520</v>
      </c>
      <c r="B1009" s="2">
        <v>21930</v>
      </c>
      <c r="C1009" s="2" t="s">
        <v>675</v>
      </c>
      <c r="D1009" s="2">
        <v>1</v>
      </c>
      <c r="E1009" s="8">
        <v>40513.529861111114</v>
      </c>
      <c r="F1009" s="2">
        <v>1.95</v>
      </c>
      <c r="G1009" s="2">
        <v>14729</v>
      </c>
      <c r="H1009" s="2" t="s">
        <v>10</v>
      </c>
      <c r="I1009" s="2">
        <f>ABS(DF[[#This Row],[Quantity_BEFORE]])</f>
        <v>1</v>
      </c>
      <c r="J1009" s="2">
        <f>DF[[#This Row],[QUANTITY]]*DF[[#This Row],[UnitPrice]]</f>
        <v>1.95</v>
      </c>
    </row>
    <row r="1010" spans="1:10" x14ac:dyDescent="0.25">
      <c r="A1010" s="2">
        <v>536520</v>
      </c>
      <c r="B1010" s="2">
        <v>20772</v>
      </c>
      <c r="C1010" s="2" t="s">
        <v>676</v>
      </c>
      <c r="D1010" s="2">
        <v>1</v>
      </c>
      <c r="E1010" s="8">
        <v>40513.529861111114</v>
      </c>
      <c r="F1010" s="2">
        <v>2.5499999999999998</v>
      </c>
      <c r="G1010" s="2">
        <v>14729</v>
      </c>
      <c r="H1010" s="2" t="s">
        <v>10</v>
      </c>
      <c r="I1010" s="2">
        <f>ABS(DF[[#This Row],[Quantity_BEFORE]])</f>
        <v>1</v>
      </c>
      <c r="J1010" s="2">
        <f>DF[[#This Row],[QUANTITY]]*DF[[#This Row],[UnitPrice]]</f>
        <v>2.5499999999999998</v>
      </c>
    </row>
    <row r="1011" spans="1:10" x14ac:dyDescent="0.25">
      <c r="A1011" s="2">
        <v>536520</v>
      </c>
      <c r="B1011" s="2">
        <v>22469</v>
      </c>
      <c r="C1011" s="2" t="s">
        <v>158</v>
      </c>
      <c r="D1011" s="2">
        <v>2</v>
      </c>
      <c r="E1011" s="8">
        <v>40513.529861111114</v>
      </c>
      <c r="F1011" s="2">
        <v>1.65</v>
      </c>
      <c r="G1011" s="2">
        <v>14729</v>
      </c>
      <c r="H1011" s="2" t="s">
        <v>10</v>
      </c>
      <c r="I1011" s="2">
        <f>ABS(DF[[#This Row],[Quantity_BEFORE]])</f>
        <v>2</v>
      </c>
      <c r="J1011" s="2">
        <f>DF[[#This Row],[QUANTITY]]*DF[[#This Row],[UnitPrice]]</f>
        <v>3.3</v>
      </c>
    </row>
    <row r="1012" spans="1:10" x14ac:dyDescent="0.25">
      <c r="A1012" s="2">
        <v>536520</v>
      </c>
      <c r="B1012" s="2" t="s">
        <v>677</v>
      </c>
      <c r="C1012" s="2" t="s">
        <v>678</v>
      </c>
      <c r="D1012" s="2">
        <v>12</v>
      </c>
      <c r="E1012" s="8">
        <v>40513.529861111114</v>
      </c>
      <c r="F1012" s="2">
        <v>0.42</v>
      </c>
      <c r="G1012" s="2">
        <v>14729</v>
      </c>
      <c r="H1012" s="2" t="s">
        <v>10</v>
      </c>
      <c r="I1012" s="2">
        <f>ABS(DF[[#This Row],[Quantity_BEFORE]])</f>
        <v>12</v>
      </c>
      <c r="J1012" s="2">
        <f>DF[[#This Row],[QUANTITY]]*DF[[#This Row],[UnitPrice]]</f>
        <v>5.04</v>
      </c>
    </row>
    <row r="1013" spans="1:10" x14ac:dyDescent="0.25">
      <c r="A1013" s="2">
        <v>536520</v>
      </c>
      <c r="B1013" s="2" t="s">
        <v>679</v>
      </c>
      <c r="C1013" s="2" t="s">
        <v>680</v>
      </c>
      <c r="D1013" s="2">
        <v>1</v>
      </c>
      <c r="E1013" s="8">
        <v>40513.529861111114</v>
      </c>
      <c r="F1013" s="2">
        <v>1.45</v>
      </c>
      <c r="G1013" s="2">
        <v>14729</v>
      </c>
      <c r="H1013" s="2" t="s">
        <v>10</v>
      </c>
      <c r="I1013" s="2">
        <f>ABS(DF[[#This Row],[Quantity_BEFORE]])</f>
        <v>1</v>
      </c>
      <c r="J1013" s="2">
        <f>DF[[#This Row],[QUANTITY]]*DF[[#This Row],[UnitPrice]]</f>
        <v>1.45</v>
      </c>
    </row>
    <row r="1014" spans="1:10" x14ac:dyDescent="0.25">
      <c r="A1014" s="2">
        <v>536520</v>
      </c>
      <c r="B1014" s="2">
        <v>20754</v>
      </c>
      <c r="C1014" s="2" t="s">
        <v>681</v>
      </c>
      <c r="D1014" s="2">
        <v>1</v>
      </c>
      <c r="E1014" s="8">
        <v>40513.529861111114</v>
      </c>
      <c r="F1014" s="2">
        <v>2.1</v>
      </c>
      <c r="G1014" s="2">
        <v>14729</v>
      </c>
      <c r="H1014" s="2" t="s">
        <v>10</v>
      </c>
      <c r="I1014" s="2">
        <f>ABS(DF[[#This Row],[Quantity_BEFORE]])</f>
        <v>1</v>
      </c>
      <c r="J1014" s="2">
        <f>DF[[#This Row],[QUANTITY]]*DF[[#This Row],[UnitPrice]]</f>
        <v>2.1</v>
      </c>
    </row>
    <row r="1015" spans="1:10" x14ac:dyDescent="0.25">
      <c r="A1015" s="2">
        <v>536520</v>
      </c>
      <c r="B1015" s="2" t="s">
        <v>682</v>
      </c>
      <c r="C1015" s="2" t="s">
        <v>683</v>
      </c>
      <c r="D1015" s="2">
        <v>1</v>
      </c>
      <c r="E1015" s="8">
        <v>40513.529861111114</v>
      </c>
      <c r="F1015" s="2">
        <v>1.25</v>
      </c>
      <c r="G1015" s="2">
        <v>14729</v>
      </c>
      <c r="H1015" s="2" t="s">
        <v>10</v>
      </c>
      <c r="I1015" s="2">
        <f>ABS(DF[[#This Row],[Quantity_BEFORE]])</f>
        <v>1</v>
      </c>
      <c r="J1015" s="2">
        <f>DF[[#This Row],[QUANTITY]]*DF[[#This Row],[UnitPrice]]</f>
        <v>1.25</v>
      </c>
    </row>
    <row r="1016" spans="1:10" x14ac:dyDescent="0.25">
      <c r="A1016" s="2">
        <v>536520</v>
      </c>
      <c r="B1016" s="2">
        <v>21111</v>
      </c>
      <c r="C1016" s="2" t="s">
        <v>684</v>
      </c>
      <c r="D1016" s="2">
        <v>1</v>
      </c>
      <c r="E1016" s="8">
        <v>40513.529861111114</v>
      </c>
      <c r="F1016" s="2">
        <v>2.95</v>
      </c>
      <c r="G1016" s="2">
        <v>14729</v>
      </c>
      <c r="H1016" s="2" t="s">
        <v>10</v>
      </c>
      <c r="I1016" s="2">
        <f>ABS(DF[[#This Row],[Quantity_BEFORE]])</f>
        <v>1</v>
      </c>
      <c r="J1016" s="2">
        <f>DF[[#This Row],[QUANTITY]]*DF[[#This Row],[UnitPrice]]</f>
        <v>2.95</v>
      </c>
    </row>
    <row r="1017" spans="1:10" x14ac:dyDescent="0.25">
      <c r="A1017" s="2">
        <v>536520</v>
      </c>
      <c r="B1017" s="2">
        <v>22501</v>
      </c>
      <c r="C1017" s="2" t="s">
        <v>685</v>
      </c>
      <c r="D1017" s="2">
        <v>1</v>
      </c>
      <c r="E1017" s="8">
        <v>40513.529861111114</v>
      </c>
      <c r="F1017" s="2">
        <v>9.9499999999999993</v>
      </c>
      <c r="G1017" s="2">
        <v>14729</v>
      </c>
      <c r="H1017" s="2" t="s">
        <v>10</v>
      </c>
      <c r="I1017" s="2">
        <f>ABS(DF[[#This Row],[Quantity_BEFORE]])</f>
        <v>1</v>
      </c>
      <c r="J1017" s="2">
        <f>DF[[#This Row],[QUANTITY]]*DF[[#This Row],[UnitPrice]]</f>
        <v>9.9499999999999993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0"/>
  <sheetViews>
    <sheetView workbookViewId="0">
      <selection activeCell="S3" sqref="S3"/>
    </sheetView>
  </sheetViews>
  <sheetFormatPr defaultRowHeight="21" x14ac:dyDescent="0.35"/>
  <cols>
    <col min="1" max="1" width="4.5703125" style="4" customWidth="1"/>
    <col min="2" max="5" width="9.140625" style="3"/>
    <col min="6" max="6" width="16.140625" style="3" customWidth="1"/>
    <col min="7" max="7" width="15" style="3" customWidth="1"/>
    <col min="8" max="8" width="21" style="3" customWidth="1"/>
    <col min="9" max="9" width="3" style="3" customWidth="1"/>
    <col min="10" max="16384" width="9.140625" style="3"/>
  </cols>
  <sheetData>
    <row r="1" spans="1:21" ht="43.5" customHeight="1" x14ac:dyDescent="0.7">
      <c r="A1" s="5">
        <v>1</v>
      </c>
      <c r="B1" s="22" t="s">
        <v>687</v>
      </c>
      <c r="C1" s="22"/>
      <c r="D1" s="22"/>
      <c r="E1" s="22"/>
      <c r="F1" s="22"/>
      <c r="G1" s="22"/>
      <c r="H1" s="22"/>
      <c r="I1" s="22"/>
      <c r="J1" s="22"/>
      <c r="K1" s="22"/>
      <c r="L1" s="22"/>
      <c r="M1" s="22"/>
      <c r="N1" s="22"/>
      <c r="O1" s="22"/>
      <c r="P1" s="22"/>
      <c r="Q1" s="22"/>
      <c r="R1" s="22"/>
      <c r="S1" s="22"/>
      <c r="T1" s="22"/>
      <c r="U1" s="22"/>
    </row>
    <row r="2" spans="1:21" ht="23.25" x14ac:dyDescent="0.35">
      <c r="B2" s="7"/>
      <c r="C2" s="7"/>
      <c r="D2" s="7"/>
      <c r="E2" s="7"/>
      <c r="F2" s="11"/>
      <c r="G2" s="11" t="s">
        <v>686</v>
      </c>
      <c r="H2" s="11" t="s">
        <v>693</v>
      </c>
      <c r="I2" s="7"/>
      <c r="J2" s="7"/>
      <c r="K2" s="7"/>
      <c r="L2" s="7"/>
      <c r="M2" s="7"/>
      <c r="N2" s="7"/>
      <c r="O2" s="7"/>
      <c r="P2" s="7"/>
      <c r="Q2" s="7"/>
      <c r="R2" s="7"/>
      <c r="S2" s="7"/>
      <c r="T2" s="7"/>
      <c r="U2" s="7"/>
    </row>
    <row r="3" spans="1:21" ht="23.25" x14ac:dyDescent="0.35">
      <c r="B3" s="7"/>
      <c r="C3" s="7"/>
      <c r="D3" s="7"/>
      <c r="E3" s="7"/>
      <c r="F3" s="12" t="s">
        <v>688</v>
      </c>
      <c r="G3" s="11">
        <f>AVERAGE(DF[AMOUNT])</f>
        <v>24.55672244094497</v>
      </c>
      <c r="H3" s="11">
        <f>AVERAGE(DF[UnitPrice])</f>
        <v>3.0213779527558935</v>
      </c>
      <c r="I3" s="7"/>
      <c r="J3" s="7"/>
      <c r="K3" s="7"/>
      <c r="L3" s="7"/>
      <c r="M3" s="7"/>
      <c r="N3" s="7"/>
      <c r="O3" s="7"/>
      <c r="P3" s="7"/>
      <c r="Q3" s="7"/>
      <c r="R3" s="7"/>
      <c r="S3" s="7"/>
      <c r="T3" s="7"/>
      <c r="U3" s="7"/>
    </row>
    <row r="4" spans="1:21" ht="23.25" x14ac:dyDescent="0.35">
      <c r="B4" s="7"/>
      <c r="C4" s="7"/>
      <c r="D4" s="7"/>
      <c r="E4" s="9"/>
      <c r="F4" s="12" t="s">
        <v>694</v>
      </c>
      <c r="G4" s="11">
        <f>MEDIAN(DF[AMOUNT])</f>
        <v>10.35</v>
      </c>
      <c r="H4" s="11">
        <f>MEDIAN(DF[UnitPrice])</f>
        <v>2.1</v>
      </c>
      <c r="I4" s="10"/>
      <c r="J4" s="7"/>
      <c r="K4" s="7"/>
      <c r="L4" s="7"/>
      <c r="M4" s="7"/>
      <c r="N4" s="7"/>
      <c r="O4" s="7"/>
      <c r="P4" s="7"/>
      <c r="Q4" s="7"/>
      <c r="R4" s="7"/>
      <c r="S4" s="7"/>
      <c r="T4" s="7"/>
      <c r="U4" s="7"/>
    </row>
    <row r="5" spans="1:21" ht="23.25" x14ac:dyDescent="0.35">
      <c r="B5" s="7"/>
      <c r="C5" s="7"/>
      <c r="D5" s="7"/>
      <c r="E5" s="9"/>
      <c r="F5" s="12" t="s">
        <v>689</v>
      </c>
      <c r="G5" s="11">
        <f>MIN(DF[AMOUNT])</f>
        <v>0</v>
      </c>
      <c r="H5" s="11">
        <f>MIN(DF[UnitPrice])</f>
        <v>0</v>
      </c>
      <c r="I5" s="10"/>
      <c r="J5" s="7"/>
      <c r="K5" s="7"/>
      <c r="L5" s="7"/>
      <c r="M5" s="7"/>
      <c r="N5" s="7"/>
      <c r="O5" s="7"/>
      <c r="P5" s="7"/>
      <c r="Q5" s="7"/>
      <c r="R5" s="7"/>
      <c r="S5" s="7"/>
      <c r="T5" s="7"/>
      <c r="U5" s="7"/>
    </row>
    <row r="6" spans="1:21" ht="23.25" x14ac:dyDescent="0.35">
      <c r="B6" s="7"/>
      <c r="C6" s="7"/>
      <c r="D6" s="7"/>
      <c r="E6" s="9"/>
      <c r="F6" s="12" t="s">
        <v>690</v>
      </c>
      <c r="G6" s="11">
        <f>MEDIAN(DF[UnitPrice])</f>
        <v>2.1</v>
      </c>
      <c r="H6" s="11">
        <f>MAX(DF[UnitPrice])</f>
        <v>165</v>
      </c>
      <c r="I6" s="10"/>
      <c r="J6" s="7"/>
      <c r="K6" s="7"/>
      <c r="L6" s="7"/>
      <c r="M6" s="7"/>
      <c r="N6" s="7"/>
      <c r="O6" s="7"/>
      <c r="P6" s="7"/>
      <c r="Q6" s="7"/>
      <c r="R6" s="7"/>
      <c r="S6" s="7"/>
      <c r="T6" s="7"/>
      <c r="U6" s="7"/>
    </row>
    <row r="7" spans="1:21" ht="23.25" x14ac:dyDescent="0.35">
      <c r="B7" s="7"/>
      <c r="C7" s="7"/>
      <c r="D7" s="7"/>
      <c r="E7" s="9"/>
      <c r="F7" s="12" t="s">
        <v>695</v>
      </c>
      <c r="G7" s="11">
        <f>_xlfn.PERCENTILE.EXC(DF[AMOUNT],0.25)</f>
        <v>3.4799999999999995</v>
      </c>
      <c r="H7" s="11">
        <f>_xlfn.PERCENTILE.EXC(DF[UnitPrice],0.25)</f>
        <v>1.25</v>
      </c>
      <c r="I7" s="10"/>
      <c r="J7" s="7"/>
      <c r="K7" s="7"/>
      <c r="L7" s="7"/>
      <c r="M7" s="7"/>
      <c r="N7" s="7"/>
      <c r="O7" s="7"/>
      <c r="P7" s="7"/>
      <c r="Q7" s="7"/>
      <c r="R7" s="7"/>
      <c r="S7" s="7"/>
      <c r="T7" s="7"/>
      <c r="U7" s="7"/>
    </row>
    <row r="8" spans="1:21" ht="21.75" customHeight="1" x14ac:dyDescent="0.35">
      <c r="B8" s="7"/>
      <c r="C8" s="7"/>
      <c r="D8" s="7"/>
      <c r="E8" s="9"/>
      <c r="F8" s="12" t="s">
        <v>696</v>
      </c>
      <c r="G8" s="11">
        <f>_xlfn.PERCENTILE.EXC(DF[AMOUNT],0.75)</f>
        <v>20.100000000000001</v>
      </c>
      <c r="H8" s="11">
        <f>_xlfn.PERCENTILE.EXC(DF[UnitPrice],0.75)</f>
        <v>3.75</v>
      </c>
      <c r="I8" s="10"/>
      <c r="J8" s="7"/>
      <c r="K8" s="7"/>
      <c r="L8" s="7"/>
      <c r="M8" s="7"/>
      <c r="N8" s="7"/>
      <c r="O8" s="7"/>
      <c r="P8" s="7"/>
      <c r="Q8" s="7"/>
      <c r="R8" s="7"/>
      <c r="S8" s="7"/>
      <c r="T8" s="7"/>
      <c r="U8" s="7"/>
    </row>
    <row r="9" spans="1:21" x14ac:dyDescent="0.35">
      <c r="B9" s="7"/>
      <c r="C9" s="7"/>
      <c r="D9" s="7"/>
      <c r="E9" s="7"/>
      <c r="F9" s="7"/>
      <c r="G9" s="7"/>
      <c r="H9" s="7"/>
      <c r="I9" s="7"/>
      <c r="J9" s="7"/>
      <c r="K9" s="7"/>
      <c r="L9" s="7"/>
      <c r="M9" s="7"/>
      <c r="N9" s="7"/>
      <c r="O9" s="7"/>
      <c r="P9" s="7"/>
      <c r="Q9" s="7"/>
      <c r="R9" s="7"/>
      <c r="S9" s="7"/>
      <c r="T9" s="7"/>
      <c r="U9" s="7"/>
    </row>
    <row r="10" spans="1:21" x14ac:dyDescent="0.35">
      <c r="B10" s="7"/>
      <c r="C10" s="7"/>
      <c r="D10" s="7"/>
      <c r="E10" s="7"/>
      <c r="F10" s="7"/>
      <c r="G10" s="7"/>
      <c r="H10" s="7"/>
      <c r="I10" s="7"/>
      <c r="J10" s="7"/>
      <c r="K10" s="7"/>
      <c r="L10" s="7"/>
      <c r="M10" s="7"/>
      <c r="N10" s="7"/>
      <c r="O10" s="7"/>
      <c r="P10" s="7"/>
      <c r="Q10" s="7"/>
      <c r="R10" s="7"/>
      <c r="S10" s="7"/>
      <c r="T10" s="7"/>
      <c r="U10" s="7"/>
    </row>
    <row r="11" spans="1:21" x14ac:dyDescent="0.35">
      <c r="B11" s="7"/>
      <c r="C11" s="7"/>
      <c r="D11" s="7"/>
      <c r="E11" s="7"/>
      <c r="F11" s="7"/>
      <c r="G11" s="7"/>
      <c r="H11" s="7"/>
      <c r="I11" s="7"/>
      <c r="J11" s="7"/>
      <c r="K11" s="7"/>
      <c r="L11" s="7"/>
      <c r="M11" s="7"/>
      <c r="N11" s="7"/>
      <c r="O11" s="7"/>
      <c r="P11" s="7"/>
      <c r="Q11" s="7"/>
      <c r="R11" s="7"/>
      <c r="S11" s="7"/>
      <c r="T11" s="7"/>
      <c r="U11" s="7"/>
    </row>
    <row r="12" spans="1:21" x14ac:dyDescent="0.35">
      <c r="B12" s="7"/>
      <c r="C12" s="7"/>
      <c r="D12" s="7"/>
      <c r="E12" s="7"/>
      <c r="F12" s="7"/>
      <c r="G12" s="7"/>
      <c r="H12" s="7"/>
      <c r="I12" s="7"/>
      <c r="J12" s="7"/>
      <c r="K12" s="7"/>
      <c r="L12" s="7"/>
      <c r="M12" s="7"/>
      <c r="N12" s="7"/>
      <c r="O12" s="7"/>
      <c r="P12" s="7"/>
      <c r="Q12" s="7"/>
      <c r="R12" s="7"/>
      <c r="S12" s="7"/>
      <c r="T12" s="7"/>
      <c r="U12" s="7"/>
    </row>
    <row r="13" spans="1:21" x14ac:dyDescent="0.35">
      <c r="B13" s="7"/>
      <c r="C13" s="7"/>
      <c r="D13" s="7"/>
      <c r="E13" s="7"/>
      <c r="F13" s="7"/>
      <c r="G13" s="7"/>
      <c r="H13" s="7"/>
      <c r="I13" s="7"/>
      <c r="J13" s="7"/>
      <c r="K13" s="7"/>
      <c r="L13" s="7"/>
      <c r="M13" s="7"/>
      <c r="N13" s="7"/>
      <c r="O13" s="7"/>
      <c r="P13" s="7"/>
      <c r="Q13" s="7"/>
      <c r="R13" s="7"/>
      <c r="S13" s="7"/>
      <c r="T13" s="7"/>
      <c r="U13" s="7"/>
    </row>
    <row r="14" spans="1:21" x14ac:dyDescent="0.35">
      <c r="B14" s="7"/>
      <c r="C14" s="7"/>
      <c r="D14" s="7"/>
      <c r="E14" s="7"/>
      <c r="F14" s="7"/>
      <c r="G14" s="7"/>
      <c r="H14" s="7"/>
      <c r="I14" s="7"/>
      <c r="J14" s="7"/>
      <c r="K14" s="7"/>
      <c r="L14" s="7"/>
      <c r="M14" s="7"/>
      <c r="N14" s="7"/>
      <c r="O14" s="7"/>
      <c r="P14" s="7"/>
      <c r="Q14" s="7"/>
      <c r="R14" s="7"/>
      <c r="S14" s="7"/>
      <c r="T14" s="7"/>
      <c r="U14" s="7"/>
    </row>
    <row r="15" spans="1:21" x14ac:dyDescent="0.35">
      <c r="B15" s="7"/>
      <c r="C15" s="7"/>
      <c r="D15" s="7"/>
      <c r="E15" s="7"/>
      <c r="F15" s="7"/>
      <c r="G15" s="7"/>
      <c r="H15" s="7"/>
      <c r="I15" s="7"/>
      <c r="J15" s="7"/>
      <c r="K15" s="7"/>
      <c r="L15" s="7"/>
      <c r="M15" s="7"/>
      <c r="N15" s="7"/>
      <c r="O15" s="7"/>
      <c r="P15" s="7"/>
      <c r="Q15" s="7"/>
      <c r="R15" s="7"/>
      <c r="S15" s="7"/>
      <c r="T15" s="7"/>
      <c r="U15" s="7"/>
    </row>
    <row r="16" spans="1:21" x14ac:dyDescent="0.35">
      <c r="B16" s="7"/>
      <c r="C16" s="7"/>
      <c r="D16" s="7"/>
      <c r="E16" s="7"/>
      <c r="F16" s="7"/>
      <c r="G16" s="7"/>
      <c r="H16" s="7"/>
      <c r="I16" s="7"/>
      <c r="J16" s="7"/>
      <c r="K16" s="7"/>
      <c r="L16" s="7"/>
      <c r="M16" s="7"/>
      <c r="N16" s="7"/>
      <c r="O16" s="7"/>
      <c r="P16" s="7"/>
      <c r="Q16" s="7"/>
      <c r="R16" s="7"/>
      <c r="S16" s="7"/>
      <c r="T16" s="7"/>
      <c r="U16" s="7"/>
    </row>
    <row r="17" spans="2:21" x14ac:dyDescent="0.35">
      <c r="B17" s="7"/>
      <c r="C17" s="7"/>
      <c r="D17" s="7"/>
      <c r="E17" s="7"/>
      <c r="F17" s="7"/>
      <c r="G17" s="7"/>
      <c r="H17" s="7"/>
      <c r="I17" s="7"/>
      <c r="J17" s="7"/>
      <c r="K17" s="7"/>
      <c r="L17" s="7"/>
      <c r="M17" s="7"/>
      <c r="N17" s="7"/>
      <c r="O17" s="7"/>
      <c r="P17" s="7"/>
      <c r="Q17" s="7"/>
      <c r="R17" s="7"/>
      <c r="S17" s="7"/>
      <c r="T17" s="7"/>
      <c r="U17" s="7"/>
    </row>
    <row r="18" spans="2:21" x14ac:dyDescent="0.35">
      <c r="B18" s="7"/>
      <c r="C18" s="7"/>
      <c r="D18" s="7"/>
      <c r="E18" s="7"/>
      <c r="F18" s="7"/>
      <c r="G18" s="7"/>
      <c r="H18" s="7"/>
      <c r="I18" s="7"/>
      <c r="J18" s="7"/>
      <c r="K18" s="7"/>
      <c r="L18" s="7"/>
      <c r="M18" s="7"/>
      <c r="N18" s="7"/>
      <c r="O18" s="7"/>
      <c r="P18" s="7"/>
      <c r="Q18" s="7"/>
      <c r="R18" s="7"/>
      <c r="S18" s="7"/>
      <c r="T18" s="7"/>
      <c r="U18" s="7"/>
    </row>
    <row r="19" spans="2:21" x14ac:dyDescent="0.35">
      <c r="B19" s="7"/>
      <c r="C19" s="7"/>
      <c r="D19" s="7"/>
      <c r="E19" s="7"/>
      <c r="F19" s="7"/>
      <c r="G19" s="7"/>
      <c r="H19" s="7"/>
      <c r="I19" s="7"/>
      <c r="J19" s="7"/>
      <c r="K19" s="7"/>
      <c r="L19" s="7"/>
      <c r="M19" s="7"/>
      <c r="N19" s="7"/>
      <c r="O19" s="7"/>
      <c r="P19" s="7"/>
      <c r="Q19" s="7"/>
      <c r="R19" s="7"/>
      <c r="S19" s="7"/>
      <c r="T19" s="7"/>
      <c r="U19" s="7"/>
    </row>
    <row r="20" spans="2:21" x14ac:dyDescent="0.35">
      <c r="B20" s="7"/>
      <c r="C20" s="7"/>
      <c r="D20" s="7"/>
      <c r="E20" s="7"/>
      <c r="F20" s="7"/>
      <c r="G20" s="7"/>
      <c r="H20" s="7"/>
      <c r="I20" s="7"/>
      <c r="J20" s="7"/>
      <c r="K20" s="7"/>
      <c r="L20" s="7"/>
      <c r="M20" s="7"/>
      <c r="N20" s="7"/>
      <c r="O20" s="7"/>
      <c r="P20" s="7"/>
      <c r="Q20" s="7"/>
      <c r="R20" s="7"/>
      <c r="S20" s="7"/>
      <c r="T20" s="7"/>
      <c r="U20" s="7"/>
    </row>
    <row r="21" spans="2:21" x14ac:dyDescent="0.35">
      <c r="B21" s="7"/>
      <c r="C21" s="7"/>
      <c r="D21" s="7"/>
      <c r="E21" s="7"/>
      <c r="F21" s="7"/>
      <c r="G21" s="7"/>
      <c r="H21" s="7"/>
      <c r="I21" s="7"/>
      <c r="J21" s="7"/>
      <c r="K21" s="7"/>
      <c r="L21" s="7"/>
      <c r="M21" s="7"/>
      <c r="N21" s="7"/>
      <c r="O21" s="7"/>
      <c r="P21" s="7"/>
      <c r="Q21" s="7"/>
      <c r="R21" s="7"/>
      <c r="S21" s="7"/>
      <c r="T21" s="7"/>
      <c r="U21" s="7"/>
    </row>
    <row r="22" spans="2:21" x14ac:dyDescent="0.35">
      <c r="B22" s="7"/>
      <c r="C22" s="7"/>
      <c r="D22" s="7"/>
      <c r="E22" s="7"/>
      <c r="F22" s="7"/>
      <c r="G22" s="7"/>
      <c r="H22" s="7"/>
      <c r="I22" s="7"/>
      <c r="J22" s="7"/>
      <c r="K22" s="7"/>
      <c r="L22" s="7"/>
      <c r="M22" s="7"/>
      <c r="N22" s="7"/>
      <c r="O22" s="7"/>
      <c r="P22" s="7"/>
      <c r="Q22" s="7"/>
      <c r="R22" s="7"/>
      <c r="S22" s="7"/>
      <c r="T22" s="7"/>
      <c r="U22" s="7"/>
    </row>
    <row r="23" spans="2:21" x14ac:dyDescent="0.35">
      <c r="B23" s="7"/>
      <c r="C23" s="7"/>
      <c r="D23" s="7"/>
      <c r="E23" s="7"/>
      <c r="F23" s="7"/>
      <c r="G23" s="7"/>
      <c r="H23" s="7"/>
      <c r="I23" s="7"/>
      <c r="J23" s="7"/>
      <c r="K23" s="7"/>
      <c r="L23" s="7"/>
      <c r="M23" s="7"/>
      <c r="N23" s="7"/>
      <c r="O23" s="7"/>
      <c r="P23" s="7"/>
      <c r="Q23" s="7"/>
      <c r="R23" s="7"/>
      <c r="S23" s="7"/>
      <c r="T23" s="7"/>
      <c r="U23" s="7"/>
    </row>
    <row r="24" spans="2:21" x14ac:dyDescent="0.35">
      <c r="B24" s="7"/>
      <c r="C24" s="7"/>
      <c r="D24" s="7"/>
      <c r="E24" s="7"/>
      <c r="F24" s="7"/>
      <c r="G24" s="7"/>
      <c r="H24" s="7"/>
      <c r="I24" s="7"/>
      <c r="J24" s="7"/>
      <c r="K24" s="7"/>
      <c r="L24" s="7"/>
      <c r="M24" s="7"/>
      <c r="N24" s="7"/>
      <c r="O24" s="7"/>
      <c r="P24" s="7"/>
      <c r="Q24" s="7"/>
      <c r="R24" s="7"/>
      <c r="S24" s="7"/>
      <c r="T24" s="7"/>
      <c r="U24" s="7"/>
    </row>
    <row r="25" spans="2:21" x14ac:dyDescent="0.35">
      <c r="B25" s="7"/>
      <c r="C25" s="7"/>
      <c r="D25" s="7"/>
      <c r="E25" s="7"/>
      <c r="F25" s="7"/>
      <c r="G25" s="7"/>
      <c r="H25" s="7"/>
      <c r="I25" s="7"/>
      <c r="J25" s="7"/>
      <c r="K25" s="7"/>
      <c r="L25" s="7"/>
      <c r="M25" s="7"/>
      <c r="N25" s="7"/>
      <c r="O25" s="7"/>
      <c r="P25" s="7"/>
      <c r="Q25" s="7"/>
      <c r="R25" s="7"/>
      <c r="S25" s="7"/>
      <c r="T25" s="7"/>
      <c r="U25" s="7"/>
    </row>
    <row r="26" spans="2:21" x14ac:dyDescent="0.35">
      <c r="B26" s="7"/>
      <c r="C26" s="7"/>
      <c r="D26" s="7"/>
      <c r="E26" s="7"/>
      <c r="F26" s="7"/>
      <c r="G26" s="7"/>
      <c r="H26" s="7"/>
      <c r="I26" s="7"/>
      <c r="J26" s="7"/>
      <c r="K26" s="7"/>
      <c r="L26" s="7"/>
      <c r="M26" s="7"/>
      <c r="N26" s="7"/>
      <c r="O26" s="7"/>
      <c r="P26" s="7"/>
      <c r="Q26" s="7"/>
      <c r="R26" s="7"/>
      <c r="S26" s="7"/>
      <c r="T26" s="7"/>
      <c r="U26" s="7"/>
    </row>
    <row r="27" spans="2:21" x14ac:dyDescent="0.35">
      <c r="B27" s="7"/>
      <c r="C27" s="7"/>
      <c r="D27" s="7"/>
      <c r="E27" s="7"/>
      <c r="F27" s="7"/>
      <c r="G27" s="7"/>
      <c r="H27" s="7"/>
      <c r="I27" s="7"/>
      <c r="J27" s="7"/>
      <c r="K27" s="7"/>
      <c r="L27" s="7"/>
      <c r="M27" s="7"/>
      <c r="N27" s="7"/>
      <c r="O27" s="7"/>
      <c r="P27" s="7"/>
      <c r="Q27" s="7"/>
      <c r="R27" s="7"/>
      <c r="S27" s="7"/>
      <c r="T27" s="7"/>
      <c r="U27" s="7"/>
    </row>
    <row r="28" spans="2:21" x14ac:dyDescent="0.35">
      <c r="B28" s="7"/>
      <c r="C28" s="7"/>
      <c r="D28" s="7"/>
      <c r="E28" s="7"/>
      <c r="F28" s="7"/>
      <c r="G28" s="7"/>
      <c r="H28" s="7"/>
      <c r="I28" s="7"/>
      <c r="J28" s="7"/>
      <c r="K28" s="7"/>
      <c r="L28" s="7"/>
      <c r="M28" s="7"/>
      <c r="N28" s="7"/>
      <c r="O28" s="7"/>
      <c r="P28" s="7"/>
      <c r="Q28" s="7"/>
      <c r="R28" s="7"/>
      <c r="S28" s="7"/>
      <c r="T28" s="7"/>
      <c r="U28" s="7"/>
    </row>
    <row r="29" spans="2:21" x14ac:dyDescent="0.35">
      <c r="B29" s="7"/>
      <c r="C29" s="7"/>
      <c r="D29" s="7"/>
      <c r="E29" s="7"/>
      <c r="F29" s="7"/>
      <c r="G29" s="7"/>
      <c r="H29" s="7"/>
      <c r="I29" s="7"/>
      <c r="J29" s="7"/>
      <c r="K29" s="7"/>
      <c r="L29" s="7"/>
      <c r="M29" s="7"/>
      <c r="N29" s="7"/>
      <c r="O29" s="7"/>
      <c r="P29" s="7"/>
      <c r="Q29" s="7"/>
      <c r="R29" s="7"/>
      <c r="S29" s="7"/>
      <c r="T29" s="7"/>
      <c r="U29" s="7"/>
    </row>
    <row r="30" spans="2:21" x14ac:dyDescent="0.35">
      <c r="B30" s="7"/>
      <c r="C30" s="7"/>
      <c r="D30" s="7"/>
      <c r="E30" s="7"/>
      <c r="F30" s="7"/>
      <c r="G30" s="7"/>
      <c r="H30" s="7"/>
      <c r="I30" s="7"/>
      <c r="J30" s="7"/>
      <c r="K30" s="7"/>
      <c r="L30" s="7"/>
      <c r="M30" s="7"/>
      <c r="N30" s="7"/>
      <c r="O30" s="7"/>
      <c r="P30" s="7"/>
      <c r="Q30" s="7"/>
      <c r="R30" s="7"/>
      <c r="S30" s="7"/>
      <c r="T30" s="7"/>
      <c r="U30" s="7"/>
    </row>
    <row r="31" spans="2:21" x14ac:dyDescent="0.35">
      <c r="B31" s="7"/>
      <c r="C31" s="7"/>
      <c r="D31" s="7"/>
      <c r="E31" s="7"/>
      <c r="F31" s="7"/>
      <c r="G31" s="7"/>
      <c r="H31" s="7"/>
      <c r="I31" s="7"/>
      <c r="J31" s="7"/>
      <c r="K31" s="7"/>
      <c r="L31" s="7"/>
      <c r="M31" s="7"/>
      <c r="N31" s="7"/>
      <c r="O31" s="7"/>
      <c r="P31" s="7"/>
      <c r="Q31" s="7"/>
      <c r="R31" s="7"/>
      <c r="S31" s="7"/>
      <c r="T31" s="7"/>
      <c r="U31" s="7"/>
    </row>
    <row r="32" spans="2:21" x14ac:dyDescent="0.35">
      <c r="B32" s="7"/>
      <c r="C32" s="7"/>
      <c r="D32" s="7"/>
      <c r="E32" s="7"/>
      <c r="F32" s="7"/>
      <c r="G32" s="7"/>
      <c r="H32" s="7"/>
      <c r="I32" s="7"/>
      <c r="J32" s="7"/>
      <c r="K32" s="7"/>
      <c r="L32" s="7"/>
      <c r="M32" s="7"/>
      <c r="N32" s="7"/>
      <c r="O32" s="7"/>
      <c r="P32" s="7"/>
      <c r="Q32" s="7"/>
      <c r="R32" s="7"/>
      <c r="S32" s="7"/>
      <c r="T32" s="7"/>
      <c r="U32" s="7"/>
    </row>
    <row r="33" spans="2:21" x14ac:dyDescent="0.35">
      <c r="B33" s="7"/>
      <c r="C33" s="7"/>
      <c r="D33" s="7"/>
      <c r="E33" s="7"/>
      <c r="F33" s="7"/>
      <c r="G33" s="7"/>
      <c r="H33" s="7"/>
      <c r="I33" s="7"/>
      <c r="J33" s="7"/>
      <c r="K33" s="7"/>
      <c r="L33" s="7"/>
      <c r="M33" s="7"/>
      <c r="N33" s="7"/>
      <c r="O33" s="7"/>
      <c r="P33" s="7"/>
      <c r="Q33" s="7"/>
      <c r="R33" s="7"/>
      <c r="S33" s="7"/>
      <c r="T33" s="7"/>
      <c r="U33" s="7"/>
    </row>
    <row r="34" spans="2:21" x14ac:dyDescent="0.35">
      <c r="B34" s="7"/>
      <c r="C34" s="7"/>
      <c r="D34" s="7"/>
      <c r="E34" s="7"/>
      <c r="F34" s="7"/>
      <c r="G34" s="7"/>
      <c r="H34" s="7"/>
      <c r="I34" s="7"/>
      <c r="J34" s="7"/>
      <c r="K34" s="7"/>
      <c r="L34" s="7"/>
      <c r="M34" s="7"/>
      <c r="N34" s="7"/>
      <c r="O34" s="7"/>
      <c r="P34" s="7"/>
      <c r="Q34" s="7"/>
      <c r="R34" s="7"/>
      <c r="S34" s="7"/>
      <c r="T34" s="7"/>
      <c r="U34" s="7"/>
    </row>
    <row r="35" spans="2:21" x14ac:dyDescent="0.35">
      <c r="B35" s="7"/>
      <c r="C35" s="7"/>
      <c r="D35" s="7"/>
      <c r="E35" s="7"/>
      <c r="F35" s="7"/>
      <c r="G35" s="7"/>
      <c r="H35" s="7"/>
      <c r="I35" s="7"/>
      <c r="J35" s="7"/>
      <c r="K35" s="7"/>
      <c r="L35" s="7"/>
      <c r="M35" s="7"/>
      <c r="N35" s="7"/>
      <c r="O35" s="7"/>
      <c r="P35" s="7"/>
      <c r="Q35" s="7"/>
      <c r="R35" s="7"/>
      <c r="S35" s="7"/>
      <c r="T35" s="7"/>
      <c r="U35" s="7"/>
    </row>
    <row r="36" spans="2:21" x14ac:dyDescent="0.35">
      <c r="B36" s="7"/>
      <c r="C36" s="7"/>
      <c r="D36" s="7"/>
      <c r="E36" s="7"/>
      <c r="F36" s="7"/>
      <c r="G36" s="7"/>
      <c r="H36" s="7"/>
      <c r="I36" s="7"/>
      <c r="J36" s="7"/>
      <c r="K36" s="7"/>
      <c r="L36" s="7"/>
      <c r="M36" s="7"/>
      <c r="N36" s="7"/>
      <c r="O36" s="7"/>
      <c r="P36" s="7"/>
      <c r="Q36" s="7"/>
      <c r="R36" s="7"/>
      <c r="S36" s="7"/>
      <c r="T36" s="7"/>
      <c r="U36" s="7"/>
    </row>
    <row r="37" spans="2:21" x14ac:dyDescent="0.35">
      <c r="B37" s="7"/>
      <c r="C37" s="7"/>
      <c r="D37" s="7"/>
      <c r="E37" s="7"/>
      <c r="F37" s="7"/>
      <c r="G37" s="7"/>
      <c r="H37" s="7"/>
      <c r="I37" s="7"/>
      <c r="J37" s="7"/>
      <c r="K37" s="7"/>
      <c r="L37" s="7"/>
      <c r="M37" s="7"/>
      <c r="N37" s="7"/>
      <c r="O37" s="7"/>
      <c r="P37" s="7"/>
      <c r="Q37" s="7"/>
      <c r="R37" s="7"/>
      <c r="S37" s="7"/>
      <c r="T37" s="7"/>
      <c r="U37" s="7"/>
    </row>
    <row r="38" spans="2:21" x14ac:dyDescent="0.35">
      <c r="B38" s="7"/>
      <c r="C38" s="7"/>
      <c r="D38" s="7"/>
      <c r="E38" s="7"/>
      <c r="F38" s="7"/>
      <c r="G38" s="7"/>
      <c r="H38" s="7"/>
      <c r="I38" s="7"/>
      <c r="J38" s="7"/>
      <c r="K38" s="7"/>
      <c r="L38" s="7"/>
      <c r="M38" s="7"/>
      <c r="N38" s="7"/>
      <c r="O38" s="7"/>
      <c r="P38" s="7"/>
      <c r="Q38" s="7"/>
      <c r="R38" s="7"/>
      <c r="S38" s="7"/>
      <c r="T38" s="7"/>
      <c r="U38" s="7"/>
    </row>
    <row r="39" spans="2:21" x14ac:dyDescent="0.35">
      <c r="B39" s="7"/>
      <c r="C39" s="7"/>
      <c r="D39" s="7"/>
      <c r="E39" s="7"/>
      <c r="F39" s="7"/>
      <c r="G39" s="7"/>
      <c r="H39" s="7"/>
      <c r="I39" s="7"/>
      <c r="J39" s="7"/>
      <c r="K39" s="7"/>
      <c r="L39" s="7"/>
      <c r="M39" s="7"/>
      <c r="N39" s="7"/>
      <c r="O39" s="7"/>
      <c r="P39" s="7"/>
      <c r="Q39" s="7"/>
      <c r="R39" s="7"/>
      <c r="S39" s="7"/>
      <c r="T39" s="7"/>
      <c r="U39" s="7"/>
    </row>
    <row r="40" spans="2:21" x14ac:dyDescent="0.35">
      <c r="B40" s="7"/>
      <c r="C40" s="7"/>
      <c r="D40" s="7"/>
      <c r="E40" s="7"/>
      <c r="F40" s="7"/>
      <c r="G40" s="7"/>
      <c r="H40" s="7"/>
      <c r="I40" s="7"/>
      <c r="J40" s="7"/>
      <c r="K40" s="7"/>
      <c r="L40" s="7"/>
      <c r="M40" s="7"/>
      <c r="N40" s="7"/>
      <c r="O40" s="7"/>
      <c r="P40" s="7"/>
      <c r="Q40" s="7"/>
      <c r="R40" s="7"/>
      <c r="S40" s="7"/>
      <c r="T40" s="7"/>
      <c r="U40" s="7"/>
    </row>
    <row r="41" spans="2:21" x14ac:dyDescent="0.35">
      <c r="B41" s="7"/>
      <c r="C41" s="7"/>
      <c r="D41" s="7"/>
      <c r="E41" s="7"/>
      <c r="F41" s="7"/>
      <c r="G41" s="7"/>
      <c r="H41" s="7"/>
      <c r="I41" s="7"/>
      <c r="J41" s="7"/>
      <c r="K41" s="7"/>
      <c r="L41" s="7"/>
      <c r="M41" s="7"/>
      <c r="N41" s="7"/>
      <c r="O41" s="7"/>
      <c r="P41" s="7"/>
      <c r="Q41" s="7"/>
      <c r="R41" s="7"/>
      <c r="S41" s="7"/>
      <c r="T41" s="7"/>
      <c r="U41" s="7"/>
    </row>
    <row r="42" spans="2:21" x14ac:dyDescent="0.35">
      <c r="B42" s="7"/>
      <c r="C42" s="7"/>
      <c r="D42" s="7"/>
      <c r="E42" s="7"/>
      <c r="F42" s="7"/>
      <c r="G42" s="7"/>
      <c r="H42" s="7"/>
      <c r="I42" s="7"/>
      <c r="J42" s="7"/>
      <c r="K42" s="7"/>
      <c r="L42" s="7"/>
      <c r="M42" s="7"/>
      <c r="N42" s="7"/>
      <c r="O42" s="7"/>
      <c r="P42" s="7"/>
      <c r="Q42" s="7"/>
      <c r="R42" s="7"/>
      <c r="S42" s="7"/>
      <c r="T42" s="7"/>
      <c r="U42" s="7"/>
    </row>
    <row r="43" spans="2:21" x14ac:dyDescent="0.35">
      <c r="B43" s="7"/>
      <c r="C43" s="7"/>
      <c r="D43" s="7"/>
      <c r="E43" s="7"/>
      <c r="F43" s="7"/>
      <c r="G43" s="7"/>
      <c r="H43" s="7"/>
      <c r="I43" s="7"/>
      <c r="J43" s="7"/>
      <c r="K43" s="7"/>
      <c r="L43" s="7"/>
      <c r="M43" s="7"/>
      <c r="N43" s="7"/>
      <c r="O43" s="7"/>
      <c r="P43" s="7"/>
      <c r="Q43" s="7"/>
      <c r="R43" s="7"/>
      <c r="S43" s="7"/>
      <c r="T43" s="7"/>
      <c r="U43" s="7"/>
    </row>
    <row r="44" spans="2:21" x14ac:dyDescent="0.35">
      <c r="B44" s="7"/>
      <c r="C44" s="7"/>
      <c r="D44" s="7"/>
      <c r="E44" s="7"/>
      <c r="F44" s="7"/>
      <c r="G44" s="7"/>
      <c r="H44" s="7"/>
      <c r="I44" s="7"/>
      <c r="J44" s="7"/>
      <c r="K44" s="7"/>
      <c r="L44" s="7"/>
      <c r="M44" s="7"/>
      <c r="N44" s="7"/>
      <c r="O44" s="7"/>
      <c r="P44" s="7"/>
      <c r="Q44" s="7"/>
      <c r="R44" s="7"/>
      <c r="S44" s="7"/>
      <c r="T44" s="7"/>
      <c r="U44" s="7"/>
    </row>
    <row r="45" spans="2:21" x14ac:dyDescent="0.35">
      <c r="B45" s="7"/>
      <c r="C45" s="7"/>
      <c r="D45" s="7"/>
      <c r="E45" s="7"/>
      <c r="F45" s="7"/>
      <c r="G45" s="7"/>
      <c r="H45" s="7"/>
      <c r="I45" s="7"/>
      <c r="J45" s="7"/>
      <c r="K45" s="7"/>
      <c r="L45" s="7"/>
      <c r="M45" s="7"/>
      <c r="N45" s="7"/>
      <c r="O45" s="7"/>
      <c r="P45" s="7"/>
      <c r="Q45" s="7"/>
      <c r="R45" s="7"/>
      <c r="S45" s="7"/>
      <c r="T45" s="7"/>
      <c r="U45" s="7"/>
    </row>
    <row r="46" spans="2:21" x14ac:dyDescent="0.35">
      <c r="B46" s="7"/>
      <c r="C46" s="7"/>
      <c r="D46" s="7"/>
      <c r="E46" s="7"/>
      <c r="F46" s="7"/>
      <c r="G46" s="7"/>
      <c r="H46" s="7"/>
      <c r="I46" s="7"/>
      <c r="J46" s="7"/>
      <c r="K46" s="7"/>
      <c r="L46" s="7"/>
      <c r="M46" s="7"/>
      <c r="N46" s="7"/>
      <c r="O46" s="7"/>
      <c r="P46" s="7"/>
      <c r="Q46" s="7"/>
      <c r="R46" s="7"/>
      <c r="S46" s="7"/>
      <c r="T46" s="7"/>
      <c r="U46" s="7"/>
    </row>
    <row r="47" spans="2:21" x14ac:dyDescent="0.35">
      <c r="B47" s="7"/>
      <c r="C47" s="7"/>
      <c r="D47" s="7"/>
      <c r="E47" s="7"/>
      <c r="F47" s="7"/>
      <c r="G47" s="7"/>
      <c r="H47" s="7"/>
      <c r="I47" s="7"/>
      <c r="J47" s="7"/>
      <c r="K47" s="7"/>
      <c r="L47" s="7"/>
      <c r="M47" s="7"/>
      <c r="N47" s="7"/>
      <c r="O47" s="7"/>
      <c r="P47" s="7"/>
      <c r="Q47" s="7"/>
      <c r="R47" s="7"/>
      <c r="S47" s="7"/>
      <c r="T47" s="7"/>
      <c r="U47" s="7"/>
    </row>
    <row r="48" spans="2:21" x14ac:dyDescent="0.35">
      <c r="B48" s="7"/>
      <c r="C48" s="7"/>
      <c r="D48" s="7"/>
      <c r="E48" s="7"/>
      <c r="F48" s="7"/>
      <c r="G48" s="7"/>
      <c r="H48" s="7"/>
      <c r="I48" s="7"/>
      <c r="J48" s="7"/>
      <c r="K48" s="7"/>
      <c r="L48" s="7"/>
      <c r="M48" s="7"/>
      <c r="N48" s="7"/>
      <c r="O48" s="7"/>
      <c r="P48" s="7"/>
      <c r="Q48" s="7"/>
      <c r="R48" s="7"/>
      <c r="S48" s="7"/>
      <c r="T48" s="7"/>
      <c r="U48" s="7"/>
    </row>
    <row r="49" spans="2:21" x14ac:dyDescent="0.35">
      <c r="B49" s="7"/>
      <c r="C49" s="7"/>
      <c r="D49" s="7"/>
      <c r="E49" s="7"/>
      <c r="F49" s="7"/>
      <c r="G49" s="7"/>
      <c r="H49" s="7"/>
      <c r="I49" s="7"/>
      <c r="J49" s="7"/>
      <c r="K49" s="7"/>
      <c r="L49" s="7"/>
      <c r="M49" s="7"/>
      <c r="N49" s="7"/>
      <c r="O49" s="7"/>
      <c r="P49" s="7"/>
      <c r="Q49" s="7"/>
      <c r="R49" s="7"/>
      <c r="S49" s="7"/>
      <c r="T49" s="7"/>
      <c r="U49" s="7"/>
    </row>
    <row r="50" spans="2:21" x14ac:dyDescent="0.35">
      <c r="B50" s="7"/>
      <c r="C50" s="7"/>
      <c r="D50" s="7"/>
      <c r="E50" s="7"/>
      <c r="F50" s="7"/>
      <c r="G50" s="7"/>
      <c r="H50" s="7"/>
      <c r="I50" s="7"/>
      <c r="J50" s="7"/>
      <c r="K50" s="7"/>
      <c r="L50" s="7"/>
      <c r="M50" s="7"/>
      <c r="N50" s="7"/>
      <c r="O50" s="7"/>
      <c r="P50" s="7"/>
      <c r="Q50" s="7"/>
      <c r="R50" s="7"/>
      <c r="S50" s="7"/>
      <c r="T50" s="7"/>
      <c r="U50" s="7"/>
    </row>
    <row r="51" spans="2:21" x14ac:dyDescent="0.35">
      <c r="B51" s="7"/>
      <c r="C51" s="7"/>
      <c r="D51" s="7"/>
      <c r="E51" s="7"/>
      <c r="F51" s="7"/>
      <c r="G51" s="7"/>
      <c r="H51" s="7"/>
      <c r="I51" s="7"/>
      <c r="J51" s="7"/>
      <c r="K51" s="7"/>
      <c r="L51" s="7"/>
      <c r="M51" s="7"/>
      <c r="N51" s="7"/>
      <c r="O51" s="7"/>
      <c r="P51" s="7"/>
      <c r="Q51" s="7"/>
      <c r="R51" s="7"/>
      <c r="S51" s="7"/>
      <c r="T51" s="7"/>
      <c r="U51" s="7"/>
    </row>
    <row r="52" spans="2:21" x14ac:dyDescent="0.35">
      <c r="B52" s="7"/>
      <c r="C52" s="7"/>
      <c r="D52" s="7"/>
      <c r="E52" s="7"/>
      <c r="F52" s="7"/>
      <c r="G52" s="7"/>
      <c r="H52" s="7"/>
      <c r="I52" s="7"/>
      <c r="J52" s="7"/>
      <c r="K52" s="7"/>
      <c r="L52" s="7"/>
      <c r="M52" s="7"/>
      <c r="N52" s="7"/>
      <c r="O52" s="7"/>
      <c r="P52" s="7"/>
      <c r="Q52" s="7"/>
      <c r="R52" s="7"/>
      <c r="S52" s="7"/>
      <c r="T52" s="7"/>
      <c r="U52" s="7"/>
    </row>
    <row r="53" spans="2:21" x14ac:dyDescent="0.35">
      <c r="B53" s="7"/>
      <c r="C53" s="7"/>
      <c r="D53" s="7"/>
      <c r="E53" s="7"/>
      <c r="F53" s="7"/>
      <c r="G53" s="7"/>
      <c r="H53" s="7"/>
      <c r="I53" s="7"/>
      <c r="J53" s="7"/>
      <c r="K53" s="7"/>
      <c r="L53" s="7"/>
      <c r="M53" s="7"/>
      <c r="N53" s="7"/>
      <c r="O53" s="7"/>
      <c r="P53" s="7"/>
      <c r="Q53" s="7"/>
      <c r="R53" s="7"/>
      <c r="S53" s="7"/>
      <c r="T53" s="7"/>
      <c r="U53" s="7"/>
    </row>
    <row r="54" spans="2:21" x14ac:dyDescent="0.35">
      <c r="B54" s="7"/>
      <c r="C54" s="7"/>
      <c r="D54" s="7"/>
      <c r="E54" s="7"/>
      <c r="F54" s="7"/>
      <c r="G54" s="7"/>
      <c r="H54" s="7"/>
      <c r="I54" s="7"/>
      <c r="J54" s="7"/>
      <c r="K54" s="7"/>
      <c r="L54" s="7"/>
      <c r="M54" s="7"/>
      <c r="N54" s="7"/>
      <c r="O54" s="7"/>
      <c r="P54" s="7"/>
      <c r="Q54" s="7"/>
      <c r="R54" s="7"/>
      <c r="S54" s="7"/>
      <c r="T54" s="7"/>
      <c r="U54" s="7"/>
    </row>
    <row r="55" spans="2:21" x14ac:dyDescent="0.35">
      <c r="B55" s="7"/>
      <c r="C55" s="7"/>
      <c r="D55" s="7"/>
      <c r="E55" s="7"/>
      <c r="F55" s="7"/>
      <c r="G55" s="7"/>
      <c r="H55" s="7"/>
      <c r="I55" s="7"/>
      <c r="J55" s="7"/>
      <c r="K55" s="7"/>
      <c r="L55" s="7"/>
      <c r="M55" s="7"/>
      <c r="N55" s="7"/>
      <c r="O55" s="7"/>
      <c r="P55" s="7"/>
      <c r="Q55" s="7"/>
      <c r="R55" s="7"/>
      <c r="S55" s="7"/>
      <c r="T55" s="7"/>
      <c r="U55" s="7"/>
    </row>
    <row r="56" spans="2:21" x14ac:dyDescent="0.35">
      <c r="B56" s="7"/>
      <c r="C56" s="7"/>
      <c r="D56" s="7"/>
      <c r="E56" s="7"/>
      <c r="F56" s="7"/>
      <c r="G56" s="7"/>
      <c r="H56" s="7"/>
      <c r="I56" s="7"/>
      <c r="J56" s="7"/>
      <c r="K56" s="7"/>
      <c r="L56" s="7"/>
      <c r="M56" s="7"/>
      <c r="N56" s="7"/>
      <c r="O56" s="7"/>
      <c r="P56" s="7"/>
      <c r="Q56" s="7"/>
      <c r="R56" s="7"/>
      <c r="S56" s="7"/>
      <c r="T56" s="7"/>
      <c r="U56" s="7"/>
    </row>
    <row r="57" spans="2:21" x14ac:dyDescent="0.35">
      <c r="B57" s="7"/>
      <c r="C57" s="7"/>
      <c r="D57" s="7"/>
      <c r="E57" s="7"/>
      <c r="F57" s="7"/>
      <c r="G57" s="7"/>
      <c r="H57" s="7"/>
      <c r="I57" s="7"/>
      <c r="J57" s="7"/>
      <c r="K57" s="7"/>
      <c r="L57" s="7"/>
      <c r="M57" s="7"/>
      <c r="N57" s="7"/>
      <c r="O57" s="7"/>
      <c r="P57" s="7"/>
      <c r="Q57" s="7"/>
      <c r="R57" s="7"/>
      <c r="S57" s="7"/>
      <c r="T57" s="7"/>
      <c r="U57" s="7"/>
    </row>
    <row r="58" spans="2:21" x14ac:dyDescent="0.35">
      <c r="B58" s="7"/>
      <c r="C58" s="7"/>
      <c r="D58" s="7"/>
      <c r="E58" s="7"/>
      <c r="F58" s="7"/>
      <c r="G58" s="7"/>
      <c r="H58" s="7"/>
      <c r="I58" s="7"/>
      <c r="J58" s="7"/>
      <c r="K58" s="7"/>
      <c r="L58" s="7"/>
      <c r="M58" s="7"/>
      <c r="N58" s="7"/>
      <c r="O58" s="7"/>
      <c r="P58" s="7"/>
      <c r="Q58" s="7"/>
      <c r="R58" s="7"/>
      <c r="S58" s="7"/>
      <c r="T58" s="7"/>
      <c r="U58" s="7"/>
    </row>
    <row r="59" spans="2:21" x14ac:dyDescent="0.35">
      <c r="B59" s="7"/>
      <c r="C59" s="7"/>
      <c r="D59" s="7"/>
      <c r="E59" s="7"/>
      <c r="F59" s="7"/>
      <c r="G59" s="7"/>
      <c r="H59" s="7"/>
      <c r="I59" s="7"/>
      <c r="J59" s="7"/>
      <c r="K59" s="7"/>
      <c r="L59" s="7"/>
      <c r="M59" s="7"/>
      <c r="N59" s="7"/>
      <c r="O59" s="7"/>
      <c r="P59" s="7"/>
      <c r="Q59" s="7"/>
      <c r="R59" s="7"/>
      <c r="S59" s="7"/>
      <c r="T59" s="7"/>
      <c r="U59" s="7"/>
    </row>
    <row r="60" spans="2:21" x14ac:dyDescent="0.35">
      <c r="B60" s="7"/>
      <c r="C60" s="7"/>
      <c r="D60" s="7"/>
      <c r="E60" s="7"/>
      <c r="F60" s="7"/>
      <c r="G60" s="7"/>
      <c r="H60" s="7"/>
      <c r="I60" s="7"/>
      <c r="J60" s="7"/>
      <c r="K60" s="7"/>
      <c r="L60" s="7"/>
      <c r="M60" s="7"/>
      <c r="N60" s="7"/>
      <c r="O60" s="7"/>
      <c r="P60" s="7"/>
      <c r="Q60" s="7"/>
      <c r="R60" s="7"/>
      <c r="S60" s="7"/>
      <c r="T60" s="7"/>
      <c r="U60" s="7"/>
    </row>
    <row r="61" spans="2:21" x14ac:dyDescent="0.35">
      <c r="B61" s="7"/>
      <c r="C61" s="7"/>
      <c r="D61" s="7"/>
      <c r="E61" s="7"/>
      <c r="F61" s="7"/>
      <c r="G61" s="7"/>
      <c r="H61" s="7"/>
      <c r="I61" s="7"/>
      <c r="J61" s="7"/>
      <c r="K61" s="7"/>
      <c r="L61" s="7"/>
      <c r="M61" s="7"/>
      <c r="N61" s="7"/>
      <c r="O61" s="7"/>
      <c r="P61" s="7"/>
      <c r="Q61" s="7"/>
      <c r="R61" s="7"/>
      <c r="S61" s="7"/>
      <c r="T61" s="7"/>
      <c r="U61" s="7"/>
    </row>
    <row r="62" spans="2:21" x14ac:dyDescent="0.35">
      <c r="B62" s="7"/>
      <c r="C62" s="7"/>
      <c r="D62" s="7"/>
      <c r="E62" s="7"/>
      <c r="F62" s="7"/>
      <c r="G62" s="7"/>
      <c r="H62" s="7"/>
      <c r="I62" s="7"/>
      <c r="J62" s="7"/>
      <c r="K62" s="7"/>
      <c r="L62" s="7"/>
      <c r="M62" s="7"/>
      <c r="N62" s="7"/>
      <c r="O62" s="7"/>
      <c r="P62" s="7"/>
      <c r="Q62" s="7"/>
      <c r="R62" s="7"/>
      <c r="S62" s="7"/>
      <c r="T62" s="7"/>
      <c r="U62" s="7"/>
    </row>
    <row r="63" spans="2:21" x14ac:dyDescent="0.35">
      <c r="B63" s="7"/>
      <c r="C63" s="7"/>
      <c r="D63" s="7"/>
      <c r="E63" s="7"/>
      <c r="F63" s="7"/>
      <c r="G63" s="7"/>
      <c r="H63" s="7"/>
      <c r="I63" s="7"/>
      <c r="J63" s="7"/>
      <c r="K63" s="7"/>
      <c r="L63" s="7"/>
      <c r="M63" s="7"/>
      <c r="N63" s="7"/>
      <c r="O63" s="7"/>
      <c r="P63" s="7"/>
      <c r="Q63" s="7"/>
      <c r="R63" s="7"/>
      <c r="S63" s="7"/>
      <c r="T63" s="7"/>
      <c r="U63" s="7"/>
    </row>
    <row r="64" spans="2:21" x14ac:dyDescent="0.35">
      <c r="B64" s="7"/>
      <c r="C64" s="7"/>
      <c r="D64" s="7"/>
      <c r="E64" s="7"/>
      <c r="F64" s="7"/>
      <c r="G64" s="7"/>
      <c r="H64" s="7"/>
      <c r="I64" s="7"/>
      <c r="J64" s="7"/>
      <c r="K64" s="7"/>
      <c r="L64" s="7"/>
      <c r="M64" s="7"/>
      <c r="N64" s="7"/>
      <c r="O64" s="7"/>
      <c r="P64" s="7"/>
      <c r="Q64" s="7"/>
      <c r="R64" s="7"/>
      <c r="S64" s="7"/>
      <c r="T64" s="7"/>
      <c r="U64" s="7"/>
    </row>
    <row r="65" spans="2:21" x14ac:dyDescent="0.35">
      <c r="B65" s="7"/>
      <c r="C65" s="7"/>
      <c r="D65" s="7"/>
      <c r="E65" s="7"/>
      <c r="F65" s="7"/>
      <c r="G65" s="7"/>
      <c r="H65" s="7"/>
      <c r="I65" s="7"/>
      <c r="J65" s="7"/>
      <c r="K65" s="7"/>
      <c r="L65" s="7"/>
      <c r="M65" s="7"/>
      <c r="N65" s="7"/>
      <c r="O65" s="7"/>
      <c r="P65" s="7"/>
      <c r="Q65" s="7"/>
      <c r="R65" s="7"/>
      <c r="S65" s="7"/>
      <c r="T65" s="7"/>
      <c r="U65" s="7"/>
    </row>
    <row r="66" spans="2:21" x14ac:dyDescent="0.35">
      <c r="B66" s="7"/>
      <c r="C66" s="7"/>
      <c r="D66" s="7"/>
      <c r="E66" s="7"/>
      <c r="F66" s="7"/>
      <c r="G66" s="7"/>
      <c r="H66" s="7"/>
      <c r="I66" s="7"/>
      <c r="J66" s="7"/>
      <c r="K66" s="7"/>
      <c r="L66" s="7"/>
      <c r="M66" s="7"/>
      <c r="N66" s="7"/>
      <c r="O66" s="7"/>
      <c r="P66" s="7"/>
      <c r="Q66" s="7"/>
      <c r="R66" s="7"/>
      <c r="S66" s="7"/>
      <c r="T66" s="7"/>
      <c r="U66" s="7"/>
    </row>
    <row r="67" spans="2:21" x14ac:dyDescent="0.35">
      <c r="B67" s="7"/>
      <c r="C67" s="7"/>
      <c r="D67" s="7"/>
      <c r="E67" s="7"/>
      <c r="F67" s="7"/>
      <c r="G67" s="7"/>
      <c r="H67" s="7"/>
      <c r="I67" s="7"/>
      <c r="J67" s="7"/>
      <c r="K67" s="7"/>
      <c r="L67" s="7"/>
      <c r="M67" s="7"/>
      <c r="N67" s="7"/>
      <c r="O67" s="7"/>
      <c r="P67" s="7"/>
      <c r="Q67" s="7"/>
      <c r="R67" s="7"/>
      <c r="S67" s="7"/>
      <c r="T67" s="7"/>
      <c r="U67" s="7"/>
    </row>
    <row r="68" spans="2:21" x14ac:dyDescent="0.35">
      <c r="B68" s="7"/>
      <c r="C68" s="7"/>
      <c r="D68" s="7"/>
      <c r="E68" s="7"/>
      <c r="F68" s="7"/>
      <c r="G68" s="7"/>
      <c r="H68" s="7"/>
      <c r="I68" s="7"/>
      <c r="J68" s="7"/>
      <c r="K68" s="7"/>
      <c r="L68" s="7"/>
      <c r="M68" s="7"/>
      <c r="N68" s="7"/>
      <c r="O68" s="7"/>
      <c r="P68" s="7"/>
      <c r="Q68" s="7"/>
      <c r="R68" s="7"/>
      <c r="S68" s="7"/>
      <c r="T68" s="7"/>
      <c r="U68" s="7"/>
    </row>
    <row r="69" spans="2:21" x14ac:dyDescent="0.35">
      <c r="B69" s="7"/>
      <c r="C69" s="7"/>
      <c r="D69" s="7"/>
      <c r="E69" s="7"/>
      <c r="F69" s="7"/>
      <c r="G69" s="7"/>
      <c r="H69" s="7"/>
      <c r="I69" s="7"/>
      <c r="J69" s="7"/>
      <c r="K69" s="7"/>
      <c r="L69" s="7"/>
      <c r="M69" s="7"/>
      <c r="N69" s="7"/>
      <c r="O69" s="7"/>
      <c r="P69" s="7"/>
      <c r="Q69" s="7"/>
      <c r="R69" s="7"/>
      <c r="S69" s="7"/>
      <c r="T69" s="7"/>
      <c r="U69" s="7"/>
    </row>
    <row r="70" spans="2:21" x14ac:dyDescent="0.35">
      <c r="B70" s="7"/>
      <c r="C70" s="7"/>
      <c r="D70" s="7"/>
      <c r="E70" s="7"/>
      <c r="F70" s="7"/>
      <c r="G70" s="7"/>
      <c r="H70" s="7"/>
      <c r="I70" s="7"/>
      <c r="J70" s="7"/>
      <c r="K70" s="7"/>
      <c r="L70" s="7"/>
      <c r="M70" s="7"/>
      <c r="N70" s="7"/>
      <c r="O70" s="7"/>
      <c r="P70" s="7"/>
      <c r="Q70" s="7"/>
      <c r="R70" s="7"/>
      <c r="S70" s="7"/>
      <c r="T70" s="7"/>
      <c r="U70" s="7"/>
    </row>
    <row r="71" spans="2:21" x14ac:dyDescent="0.35">
      <c r="B71" s="7"/>
      <c r="C71" s="7"/>
      <c r="D71" s="7"/>
      <c r="E71" s="7"/>
      <c r="F71" s="7"/>
      <c r="G71" s="7"/>
      <c r="H71" s="7"/>
      <c r="I71" s="7"/>
      <c r="J71" s="7"/>
      <c r="K71" s="7"/>
      <c r="L71" s="7"/>
      <c r="M71" s="7"/>
      <c r="N71" s="7"/>
      <c r="O71" s="7"/>
      <c r="P71" s="7"/>
      <c r="Q71" s="7"/>
      <c r="R71" s="7"/>
      <c r="S71" s="7"/>
      <c r="T71" s="7"/>
      <c r="U71" s="7"/>
    </row>
    <row r="72" spans="2:21" x14ac:dyDescent="0.35">
      <c r="B72" s="6"/>
      <c r="C72" s="6"/>
      <c r="D72" s="6"/>
      <c r="E72" s="6"/>
      <c r="F72" s="6"/>
      <c r="G72" s="6"/>
      <c r="H72" s="6"/>
      <c r="I72" s="6"/>
      <c r="J72" s="6"/>
      <c r="K72" s="6"/>
      <c r="L72" s="6"/>
      <c r="M72" s="6"/>
      <c r="N72" s="6"/>
      <c r="O72" s="6"/>
      <c r="P72" s="6"/>
      <c r="Q72" s="6"/>
      <c r="R72" s="6"/>
      <c r="S72" s="6"/>
      <c r="T72" s="6"/>
      <c r="U72" s="6"/>
    </row>
    <row r="73" spans="2:21" x14ac:dyDescent="0.35">
      <c r="B73" s="6"/>
      <c r="C73" s="6"/>
      <c r="D73" s="6"/>
      <c r="E73" s="6"/>
      <c r="F73" s="6"/>
      <c r="G73" s="6"/>
      <c r="H73" s="6"/>
      <c r="I73" s="6"/>
      <c r="J73" s="6"/>
      <c r="K73" s="6"/>
      <c r="L73" s="6"/>
      <c r="M73" s="6"/>
      <c r="N73" s="6"/>
      <c r="O73" s="6"/>
      <c r="P73" s="6"/>
      <c r="Q73" s="6"/>
      <c r="R73" s="6"/>
      <c r="S73" s="6"/>
      <c r="T73" s="6"/>
      <c r="U73" s="6"/>
    </row>
    <row r="74" spans="2:21" x14ac:dyDescent="0.35">
      <c r="B74" s="6"/>
      <c r="C74" s="6"/>
      <c r="D74" s="6"/>
      <c r="E74" s="6"/>
      <c r="F74" s="6"/>
      <c r="G74" s="6"/>
      <c r="H74" s="6"/>
      <c r="I74" s="6"/>
      <c r="J74" s="6"/>
      <c r="K74" s="6"/>
      <c r="L74" s="6"/>
      <c r="M74" s="6"/>
      <c r="N74" s="6"/>
      <c r="O74" s="6"/>
      <c r="P74" s="6"/>
      <c r="Q74" s="6"/>
      <c r="R74" s="6"/>
      <c r="S74" s="6"/>
      <c r="T74" s="6"/>
      <c r="U74" s="6"/>
    </row>
    <row r="75" spans="2:21" x14ac:dyDescent="0.35">
      <c r="B75" s="6"/>
      <c r="C75" s="6"/>
      <c r="D75" s="6"/>
      <c r="E75" s="6"/>
      <c r="F75" s="6"/>
      <c r="G75" s="6"/>
      <c r="H75" s="6"/>
      <c r="I75" s="6"/>
      <c r="J75" s="6"/>
      <c r="K75" s="6"/>
      <c r="L75" s="6"/>
      <c r="M75" s="6"/>
      <c r="N75" s="6"/>
      <c r="O75" s="6"/>
      <c r="P75" s="6"/>
      <c r="Q75" s="6"/>
      <c r="R75" s="6"/>
      <c r="S75" s="6"/>
      <c r="T75" s="6"/>
      <c r="U75" s="6"/>
    </row>
    <row r="76" spans="2:21" x14ac:dyDescent="0.35">
      <c r="B76" s="6"/>
      <c r="C76" s="6"/>
      <c r="D76" s="6"/>
      <c r="E76" s="6"/>
      <c r="F76" s="6"/>
      <c r="G76" s="6"/>
      <c r="H76" s="6"/>
      <c r="I76" s="6"/>
      <c r="J76" s="6"/>
      <c r="K76" s="6"/>
      <c r="L76" s="6"/>
      <c r="M76" s="6"/>
      <c r="N76" s="6"/>
      <c r="O76" s="6"/>
      <c r="P76" s="6"/>
      <c r="Q76" s="6"/>
      <c r="R76" s="6"/>
      <c r="S76" s="6"/>
      <c r="T76" s="6"/>
      <c r="U76" s="6"/>
    </row>
    <row r="77" spans="2:21" x14ac:dyDescent="0.35">
      <c r="B77" s="6"/>
      <c r="C77" s="6"/>
      <c r="D77" s="6"/>
      <c r="E77" s="6"/>
      <c r="F77" s="6"/>
      <c r="G77" s="6"/>
      <c r="H77" s="6"/>
      <c r="I77" s="6"/>
      <c r="J77" s="6"/>
      <c r="K77" s="6"/>
      <c r="L77" s="6"/>
      <c r="M77" s="6"/>
      <c r="N77" s="6"/>
      <c r="O77" s="6"/>
      <c r="P77" s="6"/>
      <c r="Q77" s="6"/>
      <c r="R77" s="6"/>
      <c r="S77" s="6"/>
      <c r="T77" s="6"/>
      <c r="U77" s="6"/>
    </row>
    <row r="78" spans="2:21" x14ac:dyDescent="0.35">
      <c r="B78" s="6"/>
      <c r="C78" s="6"/>
      <c r="D78" s="6"/>
      <c r="E78" s="6"/>
      <c r="F78" s="6"/>
      <c r="G78" s="6"/>
      <c r="H78" s="6"/>
      <c r="I78" s="6"/>
      <c r="J78" s="6"/>
      <c r="K78" s="6"/>
      <c r="L78" s="6"/>
      <c r="M78" s="6"/>
      <c r="N78" s="6"/>
      <c r="O78" s="6"/>
      <c r="P78" s="6"/>
      <c r="Q78" s="6"/>
      <c r="R78" s="6"/>
      <c r="S78" s="6"/>
      <c r="T78" s="6"/>
      <c r="U78" s="6"/>
    </row>
    <row r="79" spans="2:21" x14ac:dyDescent="0.35">
      <c r="B79" s="6"/>
      <c r="C79" s="6"/>
      <c r="D79" s="6"/>
      <c r="E79" s="6"/>
      <c r="F79" s="6"/>
      <c r="G79" s="6"/>
      <c r="H79" s="6"/>
      <c r="I79" s="6"/>
      <c r="J79" s="6"/>
      <c r="K79" s="6"/>
      <c r="L79" s="6"/>
      <c r="M79" s="6"/>
      <c r="N79" s="6"/>
      <c r="O79" s="6"/>
      <c r="P79" s="6"/>
      <c r="Q79" s="6"/>
      <c r="R79" s="6"/>
      <c r="S79" s="6"/>
      <c r="T79" s="6"/>
      <c r="U79" s="6"/>
    </row>
    <row r="80" spans="2:21" x14ac:dyDescent="0.35">
      <c r="B80" s="6"/>
      <c r="C80" s="6"/>
      <c r="D80" s="6"/>
      <c r="E80" s="6"/>
      <c r="F80" s="6"/>
      <c r="G80" s="6"/>
      <c r="H80" s="6"/>
      <c r="I80" s="6"/>
      <c r="J80" s="6"/>
      <c r="K80" s="6"/>
      <c r="L80" s="6"/>
      <c r="M80" s="6"/>
      <c r="N80" s="6"/>
      <c r="O80" s="6"/>
      <c r="P80" s="6"/>
      <c r="Q80" s="6"/>
      <c r="R80" s="6"/>
      <c r="S80" s="6"/>
      <c r="T80" s="6"/>
      <c r="U80" s="6"/>
    </row>
  </sheetData>
  <mergeCells count="1">
    <mergeCell ref="B1:U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491BA-AB67-4E00-B64D-CE58637C283C}">
  <dimension ref="A1:K1018"/>
  <sheetViews>
    <sheetView topLeftCell="B1" zoomScaleNormal="100" workbookViewId="0">
      <selection activeCell="B1" sqref="B1:K1"/>
    </sheetView>
  </sheetViews>
  <sheetFormatPr defaultRowHeight="15" x14ac:dyDescent="0.25"/>
  <cols>
    <col min="1" max="1" width="9.140625" style="15"/>
    <col min="2" max="2" width="12.140625" customWidth="1"/>
    <col min="3" max="3" width="18" customWidth="1"/>
    <col min="4" max="4" width="39.140625" customWidth="1"/>
    <col min="5" max="5" width="22.140625" style="2" customWidth="1"/>
    <col min="6" max="6" width="16.5703125" customWidth="1"/>
    <col min="7" max="7" width="11.42578125" customWidth="1"/>
    <col min="8" max="8" width="13.5703125" customWidth="1"/>
    <col min="9" max="9" width="18.7109375" customWidth="1"/>
    <col min="10" max="10" width="18.28515625" customWidth="1"/>
    <col min="11" max="11" width="13.5703125" customWidth="1"/>
  </cols>
  <sheetData>
    <row r="1" spans="1:11" s="13" customFormat="1" ht="55.5" customHeight="1" x14ac:dyDescent="0.9">
      <c r="A1" s="14">
        <v>2</v>
      </c>
      <c r="B1" s="23" t="s">
        <v>699</v>
      </c>
      <c r="C1" s="24"/>
      <c r="D1" s="24"/>
      <c r="E1" s="24"/>
      <c r="F1" s="24"/>
      <c r="G1" s="24"/>
      <c r="H1" s="24"/>
      <c r="I1" s="24"/>
      <c r="J1" s="24"/>
      <c r="K1" s="24"/>
    </row>
    <row r="2" spans="1:11" x14ac:dyDescent="0.25">
      <c r="B2" t="s">
        <v>0</v>
      </c>
      <c r="C2" t="s">
        <v>1</v>
      </c>
      <c r="D2" t="s">
        <v>2</v>
      </c>
      <c r="E2" s="2" t="s">
        <v>691</v>
      </c>
      <c r="F2" t="s">
        <v>4</v>
      </c>
      <c r="G2" t="s">
        <v>5</v>
      </c>
      <c r="H2" t="s">
        <v>6</v>
      </c>
      <c r="I2" t="s">
        <v>7</v>
      </c>
      <c r="J2" t="s">
        <v>692</v>
      </c>
      <c r="K2" t="s">
        <v>686</v>
      </c>
    </row>
    <row r="3" spans="1:11" x14ac:dyDescent="0.25">
      <c r="B3" s="2">
        <v>536392</v>
      </c>
      <c r="C3" s="2">
        <v>22827</v>
      </c>
      <c r="D3" s="2" t="s">
        <v>230</v>
      </c>
      <c r="E3" s="2">
        <v>1</v>
      </c>
      <c r="F3" s="8">
        <v>40513.436805555553</v>
      </c>
      <c r="G3" s="2">
        <v>165</v>
      </c>
      <c r="H3" s="2">
        <v>13705</v>
      </c>
      <c r="I3" s="2" t="s">
        <v>10</v>
      </c>
      <c r="J3" s="2">
        <f>ABS(DF_2[[#This Row],[Quantity_BEFORE]])</f>
        <v>1</v>
      </c>
      <c r="K3" s="2">
        <f>DF_2[[#This Row],[QUANTITY]]*DF_2[[#This Row],[UnitPrice]]</f>
        <v>165</v>
      </c>
    </row>
    <row r="4" spans="1:11" x14ac:dyDescent="0.25">
      <c r="B4" s="2">
        <v>536396</v>
      </c>
      <c r="C4" s="2">
        <v>22803</v>
      </c>
      <c r="D4" s="2" t="s">
        <v>249</v>
      </c>
      <c r="E4" s="2">
        <v>2</v>
      </c>
      <c r="F4" s="8">
        <v>40513.45208333333</v>
      </c>
      <c r="G4" s="2">
        <v>35.75</v>
      </c>
      <c r="H4" s="2">
        <v>17850</v>
      </c>
      <c r="I4" s="2" t="s">
        <v>10</v>
      </c>
      <c r="J4" s="2">
        <f>ABS(DF_2[[#This Row],[Quantity_BEFORE]])</f>
        <v>2</v>
      </c>
      <c r="K4" s="2">
        <f>DF_2[[#This Row],[QUANTITY]]*DF_2[[#This Row],[UnitPrice]]</f>
        <v>71.5</v>
      </c>
    </row>
    <row r="5" spans="1:11" x14ac:dyDescent="0.25">
      <c r="B5" s="2">
        <v>536406</v>
      </c>
      <c r="C5" s="2">
        <v>22803</v>
      </c>
      <c r="D5" s="2" t="s">
        <v>249</v>
      </c>
      <c r="E5" s="2">
        <v>2</v>
      </c>
      <c r="F5" s="8">
        <v>40513.481249999997</v>
      </c>
      <c r="G5" s="2">
        <v>35.75</v>
      </c>
      <c r="H5" s="2">
        <v>17850</v>
      </c>
      <c r="I5" s="2" t="s">
        <v>10</v>
      </c>
      <c r="J5" s="2">
        <f>ABS(DF_2[[#This Row],[Quantity_BEFORE]])</f>
        <v>2</v>
      </c>
      <c r="K5" s="2">
        <f>DF_2[[#This Row],[QUANTITY]]*DF_2[[#This Row],[UnitPrice]]</f>
        <v>71.5</v>
      </c>
    </row>
    <row r="6" spans="1:11" x14ac:dyDescent="0.25">
      <c r="B6" s="2" t="s">
        <v>138</v>
      </c>
      <c r="C6" s="2" t="s">
        <v>139</v>
      </c>
      <c r="D6" s="2" t="s">
        <v>140</v>
      </c>
      <c r="E6" s="2">
        <v>-1</v>
      </c>
      <c r="F6" s="8">
        <v>40513.40347222222</v>
      </c>
      <c r="G6" s="2">
        <v>27.5</v>
      </c>
      <c r="H6" s="2">
        <v>14527</v>
      </c>
      <c r="I6" s="2" t="s">
        <v>10</v>
      </c>
      <c r="J6" s="2">
        <f>ABS(DF_2[[#This Row],[Quantity_BEFORE]])</f>
        <v>1</v>
      </c>
      <c r="K6" s="2">
        <f>DF_2[[#This Row],[QUANTITY]]*DF_2[[#This Row],[UnitPrice]]</f>
        <v>27.5</v>
      </c>
    </row>
    <row r="7" spans="1:11" x14ac:dyDescent="0.25">
      <c r="B7" s="2">
        <v>536385</v>
      </c>
      <c r="C7" s="2">
        <v>22783</v>
      </c>
      <c r="D7" s="2" t="s">
        <v>149</v>
      </c>
      <c r="E7" s="2">
        <v>1</v>
      </c>
      <c r="F7" s="8">
        <v>40513.413888888892</v>
      </c>
      <c r="G7" s="2">
        <v>19.95</v>
      </c>
      <c r="H7" s="2">
        <v>17420</v>
      </c>
      <c r="I7" s="2" t="s">
        <v>10</v>
      </c>
      <c r="J7" s="2">
        <f>ABS(DF_2[[#This Row],[Quantity_BEFORE]])</f>
        <v>1</v>
      </c>
      <c r="K7" s="2">
        <f>DF_2[[#This Row],[QUANTITY]]*DF_2[[#This Row],[UnitPrice]]</f>
        <v>19.95</v>
      </c>
    </row>
    <row r="8" spans="1:11" x14ac:dyDescent="0.25">
      <c r="B8" s="2">
        <v>536370</v>
      </c>
      <c r="C8" s="2" t="s">
        <v>59</v>
      </c>
      <c r="D8" s="2" t="s">
        <v>60</v>
      </c>
      <c r="E8" s="2">
        <v>3</v>
      </c>
      <c r="F8" s="8">
        <v>40513.364583333336</v>
      </c>
      <c r="G8" s="2">
        <v>18</v>
      </c>
      <c r="H8" s="2">
        <v>12583</v>
      </c>
      <c r="I8" s="2" t="s">
        <v>40</v>
      </c>
      <c r="J8" s="2">
        <f>ABS(DF_2[[#This Row],[Quantity_BEFORE]])</f>
        <v>3</v>
      </c>
      <c r="K8" s="2">
        <f>DF_2[[#This Row],[QUANTITY]]*DF_2[[#This Row],[UnitPrice]]</f>
        <v>54</v>
      </c>
    </row>
    <row r="9" spans="1:11" x14ac:dyDescent="0.25">
      <c r="B9" s="2">
        <v>536382</v>
      </c>
      <c r="C9" s="2">
        <v>22783</v>
      </c>
      <c r="D9" s="2" t="s">
        <v>149</v>
      </c>
      <c r="E9" s="2">
        <v>4</v>
      </c>
      <c r="F9" s="8">
        <v>40513.40625</v>
      </c>
      <c r="G9" s="2">
        <v>16.95</v>
      </c>
      <c r="H9" s="2">
        <v>16098</v>
      </c>
      <c r="I9" s="2" t="s">
        <v>10</v>
      </c>
      <c r="J9" s="2">
        <f>ABS(DF_2[[#This Row],[Quantity_BEFORE]])</f>
        <v>4</v>
      </c>
      <c r="K9" s="2">
        <f>DF_2[[#This Row],[QUANTITY]]*DF_2[[#This Row],[UnitPrice]]</f>
        <v>67.8</v>
      </c>
    </row>
    <row r="10" spans="1:11" x14ac:dyDescent="0.25">
      <c r="B10" s="2">
        <v>536401</v>
      </c>
      <c r="C10" s="2">
        <v>22848</v>
      </c>
      <c r="D10" s="2" t="s">
        <v>320</v>
      </c>
      <c r="E10" s="2">
        <v>1</v>
      </c>
      <c r="F10" s="8">
        <v>40513.472916666666</v>
      </c>
      <c r="G10" s="2">
        <v>16.95</v>
      </c>
      <c r="H10" s="2">
        <v>15862</v>
      </c>
      <c r="I10" s="2" t="s">
        <v>10</v>
      </c>
      <c r="J10" s="2">
        <f>ABS(DF_2[[#This Row],[Quantity_BEFORE]])</f>
        <v>1</v>
      </c>
      <c r="K10" s="2">
        <f>DF_2[[#This Row],[QUANTITY]]*DF_2[[#This Row],[UnitPrice]]</f>
        <v>16.95</v>
      </c>
    </row>
    <row r="11" spans="1:11" x14ac:dyDescent="0.25">
      <c r="B11" s="2">
        <v>536403</v>
      </c>
      <c r="C11" s="2" t="s">
        <v>59</v>
      </c>
      <c r="D11" s="2" t="s">
        <v>60</v>
      </c>
      <c r="E11" s="2">
        <v>1</v>
      </c>
      <c r="F11" s="8">
        <v>40513.477083333331</v>
      </c>
      <c r="G11" s="2">
        <v>15</v>
      </c>
      <c r="H11" s="2">
        <v>12791</v>
      </c>
      <c r="I11" s="2" t="s">
        <v>324</v>
      </c>
      <c r="J11" s="2">
        <f>ABS(DF_2[[#This Row],[Quantity_BEFORE]])</f>
        <v>1</v>
      </c>
      <c r="K11" s="2">
        <f>DF_2[[#This Row],[QUANTITY]]*DF_2[[#This Row],[UnitPrice]]</f>
        <v>15</v>
      </c>
    </row>
    <row r="12" spans="1:11" x14ac:dyDescent="0.25">
      <c r="B12" s="2">
        <v>536382</v>
      </c>
      <c r="C12" s="2">
        <v>22839</v>
      </c>
      <c r="D12" s="2" t="s">
        <v>147</v>
      </c>
      <c r="E12" s="2">
        <v>2</v>
      </c>
      <c r="F12" s="8">
        <v>40513.40625</v>
      </c>
      <c r="G12" s="2">
        <v>14.95</v>
      </c>
      <c r="H12" s="2">
        <v>16098</v>
      </c>
      <c r="I12" s="2" t="s">
        <v>10</v>
      </c>
      <c r="J12" s="2">
        <f>ABS(DF_2[[#This Row],[Quantity_BEFORE]])</f>
        <v>2</v>
      </c>
      <c r="K12" s="2">
        <f>DF_2[[#This Row],[QUANTITY]]*DF_2[[#This Row],[UnitPrice]]</f>
        <v>29.9</v>
      </c>
    </row>
    <row r="13" spans="1:11" x14ac:dyDescent="0.25">
      <c r="B13" s="2">
        <v>536382</v>
      </c>
      <c r="C13" s="2">
        <v>22838</v>
      </c>
      <c r="D13" s="2" t="s">
        <v>148</v>
      </c>
      <c r="E13" s="2">
        <v>2</v>
      </c>
      <c r="F13" s="8">
        <v>40513.40625</v>
      </c>
      <c r="G13" s="2">
        <v>14.95</v>
      </c>
      <c r="H13" s="2">
        <v>16098</v>
      </c>
      <c r="I13" s="2" t="s">
        <v>10</v>
      </c>
      <c r="J13" s="2">
        <f>ABS(DF_2[[#This Row],[Quantity_BEFORE]])</f>
        <v>2</v>
      </c>
      <c r="K13" s="2">
        <f>DF_2[[#This Row],[QUANTITY]]*DF_2[[#This Row],[UnitPrice]]</f>
        <v>29.9</v>
      </c>
    </row>
    <row r="14" spans="1:11" x14ac:dyDescent="0.25">
      <c r="B14" s="2">
        <v>536514</v>
      </c>
      <c r="C14" s="2">
        <v>22485</v>
      </c>
      <c r="D14" s="2" t="s">
        <v>640</v>
      </c>
      <c r="E14" s="2">
        <v>4</v>
      </c>
      <c r="F14" s="8">
        <v>40513.527777777781</v>
      </c>
      <c r="G14" s="2">
        <v>12.75</v>
      </c>
      <c r="H14" s="2">
        <v>17951</v>
      </c>
      <c r="I14" s="2" t="s">
        <v>10</v>
      </c>
      <c r="J14" s="2">
        <f>ABS(DF_2[[#This Row],[Quantity_BEFORE]])</f>
        <v>4</v>
      </c>
      <c r="K14" s="2">
        <f>DF_2[[#This Row],[QUANTITY]]*DF_2[[#This Row],[UnitPrice]]</f>
        <v>51</v>
      </c>
    </row>
    <row r="15" spans="1:11" x14ac:dyDescent="0.25">
      <c r="B15" s="2">
        <v>536384</v>
      </c>
      <c r="C15" s="2">
        <v>21340</v>
      </c>
      <c r="D15" s="2" t="s">
        <v>161</v>
      </c>
      <c r="E15" s="2">
        <v>2</v>
      </c>
      <c r="F15" s="8">
        <v>40513.411805555559</v>
      </c>
      <c r="G15" s="2">
        <v>12.75</v>
      </c>
      <c r="H15" s="2">
        <v>18074</v>
      </c>
      <c r="I15" s="2" t="s">
        <v>10</v>
      </c>
      <c r="J15" s="2">
        <f>ABS(DF_2[[#This Row],[Quantity_BEFORE]])</f>
        <v>2</v>
      </c>
      <c r="K15" s="2">
        <f>DF_2[[#This Row],[QUANTITY]]*DF_2[[#This Row],[UnitPrice]]</f>
        <v>25.5</v>
      </c>
    </row>
    <row r="16" spans="1:11" x14ac:dyDescent="0.25">
      <c r="B16" s="2">
        <v>536502</v>
      </c>
      <c r="C16" s="2">
        <v>22423</v>
      </c>
      <c r="D16" s="2" t="s">
        <v>611</v>
      </c>
      <c r="E16" s="2">
        <v>2</v>
      </c>
      <c r="F16" s="8">
        <v>40513.525000000001</v>
      </c>
      <c r="G16" s="2">
        <v>12.75</v>
      </c>
      <c r="H16" s="2">
        <v>16552</v>
      </c>
      <c r="I16" s="2" t="s">
        <v>10</v>
      </c>
      <c r="J16" s="2">
        <f>ABS(DF_2[[#This Row],[Quantity_BEFORE]])</f>
        <v>2</v>
      </c>
      <c r="K16" s="2">
        <f>DF_2[[#This Row],[QUANTITY]]*DF_2[[#This Row],[UnitPrice]]</f>
        <v>25.5</v>
      </c>
    </row>
    <row r="17" spans="2:11" x14ac:dyDescent="0.25">
      <c r="B17" s="2">
        <v>536520</v>
      </c>
      <c r="C17" s="2">
        <v>22760</v>
      </c>
      <c r="D17" s="2" t="s">
        <v>645</v>
      </c>
      <c r="E17" s="2">
        <v>1</v>
      </c>
      <c r="F17" s="8">
        <v>40513.529861111114</v>
      </c>
      <c r="G17" s="2">
        <v>12.75</v>
      </c>
      <c r="H17" s="2">
        <v>14729</v>
      </c>
      <c r="I17" s="2" t="s">
        <v>10</v>
      </c>
      <c r="J17" s="2">
        <f>ABS(DF_2[[#This Row],[Quantity_BEFORE]])</f>
        <v>1</v>
      </c>
      <c r="K17" s="2">
        <f>DF_2[[#This Row],[QUANTITY]]*DF_2[[#This Row],[UnitPrice]]</f>
        <v>12.75</v>
      </c>
    </row>
    <row r="18" spans="2:11" x14ac:dyDescent="0.25">
      <c r="B18" s="2">
        <v>536374</v>
      </c>
      <c r="C18" s="2">
        <v>21258</v>
      </c>
      <c r="D18" s="2" t="s">
        <v>72</v>
      </c>
      <c r="E18" s="2">
        <v>32</v>
      </c>
      <c r="F18" s="8">
        <v>40513.381249999999</v>
      </c>
      <c r="G18" s="2">
        <v>10.95</v>
      </c>
      <c r="H18" s="2">
        <v>15100</v>
      </c>
      <c r="I18" s="2" t="s">
        <v>10</v>
      </c>
      <c r="J18" s="2">
        <f>ABS(DF_2[[#This Row],[Quantity_BEFORE]])</f>
        <v>32</v>
      </c>
      <c r="K18" s="2">
        <f>DF_2[[#This Row],[QUANTITY]]*DF_2[[#This Row],[UnitPrice]]</f>
        <v>350.4</v>
      </c>
    </row>
    <row r="19" spans="2:11" x14ac:dyDescent="0.25">
      <c r="B19" s="2">
        <v>536477</v>
      </c>
      <c r="C19" s="2">
        <v>22423</v>
      </c>
      <c r="D19" s="2" t="s">
        <v>611</v>
      </c>
      <c r="E19" s="2">
        <v>16</v>
      </c>
      <c r="F19" s="8">
        <v>40513.518750000003</v>
      </c>
      <c r="G19" s="2">
        <v>10.95</v>
      </c>
      <c r="H19" s="2">
        <v>16210</v>
      </c>
      <c r="I19" s="2" t="s">
        <v>10</v>
      </c>
      <c r="J19" s="2">
        <f>ABS(DF_2[[#This Row],[Quantity_BEFORE]])</f>
        <v>16</v>
      </c>
      <c r="K19" s="2">
        <f>DF_2[[#This Row],[QUANTITY]]*DF_2[[#This Row],[UnitPrice]]</f>
        <v>175.2</v>
      </c>
    </row>
    <row r="20" spans="2:11" x14ac:dyDescent="0.25">
      <c r="B20" s="2">
        <v>536384</v>
      </c>
      <c r="C20" s="2">
        <v>22424</v>
      </c>
      <c r="D20" s="2" t="s">
        <v>165</v>
      </c>
      <c r="E20" s="2">
        <v>8</v>
      </c>
      <c r="F20" s="8">
        <v>40513.411805555559</v>
      </c>
      <c r="G20" s="2">
        <v>10.95</v>
      </c>
      <c r="H20" s="2">
        <v>18074</v>
      </c>
      <c r="I20" s="2" t="s">
        <v>10</v>
      </c>
      <c r="J20" s="2">
        <f>ABS(DF_2[[#This Row],[Quantity_BEFORE]])</f>
        <v>8</v>
      </c>
      <c r="K20" s="2">
        <f>DF_2[[#This Row],[QUANTITY]]*DF_2[[#This Row],[UnitPrice]]</f>
        <v>87.6</v>
      </c>
    </row>
    <row r="21" spans="2:11" x14ac:dyDescent="0.25">
      <c r="B21" s="2">
        <v>536401</v>
      </c>
      <c r="C21" s="2" t="s">
        <v>321</v>
      </c>
      <c r="D21" s="2" t="s">
        <v>322</v>
      </c>
      <c r="E21" s="2">
        <v>1</v>
      </c>
      <c r="F21" s="8">
        <v>40513.472916666666</v>
      </c>
      <c r="G21" s="2">
        <v>10.65</v>
      </c>
      <c r="H21" s="2">
        <v>15862</v>
      </c>
      <c r="I21" s="2" t="s">
        <v>10</v>
      </c>
      <c r="J21" s="2">
        <f>ABS(DF_2[[#This Row],[Quantity_BEFORE]])</f>
        <v>1</v>
      </c>
      <c r="K21" s="2">
        <f>DF_2[[#This Row],[QUANTITY]]*DF_2[[#This Row],[UnitPrice]]</f>
        <v>10.65</v>
      </c>
    </row>
    <row r="22" spans="2:11" x14ac:dyDescent="0.25">
      <c r="B22" s="2">
        <v>536393</v>
      </c>
      <c r="C22" s="2">
        <v>22180</v>
      </c>
      <c r="D22" s="2" t="s">
        <v>235</v>
      </c>
      <c r="E22" s="2">
        <v>8</v>
      </c>
      <c r="F22" s="8">
        <v>40513.442361111112</v>
      </c>
      <c r="G22" s="2">
        <v>9.9499999999999993</v>
      </c>
      <c r="H22" s="2">
        <v>13747</v>
      </c>
      <c r="I22" s="2" t="s">
        <v>10</v>
      </c>
      <c r="J22" s="2">
        <f>ABS(DF_2[[#This Row],[Quantity_BEFORE]])</f>
        <v>8</v>
      </c>
      <c r="K22" s="2">
        <f>DF_2[[#This Row],[QUANTITY]]*DF_2[[#This Row],[UnitPrice]]</f>
        <v>79.599999999999994</v>
      </c>
    </row>
    <row r="23" spans="2:11" x14ac:dyDescent="0.25">
      <c r="B23" s="2">
        <v>536412</v>
      </c>
      <c r="C23" s="2">
        <v>22968</v>
      </c>
      <c r="D23" s="2" t="s">
        <v>203</v>
      </c>
      <c r="E23" s="2">
        <v>4</v>
      </c>
      <c r="F23" s="8">
        <v>40513.492361111108</v>
      </c>
      <c r="G23" s="2">
        <v>9.9499999999999993</v>
      </c>
      <c r="H23" s="2">
        <v>17920</v>
      </c>
      <c r="I23" s="2" t="s">
        <v>10</v>
      </c>
      <c r="J23" s="2">
        <f>ABS(DF_2[[#This Row],[Quantity_BEFORE]])</f>
        <v>4</v>
      </c>
      <c r="K23" s="2">
        <f>DF_2[[#This Row],[QUANTITY]]*DF_2[[#This Row],[UnitPrice]]</f>
        <v>39.799999999999997</v>
      </c>
    </row>
    <row r="24" spans="2:11" x14ac:dyDescent="0.25">
      <c r="B24" s="2">
        <v>536416</v>
      </c>
      <c r="C24" s="2">
        <v>22768</v>
      </c>
      <c r="D24" s="2" t="s">
        <v>280</v>
      </c>
      <c r="E24" s="2">
        <v>4</v>
      </c>
      <c r="F24" s="8">
        <v>40513.498611111114</v>
      </c>
      <c r="G24" s="2">
        <v>9.9499999999999993</v>
      </c>
      <c r="H24" s="2">
        <v>13255</v>
      </c>
      <c r="I24" s="2" t="s">
        <v>10</v>
      </c>
      <c r="J24" s="2">
        <f>ABS(DF_2[[#This Row],[Quantity_BEFORE]])</f>
        <v>4</v>
      </c>
      <c r="K24" s="2">
        <f>DF_2[[#This Row],[QUANTITY]]*DF_2[[#This Row],[UnitPrice]]</f>
        <v>39.799999999999997</v>
      </c>
    </row>
    <row r="25" spans="2:11" x14ac:dyDescent="0.25">
      <c r="B25" s="2">
        <v>536416</v>
      </c>
      <c r="C25" s="2">
        <v>22767</v>
      </c>
      <c r="D25" s="2" t="s">
        <v>279</v>
      </c>
      <c r="E25" s="2">
        <v>4</v>
      </c>
      <c r="F25" s="8">
        <v>40513.498611111114</v>
      </c>
      <c r="G25" s="2">
        <v>9.9499999999999993</v>
      </c>
      <c r="H25" s="2">
        <v>13255</v>
      </c>
      <c r="I25" s="2" t="s">
        <v>10</v>
      </c>
      <c r="J25" s="2">
        <f>ABS(DF_2[[#This Row],[Quantity_BEFORE]])</f>
        <v>4</v>
      </c>
      <c r="K25" s="2">
        <f>DF_2[[#This Row],[QUANTITY]]*DF_2[[#This Row],[UnitPrice]]</f>
        <v>39.799999999999997</v>
      </c>
    </row>
    <row r="26" spans="2:11" x14ac:dyDescent="0.25">
      <c r="B26" s="2">
        <v>536367</v>
      </c>
      <c r="C26" s="2">
        <v>22622</v>
      </c>
      <c r="D26" s="2" t="s">
        <v>29</v>
      </c>
      <c r="E26" s="2">
        <v>2</v>
      </c>
      <c r="F26" s="8">
        <v>40513.356944444444</v>
      </c>
      <c r="G26" s="2">
        <v>9.9499999999999993</v>
      </c>
      <c r="H26" s="2">
        <v>13047</v>
      </c>
      <c r="I26" s="2" t="s">
        <v>10</v>
      </c>
      <c r="J26" s="2">
        <f>ABS(DF_2[[#This Row],[Quantity_BEFORE]])</f>
        <v>2</v>
      </c>
      <c r="K26" s="2">
        <f>DF_2[[#This Row],[QUANTITY]]*DF_2[[#This Row],[UnitPrice]]</f>
        <v>19.899999999999999</v>
      </c>
    </row>
    <row r="27" spans="2:11" x14ac:dyDescent="0.25">
      <c r="B27" s="2">
        <v>536401</v>
      </c>
      <c r="C27" s="2">
        <v>22767</v>
      </c>
      <c r="D27" s="2" t="s">
        <v>279</v>
      </c>
      <c r="E27" s="2">
        <v>2</v>
      </c>
      <c r="F27" s="8">
        <v>40513.472916666666</v>
      </c>
      <c r="G27" s="2">
        <v>9.9499999999999993</v>
      </c>
      <c r="H27" s="2">
        <v>15862</v>
      </c>
      <c r="I27" s="2" t="s">
        <v>10</v>
      </c>
      <c r="J27" s="2">
        <f>ABS(DF_2[[#This Row],[Quantity_BEFORE]])</f>
        <v>2</v>
      </c>
      <c r="K27" s="2">
        <f>DF_2[[#This Row],[QUANTITY]]*DF_2[[#This Row],[UnitPrice]]</f>
        <v>19.899999999999999</v>
      </c>
    </row>
    <row r="28" spans="2:11" x14ac:dyDescent="0.25">
      <c r="B28" s="2">
        <v>536425</v>
      </c>
      <c r="C28" s="2">
        <v>22768</v>
      </c>
      <c r="D28" s="2" t="s">
        <v>280</v>
      </c>
      <c r="E28" s="2">
        <v>2</v>
      </c>
      <c r="F28" s="8">
        <v>40513.505555555559</v>
      </c>
      <c r="G28" s="2">
        <v>9.9499999999999993</v>
      </c>
      <c r="H28" s="2">
        <v>13758</v>
      </c>
      <c r="I28" s="2" t="s">
        <v>10</v>
      </c>
      <c r="J28" s="2">
        <f>ABS(DF_2[[#This Row],[Quantity_BEFORE]])</f>
        <v>2</v>
      </c>
      <c r="K28" s="2">
        <f>DF_2[[#This Row],[QUANTITY]]*DF_2[[#This Row],[UnitPrice]]</f>
        <v>19.899999999999999</v>
      </c>
    </row>
    <row r="29" spans="2:11" x14ac:dyDescent="0.25">
      <c r="B29" s="2">
        <v>536425</v>
      </c>
      <c r="C29" s="2">
        <v>22829</v>
      </c>
      <c r="D29" s="2" t="s">
        <v>517</v>
      </c>
      <c r="E29" s="2">
        <v>2</v>
      </c>
      <c r="F29" s="8">
        <v>40513.505555555559</v>
      </c>
      <c r="G29" s="2">
        <v>9.9499999999999993</v>
      </c>
      <c r="H29" s="2">
        <v>13758</v>
      </c>
      <c r="I29" s="2" t="s">
        <v>10</v>
      </c>
      <c r="J29" s="2">
        <f>ABS(DF_2[[#This Row],[Quantity_BEFORE]])</f>
        <v>2</v>
      </c>
      <c r="K29" s="2">
        <f>DF_2[[#This Row],[QUANTITY]]*DF_2[[#This Row],[UnitPrice]]</f>
        <v>19.899999999999999</v>
      </c>
    </row>
    <row r="30" spans="2:11" x14ac:dyDescent="0.25">
      <c r="B30" s="2">
        <v>536446</v>
      </c>
      <c r="C30" s="2">
        <v>22618</v>
      </c>
      <c r="D30" s="2" t="s">
        <v>538</v>
      </c>
      <c r="E30" s="2">
        <v>2</v>
      </c>
      <c r="F30" s="8">
        <v>40513.510416666664</v>
      </c>
      <c r="G30" s="2">
        <v>9.9499999999999993</v>
      </c>
      <c r="H30" s="2">
        <v>15983</v>
      </c>
      <c r="I30" s="2" t="s">
        <v>10</v>
      </c>
      <c r="J30" s="2">
        <f>ABS(DF_2[[#This Row],[Quantity_BEFORE]])</f>
        <v>2</v>
      </c>
      <c r="K30" s="2">
        <f>DF_2[[#This Row],[QUANTITY]]*DF_2[[#This Row],[UnitPrice]]</f>
        <v>19.899999999999999</v>
      </c>
    </row>
    <row r="31" spans="2:11" x14ac:dyDescent="0.25">
      <c r="B31" s="2">
        <v>536401</v>
      </c>
      <c r="C31" s="2">
        <v>22768</v>
      </c>
      <c r="D31" s="2" t="s">
        <v>280</v>
      </c>
      <c r="E31" s="2">
        <v>1</v>
      </c>
      <c r="F31" s="8">
        <v>40513.472916666666</v>
      </c>
      <c r="G31" s="2">
        <v>9.9499999999999993</v>
      </c>
      <c r="H31" s="2">
        <v>15862</v>
      </c>
      <c r="I31" s="2" t="s">
        <v>10</v>
      </c>
      <c r="J31" s="2">
        <f>ABS(DF_2[[#This Row],[Quantity_BEFORE]])</f>
        <v>1</v>
      </c>
      <c r="K31" s="2">
        <f>DF_2[[#This Row],[QUANTITY]]*DF_2[[#This Row],[UnitPrice]]</f>
        <v>9.9499999999999993</v>
      </c>
    </row>
    <row r="32" spans="2:11" x14ac:dyDescent="0.25">
      <c r="B32" s="2">
        <v>536520</v>
      </c>
      <c r="C32" s="2">
        <v>22501</v>
      </c>
      <c r="D32" s="2" t="s">
        <v>685</v>
      </c>
      <c r="E32" s="2">
        <v>1</v>
      </c>
      <c r="F32" s="8">
        <v>40513.529861111114</v>
      </c>
      <c r="G32" s="2">
        <v>9.9499999999999993</v>
      </c>
      <c r="H32" s="2">
        <v>14729</v>
      </c>
      <c r="I32" s="2" t="s">
        <v>10</v>
      </c>
      <c r="J32" s="2">
        <f>ABS(DF_2[[#This Row],[Quantity_BEFORE]])</f>
        <v>1</v>
      </c>
      <c r="K32" s="2">
        <f>DF_2[[#This Row],[QUANTITY]]*DF_2[[#This Row],[UnitPrice]]</f>
        <v>9.9499999999999993</v>
      </c>
    </row>
    <row r="33" spans="2:11" x14ac:dyDescent="0.25">
      <c r="B33" s="2">
        <v>536390</v>
      </c>
      <c r="C33" s="2">
        <v>22968</v>
      </c>
      <c r="D33" s="2" t="s">
        <v>203</v>
      </c>
      <c r="E33" s="2">
        <v>8</v>
      </c>
      <c r="F33" s="8">
        <v>40513.429861111108</v>
      </c>
      <c r="G33" s="2">
        <v>8.5</v>
      </c>
      <c r="H33" s="2">
        <v>17511</v>
      </c>
      <c r="I33" s="2" t="s">
        <v>10</v>
      </c>
      <c r="J33" s="2">
        <f>ABS(DF_2[[#This Row],[Quantity_BEFORE]])</f>
        <v>8</v>
      </c>
      <c r="K33" s="2">
        <f>DF_2[[#This Row],[QUANTITY]]*DF_2[[#This Row],[UnitPrice]]</f>
        <v>68</v>
      </c>
    </row>
    <row r="34" spans="2:11" x14ac:dyDescent="0.25">
      <c r="B34" s="2">
        <v>536389</v>
      </c>
      <c r="C34" s="2">
        <v>22941</v>
      </c>
      <c r="D34" s="2" t="s">
        <v>187</v>
      </c>
      <c r="E34" s="2">
        <v>6</v>
      </c>
      <c r="F34" s="8">
        <v>40513.418749999997</v>
      </c>
      <c r="G34" s="2">
        <v>8.5</v>
      </c>
      <c r="H34" s="2">
        <v>12431</v>
      </c>
      <c r="I34" s="2" t="s">
        <v>188</v>
      </c>
      <c r="J34" s="2">
        <f>ABS(DF_2[[#This Row],[Quantity_BEFORE]])</f>
        <v>6</v>
      </c>
      <c r="K34" s="2">
        <f>DF_2[[#This Row],[QUANTITY]]*DF_2[[#This Row],[UnitPrice]]</f>
        <v>51</v>
      </c>
    </row>
    <row r="35" spans="2:11" x14ac:dyDescent="0.25">
      <c r="B35" s="2">
        <v>536398</v>
      </c>
      <c r="C35" s="2">
        <v>22752</v>
      </c>
      <c r="D35" s="2" t="s">
        <v>18</v>
      </c>
      <c r="E35" s="2">
        <v>6</v>
      </c>
      <c r="F35" s="8">
        <v>40513.452777777777</v>
      </c>
      <c r="G35" s="2">
        <v>8.5</v>
      </c>
      <c r="H35" s="2">
        <v>13448</v>
      </c>
      <c r="I35" s="2" t="s">
        <v>10</v>
      </c>
      <c r="J35" s="2">
        <f>ABS(DF_2[[#This Row],[Quantity_BEFORE]])</f>
        <v>6</v>
      </c>
      <c r="K35" s="2">
        <f>DF_2[[#This Row],[QUANTITY]]*DF_2[[#This Row],[UnitPrice]]</f>
        <v>51</v>
      </c>
    </row>
    <row r="36" spans="2:11" x14ac:dyDescent="0.25">
      <c r="B36" s="2">
        <v>536415</v>
      </c>
      <c r="C36" s="2">
        <v>22942</v>
      </c>
      <c r="D36" s="2" t="s">
        <v>480</v>
      </c>
      <c r="E36" s="2">
        <v>3</v>
      </c>
      <c r="F36" s="8">
        <v>40513.497916666667</v>
      </c>
      <c r="G36" s="2">
        <v>8.5</v>
      </c>
      <c r="H36" s="2">
        <v>12838</v>
      </c>
      <c r="I36" s="2" t="s">
        <v>10</v>
      </c>
      <c r="J36" s="2">
        <f>ABS(DF_2[[#This Row],[Quantity_BEFORE]])</f>
        <v>3</v>
      </c>
      <c r="K36" s="2">
        <f>DF_2[[#This Row],[QUANTITY]]*DF_2[[#This Row],[UnitPrice]]</f>
        <v>25.5</v>
      </c>
    </row>
    <row r="37" spans="2:11" x14ac:dyDescent="0.25">
      <c r="B37" s="2">
        <v>536415</v>
      </c>
      <c r="C37" s="2">
        <v>22941</v>
      </c>
      <c r="D37" s="2" t="s">
        <v>187</v>
      </c>
      <c r="E37" s="2">
        <v>3</v>
      </c>
      <c r="F37" s="8">
        <v>40513.497916666667</v>
      </c>
      <c r="G37" s="2">
        <v>8.5</v>
      </c>
      <c r="H37" s="2">
        <v>12838</v>
      </c>
      <c r="I37" s="2" t="s">
        <v>10</v>
      </c>
      <c r="J37" s="2">
        <f>ABS(DF_2[[#This Row],[Quantity_BEFORE]])</f>
        <v>3</v>
      </c>
      <c r="K37" s="2">
        <f>DF_2[[#This Row],[QUANTITY]]*DF_2[[#This Row],[UnitPrice]]</f>
        <v>25.5</v>
      </c>
    </row>
    <row r="38" spans="2:11" x14ac:dyDescent="0.25">
      <c r="B38" s="2">
        <v>536385</v>
      </c>
      <c r="C38" s="2">
        <v>22168</v>
      </c>
      <c r="D38" s="2" t="s">
        <v>169</v>
      </c>
      <c r="E38" s="2">
        <v>2</v>
      </c>
      <c r="F38" s="8">
        <v>40513.413888888892</v>
      </c>
      <c r="G38" s="2">
        <v>8.5</v>
      </c>
      <c r="H38" s="2">
        <v>17420</v>
      </c>
      <c r="I38" s="2" t="s">
        <v>10</v>
      </c>
      <c r="J38" s="2">
        <f>ABS(DF_2[[#This Row],[Quantity_BEFORE]])</f>
        <v>2</v>
      </c>
      <c r="K38" s="2">
        <f>DF_2[[#This Row],[QUANTITY]]*DF_2[[#This Row],[UnitPrice]]</f>
        <v>17</v>
      </c>
    </row>
    <row r="39" spans="2:11" x14ac:dyDescent="0.25">
      <c r="B39" s="2">
        <v>536389</v>
      </c>
      <c r="C39" s="2">
        <v>22193</v>
      </c>
      <c r="D39" s="2" t="s">
        <v>196</v>
      </c>
      <c r="E39" s="2">
        <v>2</v>
      </c>
      <c r="F39" s="8">
        <v>40513.418749999997</v>
      </c>
      <c r="G39" s="2">
        <v>8.5</v>
      </c>
      <c r="H39" s="2">
        <v>12431</v>
      </c>
      <c r="I39" s="2" t="s">
        <v>188</v>
      </c>
      <c r="J39" s="2">
        <f>ABS(DF_2[[#This Row],[Quantity_BEFORE]])</f>
        <v>2</v>
      </c>
      <c r="K39" s="2">
        <f>DF_2[[#This Row],[QUANTITY]]*DF_2[[#This Row],[UnitPrice]]</f>
        <v>17</v>
      </c>
    </row>
    <row r="40" spans="2:11" x14ac:dyDescent="0.25">
      <c r="B40" s="2">
        <v>536389</v>
      </c>
      <c r="C40" s="2">
        <v>22192</v>
      </c>
      <c r="D40" s="2" t="s">
        <v>197</v>
      </c>
      <c r="E40" s="2">
        <v>2</v>
      </c>
      <c r="F40" s="8">
        <v>40513.418749999997</v>
      </c>
      <c r="G40" s="2">
        <v>8.5</v>
      </c>
      <c r="H40" s="2">
        <v>12431</v>
      </c>
      <c r="I40" s="2" t="s">
        <v>188</v>
      </c>
      <c r="J40" s="2">
        <f>ABS(DF_2[[#This Row],[Quantity_BEFORE]])</f>
        <v>2</v>
      </c>
      <c r="K40" s="2">
        <f>DF_2[[#This Row],[QUANTITY]]*DF_2[[#This Row],[UnitPrice]]</f>
        <v>17</v>
      </c>
    </row>
    <row r="41" spans="2:11" x14ac:dyDescent="0.25">
      <c r="B41" s="2">
        <v>536389</v>
      </c>
      <c r="C41" s="2">
        <v>22191</v>
      </c>
      <c r="D41" s="2" t="s">
        <v>198</v>
      </c>
      <c r="E41" s="2">
        <v>2</v>
      </c>
      <c r="F41" s="8">
        <v>40513.418749999997</v>
      </c>
      <c r="G41" s="2">
        <v>8.5</v>
      </c>
      <c r="H41" s="2">
        <v>12431</v>
      </c>
      <c r="I41" s="2" t="s">
        <v>188</v>
      </c>
      <c r="J41" s="2">
        <f>ABS(DF_2[[#This Row],[Quantity_BEFORE]])</f>
        <v>2</v>
      </c>
      <c r="K41" s="2">
        <f>DF_2[[#This Row],[QUANTITY]]*DF_2[[#This Row],[UnitPrice]]</f>
        <v>17</v>
      </c>
    </row>
    <row r="42" spans="2:11" x14ac:dyDescent="0.25">
      <c r="B42" s="2">
        <v>536390</v>
      </c>
      <c r="C42" s="2">
        <v>22941</v>
      </c>
      <c r="D42" s="2" t="s">
        <v>187</v>
      </c>
      <c r="E42" s="2">
        <v>2</v>
      </c>
      <c r="F42" s="8">
        <v>40513.429861111108</v>
      </c>
      <c r="G42" s="2">
        <v>8.5</v>
      </c>
      <c r="H42" s="2">
        <v>17511</v>
      </c>
      <c r="I42" s="2" t="s">
        <v>10</v>
      </c>
      <c r="J42" s="2">
        <f>ABS(DF_2[[#This Row],[Quantity_BEFORE]])</f>
        <v>2</v>
      </c>
      <c r="K42" s="2">
        <f>DF_2[[#This Row],[QUANTITY]]*DF_2[[#This Row],[UnitPrice]]</f>
        <v>17</v>
      </c>
    </row>
    <row r="43" spans="2:11" x14ac:dyDescent="0.25">
      <c r="B43" s="2">
        <v>536488</v>
      </c>
      <c r="C43" s="2">
        <v>21621</v>
      </c>
      <c r="D43" s="2" t="s">
        <v>612</v>
      </c>
      <c r="E43" s="2">
        <v>1</v>
      </c>
      <c r="F43" s="8">
        <v>40513.521527777775</v>
      </c>
      <c r="G43" s="2">
        <v>8.5</v>
      </c>
      <c r="H43" s="2">
        <v>17897</v>
      </c>
      <c r="I43" s="2" t="s">
        <v>10</v>
      </c>
      <c r="J43" s="2">
        <f>ABS(DF_2[[#This Row],[Quantity_BEFORE]])</f>
        <v>1</v>
      </c>
      <c r="K43" s="2">
        <f>DF_2[[#This Row],[QUANTITY]]*DF_2[[#This Row],[UnitPrice]]</f>
        <v>8.5</v>
      </c>
    </row>
    <row r="44" spans="2:11" x14ac:dyDescent="0.25">
      <c r="B44" s="2">
        <v>536367</v>
      </c>
      <c r="C44" s="2">
        <v>21777</v>
      </c>
      <c r="D44" s="2" t="s">
        <v>32</v>
      </c>
      <c r="E44" s="2">
        <v>4</v>
      </c>
      <c r="F44" s="8">
        <v>40513.356944444444</v>
      </c>
      <c r="G44" s="2">
        <v>7.95</v>
      </c>
      <c r="H44" s="2">
        <v>13047</v>
      </c>
      <c r="I44" s="2" t="s">
        <v>10</v>
      </c>
      <c r="J44" s="2">
        <f>ABS(DF_2[[#This Row],[Quantity_BEFORE]])</f>
        <v>4</v>
      </c>
      <c r="K44" s="2">
        <f>DF_2[[#This Row],[QUANTITY]]*DF_2[[#This Row],[UnitPrice]]</f>
        <v>31.8</v>
      </c>
    </row>
    <row r="45" spans="2:11" x14ac:dyDescent="0.25">
      <c r="B45" s="2">
        <v>536367</v>
      </c>
      <c r="C45" s="2">
        <v>48187</v>
      </c>
      <c r="D45" s="2" t="s">
        <v>33</v>
      </c>
      <c r="E45" s="2">
        <v>4</v>
      </c>
      <c r="F45" s="8">
        <v>40513.356944444444</v>
      </c>
      <c r="G45" s="2">
        <v>7.95</v>
      </c>
      <c r="H45" s="2">
        <v>13047</v>
      </c>
      <c r="I45" s="2" t="s">
        <v>10</v>
      </c>
      <c r="J45" s="2">
        <f>ABS(DF_2[[#This Row],[Quantity_BEFORE]])</f>
        <v>4</v>
      </c>
      <c r="K45" s="2">
        <f>DF_2[[#This Row],[QUANTITY]]*DF_2[[#This Row],[UnitPrice]]</f>
        <v>31.8</v>
      </c>
    </row>
    <row r="46" spans="2:11" x14ac:dyDescent="0.25">
      <c r="B46" s="2">
        <v>536388</v>
      </c>
      <c r="C46" s="2">
        <v>21523</v>
      </c>
      <c r="D46" s="2" t="s">
        <v>137</v>
      </c>
      <c r="E46" s="2">
        <v>2</v>
      </c>
      <c r="F46" s="8">
        <v>40513.415972222225</v>
      </c>
      <c r="G46" s="2">
        <v>7.95</v>
      </c>
      <c r="H46" s="2">
        <v>16250</v>
      </c>
      <c r="I46" s="2" t="s">
        <v>10</v>
      </c>
      <c r="J46" s="2">
        <f>ABS(DF_2[[#This Row],[Quantity_BEFORE]])</f>
        <v>2</v>
      </c>
      <c r="K46" s="2">
        <f>DF_2[[#This Row],[QUANTITY]]*DF_2[[#This Row],[UnitPrice]]</f>
        <v>15.9</v>
      </c>
    </row>
    <row r="47" spans="2:11" x14ac:dyDescent="0.25">
      <c r="B47" s="2">
        <v>536398</v>
      </c>
      <c r="C47" s="2">
        <v>48185</v>
      </c>
      <c r="D47" s="2" t="s">
        <v>254</v>
      </c>
      <c r="E47" s="2">
        <v>2</v>
      </c>
      <c r="F47" s="8">
        <v>40513.452777777777</v>
      </c>
      <c r="G47" s="2">
        <v>7.95</v>
      </c>
      <c r="H47" s="2">
        <v>13448</v>
      </c>
      <c r="I47" s="2" t="s">
        <v>10</v>
      </c>
      <c r="J47" s="2">
        <f>ABS(DF_2[[#This Row],[Quantity_BEFORE]])</f>
        <v>2</v>
      </c>
      <c r="K47" s="2">
        <f>DF_2[[#This Row],[QUANTITY]]*DF_2[[#This Row],[UnitPrice]]</f>
        <v>15.9</v>
      </c>
    </row>
    <row r="48" spans="2:11" x14ac:dyDescent="0.25">
      <c r="B48" s="2">
        <v>536408</v>
      </c>
      <c r="C48" s="2">
        <v>20685</v>
      </c>
      <c r="D48" s="2" t="s">
        <v>365</v>
      </c>
      <c r="E48" s="2">
        <v>2</v>
      </c>
      <c r="F48" s="8">
        <v>40513.486805555556</v>
      </c>
      <c r="G48" s="2">
        <v>7.95</v>
      </c>
      <c r="H48" s="2">
        <v>14307</v>
      </c>
      <c r="I48" s="2" t="s">
        <v>10</v>
      </c>
      <c r="J48" s="2">
        <f>ABS(DF_2[[#This Row],[Quantity_BEFORE]])</f>
        <v>2</v>
      </c>
      <c r="K48" s="2">
        <f>DF_2[[#This Row],[QUANTITY]]*DF_2[[#This Row],[UnitPrice]]</f>
        <v>15.9</v>
      </c>
    </row>
    <row r="49" spans="2:11" x14ac:dyDescent="0.25">
      <c r="B49" s="2">
        <v>536408</v>
      </c>
      <c r="C49" s="2">
        <v>48194</v>
      </c>
      <c r="D49" s="2" t="s">
        <v>366</v>
      </c>
      <c r="E49" s="2">
        <v>2</v>
      </c>
      <c r="F49" s="8">
        <v>40513.486805555556</v>
      </c>
      <c r="G49" s="2">
        <v>7.95</v>
      </c>
      <c r="H49" s="2">
        <v>14307</v>
      </c>
      <c r="I49" s="2" t="s">
        <v>10</v>
      </c>
      <c r="J49" s="2">
        <f>ABS(DF_2[[#This Row],[Quantity_BEFORE]])</f>
        <v>2</v>
      </c>
      <c r="K49" s="2">
        <f>DF_2[[#This Row],[QUANTITY]]*DF_2[[#This Row],[UnitPrice]]</f>
        <v>15.9</v>
      </c>
    </row>
    <row r="50" spans="2:11" x14ac:dyDescent="0.25">
      <c r="B50" s="2">
        <v>536460</v>
      </c>
      <c r="C50" s="2">
        <v>21257</v>
      </c>
      <c r="D50" s="2" t="s">
        <v>548</v>
      </c>
      <c r="E50" s="2">
        <v>2</v>
      </c>
      <c r="F50" s="8">
        <v>40513.515277777777</v>
      </c>
      <c r="G50" s="2">
        <v>7.95</v>
      </c>
      <c r="H50" s="2">
        <v>14849</v>
      </c>
      <c r="I50" s="2" t="s">
        <v>10</v>
      </c>
      <c r="J50" s="2">
        <f>ABS(DF_2[[#This Row],[Quantity_BEFORE]])</f>
        <v>2</v>
      </c>
      <c r="K50" s="2">
        <f>DF_2[[#This Row],[QUANTITY]]*DF_2[[#This Row],[UnitPrice]]</f>
        <v>15.9</v>
      </c>
    </row>
    <row r="51" spans="2:11" x14ac:dyDescent="0.25">
      <c r="B51" s="2">
        <v>536401</v>
      </c>
      <c r="C51" s="2">
        <v>48129</v>
      </c>
      <c r="D51" s="2" t="s">
        <v>286</v>
      </c>
      <c r="E51" s="2">
        <v>1</v>
      </c>
      <c r="F51" s="8">
        <v>40513.472916666666</v>
      </c>
      <c r="G51" s="2">
        <v>7.95</v>
      </c>
      <c r="H51" s="2">
        <v>15862</v>
      </c>
      <c r="I51" s="2" t="s">
        <v>10</v>
      </c>
      <c r="J51" s="2">
        <f>ABS(DF_2[[#This Row],[Quantity_BEFORE]])</f>
        <v>1</v>
      </c>
      <c r="K51" s="2">
        <f>DF_2[[#This Row],[QUANTITY]]*DF_2[[#This Row],[UnitPrice]]</f>
        <v>7.95</v>
      </c>
    </row>
    <row r="52" spans="2:11" x14ac:dyDescent="0.25">
      <c r="B52" s="2">
        <v>536401</v>
      </c>
      <c r="C52" s="2">
        <v>20749</v>
      </c>
      <c r="D52" s="2" t="s">
        <v>310</v>
      </c>
      <c r="E52" s="2">
        <v>1</v>
      </c>
      <c r="F52" s="8">
        <v>40513.472916666666</v>
      </c>
      <c r="G52" s="2">
        <v>7.95</v>
      </c>
      <c r="H52" s="2">
        <v>15862</v>
      </c>
      <c r="I52" s="2" t="s">
        <v>10</v>
      </c>
      <c r="J52" s="2">
        <f>ABS(DF_2[[#This Row],[Quantity_BEFORE]])</f>
        <v>1</v>
      </c>
      <c r="K52" s="2">
        <f>DF_2[[#This Row],[QUANTITY]]*DF_2[[#This Row],[UnitPrice]]</f>
        <v>7.95</v>
      </c>
    </row>
    <row r="53" spans="2:11" x14ac:dyDescent="0.25">
      <c r="B53" s="2">
        <v>536409</v>
      </c>
      <c r="C53" s="2">
        <v>21955</v>
      </c>
      <c r="D53" s="2" t="s">
        <v>396</v>
      </c>
      <c r="E53" s="2">
        <v>1</v>
      </c>
      <c r="F53" s="8">
        <v>40513.489583333336</v>
      </c>
      <c r="G53" s="2">
        <v>7.95</v>
      </c>
      <c r="H53" s="2">
        <v>17908</v>
      </c>
      <c r="I53" s="2" t="s">
        <v>10</v>
      </c>
      <c r="J53" s="2">
        <f>ABS(DF_2[[#This Row],[Quantity_BEFORE]])</f>
        <v>1</v>
      </c>
      <c r="K53" s="2">
        <f>DF_2[[#This Row],[QUANTITY]]*DF_2[[#This Row],[UnitPrice]]</f>
        <v>7.95</v>
      </c>
    </row>
    <row r="54" spans="2:11" x14ac:dyDescent="0.25">
      <c r="B54" s="2">
        <v>536412</v>
      </c>
      <c r="C54" s="2">
        <v>20750</v>
      </c>
      <c r="D54" s="2" t="s">
        <v>455</v>
      </c>
      <c r="E54" s="2">
        <v>1</v>
      </c>
      <c r="F54" s="8">
        <v>40513.492361111108</v>
      </c>
      <c r="G54" s="2">
        <v>7.95</v>
      </c>
      <c r="H54" s="2">
        <v>17920</v>
      </c>
      <c r="I54" s="2" t="s">
        <v>10</v>
      </c>
      <c r="J54" s="2">
        <f>ABS(DF_2[[#This Row],[Quantity_BEFORE]])</f>
        <v>1</v>
      </c>
      <c r="K54" s="2">
        <f>DF_2[[#This Row],[QUANTITY]]*DF_2[[#This Row],[UnitPrice]]</f>
        <v>7.95</v>
      </c>
    </row>
    <row r="55" spans="2:11" x14ac:dyDescent="0.25">
      <c r="B55" s="2">
        <v>536464</v>
      </c>
      <c r="C55" s="2" t="s">
        <v>602</v>
      </c>
      <c r="D55" s="2" t="s">
        <v>603</v>
      </c>
      <c r="E55" s="2">
        <v>1</v>
      </c>
      <c r="F55" s="8">
        <v>40513.515972222223</v>
      </c>
      <c r="G55" s="2">
        <v>7.95</v>
      </c>
      <c r="H55" s="2">
        <v>17968</v>
      </c>
      <c r="I55" s="2" t="s">
        <v>10</v>
      </c>
      <c r="J55" s="2">
        <f>ABS(DF_2[[#This Row],[Quantity_BEFORE]])</f>
        <v>1</v>
      </c>
      <c r="K55" s="2">
        <f>DF_2[[#This Row],[QUANTITY]]*DF_2[[#This Row],[UnitPrice]]</f>
        <v>7.95</v>
      </c>
    </row>
    <row r="56" spans="2:11" x14ac:dyDescent="0.25">
      <c r="B56" s="2">
        <v>536365</v>
      </c>
      <c r="C56" s="2">
        <v>22752</v>
      </c>
      <c r="D56" s="2" t="s">
        <v>18</v>
      </c>
      <c r="E56" s="2">
        <v>2</v>
      </c>
      <c r="F56" s="8">
        <v>40513.351388888892</v>
      </c>
      <c r="G56" s="2">
        <v>7.65</v>
      </c>
      <c r="H56" s="2">
        <v>17850</v>
      </c>
      <c r="I56" s="2" t="s">
        <v>10</v>
      </c>
      <c r="J56" s="2">
        <f>ABS(DF_2[[#This Row],[Quantity_BEFORE]])</f>
        <v>2</v>
      </c>
      <c r="K56" s="2">
        <f>DF_2[[#This Row],[QUANTITY]]*DF_2[[#This Row],[UnitPrice]]</f>
        <v>15.3</v>
      </c>
    </row>
    <row r="57" spans="2:11" x14ac:dyDescent="0.25">
      <c r="B57" s="2">
        <v>536373</v>
      </c>
      <c r="C57" s="2">
        <v>22752</v>
      </c>
      <c r="D57" s="2" t="s">
        <v>18</v>
      </c>
      <c r="E57" s="2">
        <v>2</v>
      </c>
      <c r="F57" s="8">
        <v>40513.376388888886</v>
      </c>
      <c r="G57" s="2">
        <v>7.65</v>
      </c>
      <c r="H57" s="2">
        <v>17850</v>
      </c>
      <c r="I57" s="2" t="s">
        <v>10</v>
      </c>
      <c r="J57" s="2">
        <f>ABS(DF_2[[#This Row],[Quantity_BEFORE]])</f>
        <v>2</v>
      </c>
      <c r="K57" s="2">
        <f>DF_2[[#This Row],[QUANTITY]]*DF_2[[#This Row],[UnitPrice]]</f>
        <v>15.3</v>
      </c>
    </row>
    <row r="58" spans="2:11" x14ac:dyDescent="0.25">
      <c r="B58" s="2">
        <v>536375</v>
      </c>
      <c r="C58" s="2">
        <v>22752</v>
      </c>
      <c r="D58" s="2" t="s">
        <v>18</v>
      </c>
      <c r="E58" s="2">
        <v>2</v>
      </c>
      <c r="F58" s="8">
        <v>40513.397222222222</v>
      </c>
      <c r="G58" s="2">
        <v>7.65</v>
      </c>
      <c r="H58" s="2">
        <v>17850</v>
      </c>
      <c r="I58" s="2" t="s">
        <v>10</v>
      </c>
      <c r="J58" s="2">
        <f>ABS(DF_2[[#This Row],[Quantity_BEFORE]])</f>
        <v>2</v>
      </c>
      <c r="K58" s="2">
        <f>DF_2[[#This Row],[QUANTITY]]*DF_2[[#This Row],[UnitPrice]]</f>
        <v>15.3</v>
      </c>
    </row>
    <row r="59" spans="2:11" x14ac:dyDescent="0.25">
      <c r="B59" s="2">
        <v>536396</v>
      </c>
      <c r="C59" s="2">
        <v>22752</v>
      </c>
      <c r="D59" s="2" t="s">
        <v>18</v>
      </c>
      <c r="E59" s="2">
        <v>2</v>
      </c>
      <c r="F59" s="8">
        <v>40513.45208333333</v>
      </c>
      <c r="G59" s="2">
        <v>7.65</v>
      </c>
      <c r="H59" s="2">
        <v>17850</v>
      </c>
      <c r="I59" s="2" t="s">
        <v>10</v>
      </c>
      <c r="J59" s="2">
        <f>ABS(DF_2[[#This Row],[Quantity_BEFORE]])</f>
        <v>2</v>
      </c>
      <c r="K59" s="2">
        <f>DF_2[[#This Row],[QUANTITY]]*DF_2[[#This Row],[UnitPrice]]</f>
        <v>15.3</v>
      </c>
    </row>
    <row r="60" spans="2:11" x14ac:dyDescent="0.25">
      <c r="B60" s="2">
        <v>536406</v>
      </c>
      <c r="C60" s="2">
        <v>22752</v>
      </c>
      <c r="D60" s="2" t="s">
        <v>18</v>
      </c>
      <c r="E60" s="2">
        <v>2</v>
      </c>
      <c r="F60" s="8">
        <v>40513.481249999997</v>
      </c>
      <c r="G60" s="2">
        <v>7.65</v>
      </c>
      <c r="H60" s="2">
        <v>17850</v>
      </c>
      <c r="I60" s="2" t="s">
        <v>10</v>
      </c>
      <c r="J60" s="2">
        <f>ABS(DF_2[[#This Row],[Quantity_BEFORE]])</f>
        <v>2</v>
      </c>
      <c r="K60" s="2">
        <f>DF_2[[#This Row],[QUANTITY]]*DF_2[[#This Row],[UnitPrice]]</f>
        <v>15.3</v>
      </c>
    </row>
    <row r="61" spans="2:11" x14ac:dyDescent="0.25">
      <c r="B61" s="2">
        <v>536384</v>
      </c>
      <c r="C61" s="2">
        <v>22428</v>
      </c>
      <c r="D61" s="2" t="s">
        <v>164</v>
      </c>
      <c r="E61" s="2">
        <v>6</v>
      </c>
      <c r="F61" s="8">
        <v>40513.411805555559</v>
      </c>
      <c r="G61" s="2">
        <v>6.95</v>
      </c>
      <c r="H61" s="2">
        <v>18074</v>
      </c>
      <c r="I61" s="2" t="s">
        <v>10</v>
      </c>
      <c r="J61" s="2">
        <f>ABS(DF_2[[#This Row],[Quantity_BEFORE]])</f>
        <v>6</v>
      </c>
      <c r="K61" s="2">
        <f>DF_2[[#This Row],[QUANTITY]]*DF_2[[#This Row],[UnitPrice]]</f>
        <v>41.7</v>
      </c>
    </row>
    <row r="62" spans="2:11" x14ac:dyDescent="0.25">
      <c r="B62" s="2">
        <v>536373</v>
      </c>
      <c r="C62" s="2">
        <v>82486</v>
      </c>
      <c r="D62" s="2" t="s">
        <v>68</v>
      </c>
      <c r="E62" s="2">
        <v>4</v>
      </c>
      <c r="F62" s="8">
        <v>40513.376388888886</v>
      </c>
      <c r="G62" s="2">
        <v>6.95</v>
      </c>
      <c r="H62" s="2">
        <v>17850</v>
      </c>
      <c r="I62" s="2" t="s">
        <v>10</v>
      </c>
      <c r="J62" s="2">
        <f>ABS(DF_2[[#This Row],[Quantity_BEFORE]])</f>
        <v>4</v>
      </c>
      <c r="K62" s="2">
        <f>DF_2[[#This Row],[QUANTITY]]*DF_2[[#This Row],[UnitPrice]]</f>
        <v>27.8</v>
      </c>
    </row>
    <row r="63" spans="2:11" x14ac:dyDescent="0.25">
      <c r="B63" s="2">
        <v>536375</v>
      </c>
      <c r="C63" s="2">
        <v>82486</v>
      </c>
      <c r="D63" s="2" t="s">
        <v>68</v>
      </c>
      <c r="E63" s="2">
        <v>4</v>
      </c>
      <c r="F63" s="8">
        <v>40513.397222222222</v>
      </c>
      <c r="G63" s="2">
        <v>6.95</v>
      </c>
      <c r="H63" s="2">
        <v>17850</v>
      </c>
      <c r="I63" s="2" t="s">
        <v>10</v>
      </c>
      <c r="J63" s="2">
        <f>ABS(DF_2[[#This Row],[Quantity_BEFORE]])</f>
        <v>4</v>
      </c>
      <c r="K63" s="2">
        <f>DF_2[[#This Row],[QUANTITY]]*DF_2[[#This Row],[UnitPrice]]</f>
        <v>27.8</v>
      </c>
    </row>
    <row r="64" spans="2:11" x14ac:dyDescent="0.25">
      <c r="B64" s="2">
        <v>536396</v>
      </c>
      <c r="C64" s="2">
        <v>82486</v>
      </c>
      <c r="D64" s="2" t="s">
        <v>68</v>
      </c>
      <c r="E64" s="2">
        <v>4</v>
      </c>
      <c r="F64" s="8">
        <v>40513.45208333333</v>
      </c>
      <c r="G64" s="2">
        <v>6.95</v>
      </c>
      <c r="H64" s="2">
        <v>17850</v>
      </c>
      <c r="I64" s="2" t="s">
        <v>10</v>
      </c>
      <c r="J64" s="2">
        <f>ABS(DF_2[[#This Row],[Quantity_BEFORE]])</f>
        <v>4</v>
      </c>
      <c r="K64" s="2">
        <f>DF_2[[#This Row],[QUANTITY]]*DF_2[[#This Row],[UnitPrice]]</f>
        <v>27.8</v>
      </c>
    </row>
    <row r="65" spans="2:11" x14ac:dyDescent="0.25">
      <c r="B65" s="2">
        <v>536406</v>
      </c>
      <c r="C65" s="2">
        <v>82486</v>
      </c>
      <c r="D65" s="2" t="s">
        <v>68</v>
      </c>
      <c r="E65" s="2">
        <v>4</v>
      </c>
      <c r="F65" s="8">
        <v>40513.481249999997</v>
      </c>
      <c r="G65" s="2">
        <v>6.95</v>
      </c>
      <c r="H65" s="2">
        <v>17850</v>
      </c>
      <c r="I65" s="2" t="s">
        <v>10</v>
      </c>
      <c r="J65" s="2">
        <f>ABS(DF_2[[#This Row],[Quantity_BEFORE]])</f>
        <v>4</v>
      </c>
      <c r="K65" s="2">
        <f>DF_2[[#This Row],[QUANTITY]]*DF_2[[#This Row],[UnitPrice]]</f>
        <v>27.8</v>
      </c>
    </row>
    <row r="66" spans="2:11" x14ac:dyDescent="0.25">
      <c r="B66" s="2">
        <v>536401</v>
      </c>
      <c r="C66" s="2">
        <v>22428</v>
      </c>
      <c r="D66" s="2" t="s">
        <v>164</v>
      </c>
      <c r="E66" s="2">
        <v>2</v>
      </c>
      <c r="F66" s="8">
        <v>40513.472916666666</v>
      </c>
      <c r="G66" s="2">
        <v>6.95</v>
      </c>
      <c r="H66" s="2">
        <v>15862</v>
      </c>
      <c r="I66" s="2" t="s">
        <v>10</v>
      </c>
      <c r="J66" s="2">
        <f>ABS(DF_2[[#This Row],[Quantity_BEFORE]])</f>
        <v>2</v>
      </c>
      <c r="K66" s="2">
        <f>DF_2[[#This Row],[QUANTITY]]*DF_2[[#This Row],[UnitPrice]]</f>
        <v>13.9</v>
      </c>
    </row>
    <row r="67" spans="2:11" x14ac:dyDescent="0.25">
      <c r="B67" s="2">
        <v>536381</v>
      </c>
      <c r="C67" s="2">
        <v>21523</v>
      </c>
      <c r="D67" s="2" t="s">
        <v>137</v>
      </c>
      <c r="E67" s="2">
        <v>10</v>
      </c>
      <c r="F67" s="8">
        <v>40513.40347222222</v>
      </c>
      <c r="G67" s="2">
        <v>6.75</v>
      </c>
      <c r="H67" s="2">
        <v>15311</v>
      </c>
      <c r="I67" s="2" t="s">
        <v>10</v>
      </c>
      <c r="J67" s="2">
        <f>ABS(DF_2[[#This Row],[Quantity_BEFORE]])</f>
        <v>10</v>
      </c>
      <c r="K67" s="2">
        <f>DF_2[[#This Row],[QUANTITY]]*DF_2[[#This Row],[UnitPrice]]</f>
        <v>67.5</v>
      </c>
    </row>
    <row r="68" spans="2:11" x14ac:dyDescent="0.25">
      <c r="B68" s="2">
        <v>536388</v>
      </c>
      <c r="C68" s="2">
        <v>21115</v>
      </c>
      <c r="D68" s="2" t="s">
        <v>185</v>
      </c>
      <c r="E68" s="2">
        <v>4</v>
      </c>
      <c r="F68" s="8">
        <v>40513.415972222225</v>
      </c>
      <c r="G68" s="2">
        <v>6.75</v>
      </c>
      <c r="H68" s="2">
        <v>16250</v>
      </c>
      <c r="I68" s="2" t="s">
        <v>10</v>
      </c>
      <c r="J68" s="2">
        <f>ABS(DF_2[[#This Row],[Quantity_BEFORE]])</f>
        <v>4</v>
      </c>
      <c r="K68" s="2">
        <f>DF_2[[#This Row],[QUANTITY]]*DF_2[[#This Row],[UnitPrice]]</f>
        <v>27</v>
      </c>
    </row>
    <row r="69" spans="2:11" x14ac:dyDescent="0.25">
      <c r="B69" s="2">
        <v>536398</v>
      </c>
      <c r="C69" s="2">
        <v>22468</v>
      </c>
      <c r="D69" s="2" t="s">
        <v>253</v>
      </c>
      <c r="E69" s="2">
        <v>4</v>
      </c>
      <c r="F69" s="8">
        <v>40513.452777777777</v>
      </c>
      <c r="G69" s="2">
        <v>6.75</v>
      </c>
      <c r="H69" s="2">
        <v>13448</v>
      </c>
      <c r="I69" s="2" t="s">
        <v>10</v>
      </c>
      <c r="J69" s="2">
        <f>ABS(DF_2[[#This Row],[Quantity_BEFORE]])</f>
        <v>4</v>
      </c>
      <c r="K69" s="2">
        <f>DF_2[[#This Row],[QUANTITY]]*DF_2[[#This Row],[UnitPrice]]</f>
        <v>27</v>
      </c>
    </row>
    <row r="70" spans="2:11" x14ac:dyDescent="0.25">
      <c r="B70" s="2">
        <v>536412</v>
      </c>
      <c r="C70" s="2">
        <v>22179</v>
      </c>
      <c r="D70" s="2" t="s">
        <v>450</v>
      </c>
      <c r="E70" s="2">
        <v>2</v>
      </c>
      <c r="F70" s="8">
        <v>40513.492361111108</v>
      </c>
      <c r="G70" s="2">
        <v>6.75</v>
      </c>
      <c r="H70" s="2">
        <v>17920</v>
      </c>
      <c r="I70" s="2" t="s">
        <v>10</v>
      </c>
      <c r="J70" s="2">
        <f>ABS(DF_2[[#This Row],[Quantity_BEFORE]])</f>
        <v>2</v>
      </c>
      <c r="K70" s="2">
        <f>DF_2[[#This Row],[QUANTITY]]*DF_2[[#This Row],[UnitPrice]]</f>
        <v>13.5</v>
      </c>
    </row>
    <row r="71" spans="2:11" x14ac:dyDescent="0.25">
      <c r="B71" s="2">
        <v>536412</v>
      </c>
      <c r="C71" s="2">
        <v>22468</v>
      </c>
      <c r="D71" s="2" t="s">
        <v>253</v>
      </c>
      <c r="E71" s="2">
        <v>2</v>
      </c>
      <c r="F71" s="8">
        <v>40513.492361111108</v>
      </c>
      <c r="G71" s="2">
        <v>6.75</v>
      </c>
      <c r="H71" s="2">
        <v>17920</v>
      </c>
      <c r="I71" s="2" t="s">
        <v>10</v>
      </c>
      <c r="J71" s="2">
        <f>ABS(DF_2[[#This Row],[Quantity_BEFORE]])</f>
        <v>2</v>
      </c>
      <c r="K71" s="2">
        <f>DF_2[[#This Row],[QUANTITY]]*DF_2[[#This Row],[UnitPrice]]</f>
        <v>13.5</v>
      </c>
    </row>
    <row r="72" spans="2:11" x14ac:dyDescent="0.25">
      <c r="B72" s="2">
        <v>536409</v>
      </c>
      <c r="C72" s="2">
        <v>22785</v>
      </c>
      <c r="D72" s="2" t="s">
        <v>383</v>
      </c>
      <c r="E72" s="2">
        <v>1</v>
      </c>
      <c r="F72" s="8">
        <v>40513.489583333336</v>
      </c>
      <c r="G72" s="2">
        <v>6.75</v>
      </c>
      <c r="H72" s="2">
        <v>17908</v>
      </c>
      <c r="I72" s="2" t="s">
        <v>10</v>
      </c>
      <c r="J72" s="2">
        <f>ABS(DF_2[[#This Row],[Quantity_BEFORE]])</f>
        <v>1</v>
      </c>
      <c r="K72" s="2">
        <f>DF_2[[#This Row],[QUANTITY]]*DF_2[[#This Row],[UnitPrice]]</f>
        <v>6.75</v>
      </c>
    </row>
    <row r="73" spans="2:11" x14ac:dyDescent="0.25">
      <c r="B73" s="2">
        <v>536409</v>
      </c>
      <c r="C73" s="2">
        <v>22183</v>
      </c>
      <c r="D73" s="2" t="s">
        <v>402</v>
      </c>
      <c r="E73" s="2">
        <v>1</v>
      </c>
      <c r="F73" s="8">
        <v>40513.489583333336</v>
      </c>
      <c r="G73" s="2">
        <v>6.75</v>
      </c>
      <c r="H73" s="2">
        <v>17908</v>
      </c>
      <c r="I73" s="2" t="s">
        <v>10</v>
      </c>
      <c r="J73" s="2">
        <f>ABS(DF_2[[#This Row],[Quantity_BEFORE]])</f>
        <v>1</v>
      </c>
      <c r="K73" s="2">
        <f>DF_2[[#This Row],[QUANTITY]]*DF_2[[#This Row],[UnitPrice]]</f>
        <v>6.75</v>
      </c>
    </row>
    <row r="74" spans="2:11" x14ac:dyDescent="0.25">
      <c r="B74" s="2">
        <v>536488</v>
      </c>
      <c r="C74" s="2">
        <v>22468</v>
      </c>
      <c r="D74" s="2" t="s">
        <v>253</v>
      </c>
      <c r="E74" s="2">
        <v>1</v>
      </c>
      <c r="F74" s="8">
        <v>40513.521527777775</v>
      </c>
      <c r="G74" s="2">
        <v>6.75</v>
      </c>
      <c r="H74" s="2">
        <v>17897</v>
      </c>
      <c r="I74" s="2" t="s">
        <v>10</v>
      </c>
      <c r="J74" s="2">
        <f>ABS(DF_2[[#This Row],[Quantity_BEFORE]])</f>
        <v>1</v>
      </c>
      <c r="K74" s="2">
        <f>DF_2[[#This Row],[QUANTITY]]*DF_2[[#This Row],[UnitPrice]]</f>
        <v>6.75</v>
      </c>
    </row>
    <row r="75" spans="2:11" x14ac:dyDescent="0.25">
      <c r="B75" s="2">
        <v>536520</v>
      </c>
      <c r="C75" s="2">
        <v>21794</v>
      </c>
      <c r="D75" s="2" t="s">
        <v>641</v>
      </c>
      <c r="E75" s="2">
        <v>1</v>
      </c>
      <c r="F75" s="8">
        <v>40513.529861111114</v>
      </c>
      <c r="G75" s="2">
        <v>6.75</v>
      </c>
      <c r="H75" s="2">
        <v>14729</v>
      </c>
      <c r="I75" s="2" t="s">
        <v>10</v>
      </c>
      <c r="J75" s="2">
        <f>ABS(DF_2[[#This Row],[Quantity_BEFORE]])</f>
        <v>1</v>
      </c>
      <c r="K75" s="2">
        <f>DF_2[[#This Row],[QUANTITY]]*DF_2[[#This Row],[UnitPrice]]</f>
        <v>6.75</v>
      </c>
    </row>
    <row r="76" spans="2:11" x14ac:dyDescent="0.25">
      <c r="B76" s="2">
        <v>536384</v>
      </c>
      <c r="C76" s="2">
        <v>82484</v>
      </c>
      <c r="D76" s="2" t="s">
        <v>153</v>
      </c>
      <c r="E76" s="2">
        <v>3</v>
      </c>
      <c r="F76" s="8">
        <v>40513.411805555559</v>
      </c>
      <c r="G76" s="2">
        <v>6.45</v>
      </c>
      <c r="H76" s="2">
        <v>18074</v>
      </c>
      <c r="I76" s="2" t="s">
        <v>10</v>
      </c>
      <c r="J76" s="2">
        <f>ABS(DF_2[[#This Row],[Quantity_BEFORE]])</f>
        <v>3</v>
      </c>
      <c r="K76" s="2">
        <f>DF_2[[#This Row],[QUANTITY]]*DF_2[[#This Row],[UnitPrice]]</f>
        <v>19.350000000000001</v>
      </c>
    </row>
    <row r="77" spans="2:11" x14ac:dyDescent="0.25">
      <c r="B77" s="2">
        <v>536389</v>
      </c>
      <c r="C77" s="2" t="s">
        <v>190</v>
      </c>
      <c r="D77" s="2" t="s">
        <v>191</v>
      </c>
      <c r="E77" s="2">
        <v>4</v>
      </c>
      <c r="F77" s="8">
        <v>40513.418749999997</v>
      </c>
      <c r="G77" s="2">
        <v>6.35</v>
      </c>
      <c r="H77" s="2">
        <v>12431</v>
      </c>
      <c r="I77" s="2" t="s">
        <v>188</v>
      </c>
      <c r="J77" s="2">
        <f>ABS(DF_2[[#This Row],[Quantity_BEFORE]])</f>
        <v>4</v>
      </c>
      <c r="K77" s="2">
        <f>DF_2[[#This Row],[QUANTITY]]*DF_2[[#This Row],[UnitPrice]]</f>
        <v>25.4</v>
      </c>
    </row>
    <row r="78" spans="2:11" x14ac:dyDescent="0.25">
      <c r="B78" s="2">
        <v>536409</v>
      </c>
      <c r="C78" s="2" t="s">
        <v>381</v>
      </c>
      <c r="D78" s="2" t="s">
        <v>382</v>
      </c>
      <c r="E78" s="2">
        <v>3</v>
      </c>
      <c r="F78" s="8">
        <v>40513.489583333336</v>
      </c>
      <c r="G78" s="2">
        <v>6.35</v>
      </c>
      <c r="H78" s="2">
        <v>17908</v>
      </c>
      <c r="I78" s="2" t="s">
        <v>10</v>
      </c>
      <c r="J78" s="2">
        <f>ABS(DF_2[[#This Row],[Quantity_BEFORE]])</f>
        <v>3</v>
      </c>
      <c r="K78" s="2">
        <f>DF_2[[#This Row],[QUANTITY]]*DF_2[[#This Row],[UnitPrice]]</f>
        <v>19.049999999999997</v>
      </c>
    </row>
    <row r="79" spans="2:11" x14ac:dyDescent="0.25">
      <c r="B79" s="2">
        <v>536409</v>
      </c>
      <c r="C79" s="2" t="s">
        <v>381</v>
      </c>
      <c r="D79" s="2" t="s">
        <v>382</v>
      </c>
      <c r="E79" s="2">
        <v>2</v>
      </c>
      <c r="F79" s="8">
        <v>40513.489583333336</v>
      </c>
      <c r="G79" s="2">
        <v>6.35</v>
      </c>
      <c r="H79" s="2">
        <v>17908</v>
      </c>
      <c r="I79" s="2" t="s">
        <v>10</v>
      </c>
      <c r="J79" s="2">
        <f>ABS(DF_2[[#This Row],[Quantity_BEFORE]])</f>
        <v>2</v>
      </c>
      <c r="K79" s="2">
        <f>DF_2[[#This Row],[QUANTITY]]*DF_2[[#This Row],[UnitPrice]]</f>
        <v>12.7</v>
      </c>
    </row>
    <row r="80" spans="2:11" x14ac:dyDescent="0.25">
      <c r="B80" s="2">
        <v>536488</v>
      </c>
      <c r="C80" s="2">
        <v>21370</v>
      </c>
      <c r="D80" s="2" t="s">
        <v>621</v>
      </c>
      <c r="E80" s="2">
        <v>2</v>
      </c>
      <c r="F80" s="8">
        <v>40513.521527777775</v>
      </c>
      <c r="G80" s="2">
        <v>6.35</v>
      </c>
      <c r="H80" s="2">
        <v>17897</v>
      </c>
      <c r="I80" s="2" t="s">
        <v>10</v>
      </c>
      <c r="J80" s="2">
        <f>ABS(DF_2[[#This Row],[Quantity_BEFORE]])</f>
        <v>2</v>
      </c>
      <c r="K80" s="2">
        <f>DF_2[[#This Row],[QUANTITY]]*DF_2[[#This Row],[UnitPrice]]</f>
        <v>12.7</v>
      </c>
    </row>
    <row r="81" spans="2:11" x14ac:dyDescent="0.25">
      <c r="B81" s="2">
        <v>536409</v>
      </c>
      <c r="C81" s="2" t="s">
        <v>381</v>
      </c>
      <c r="D81" s="2" t="s">
        <v>382</v>
      </c>
      <c r="E81" s="2">
        <v>1</v>
      </c>
      <c r="F81" s="8">
        <v>40513.489583333336</v>
      </c>
      <c r="G81" s="2">
        <v>6.35</v>
      </c>
      <c r="H81" s="2">
        <v>17908</v>
      </c>
      <c r="I81" s="2" t="s">
        <v>10</v>
      </c>
      <c r="J81" s="2">
        <f>ABS(DF_2[[#This Row],[Quantity_BEFORE]])</f>
        <v>1</v>
      </c>
      <c r="K81" s="2">
        <f>DF_2[[#This Row],[QUANTITY]]*DF_2[[#This Row],[UnitPrice]]</f>
        <v>6.35</v>
      </c>
    </row>
    <row r="82" spans="2:11" x14ac:dyDescent="0.25">
      <c r="B82" s="2">
        <v>536382</v>
      </c>
      <c r="C82" s="2">
        <v>22926</v>
      </c>
      <c r="D82" s="2" t="s">
        <v>146</v>
      </c>
      <c r="E82" s="2">
        <v>12</v>
      </c>
      <c r="F82" s="8">
        <v>40513.40625</v>
      </c>
      <c r="G82" s="2">
        <v>5.95</v>
      </c>
      <c r="H82" s="2">
        <v>16098</v>
      </c>
      <c r="I82" s="2" t="s">
        <v>10</v>
      </c>
      <c r="J82" s="2">
        <f>ABS(DF_2[[#This Row],[Quantity_BEFORE]])</f>
        <v>12</v>
      </c>
      <c r="K82" s="2">
        <f>DF_2[[#This Row],[QUANTITY]]*DF_2[[#This Row],[UnitPrice]]</f>
        <v>71.400000000000006</v>
      </c>
    </row>
    <row r="83" spans="2:11" x14ac:dyDescent="0.25">
      <c r="B83" s="2">
        <v>536389</v>
      </c>
      <c r="C83" s="2" t="s">
        <v>192</v>
      </c>
      <c r="D83" s="2" t="s">
        <v>193</v>
      </c>
      <c r="E83" s="2">
        <v>6</v>
      </c>
      <c r="F83" s="8">
        <v>40513.418749999997</v>
      </c>
      <c r="G83" s="2">
        <v>5.95</v>
      </c>
      <c r="H83" s="2">
        <v>12431</v>
      </c>
      <c r="I83" s="2" t="s">
        <v>188</v>
      </c>
      <c r="J83" s="2">
        <f>ABS(DF_2[[#This Row],[Quantity_BEFORE]])</f>
        <v>6</v>
      </c>
      <c r="K83" s="2">
        <f>DF_2[[#This Row],[QUANTITY]]*DF_2[[#This Row],[UnitPrice]]</f>
        <v>35.700000000000003</v>
      </c>
    </row>
    <row r="84" spans="2:11" x14ac:dyDescent="0.25">
      <c r="B84" s="2">
        <v>536500</v>
      </c>
      <c r="C84" s="2">
        <v>21755</v>
      </c>
      <c r="D84" s="2" t="s">
        <v>31</v>
      </c>
      <c r="E84" s="2">
        <v>6</v>
      </c>
      <c r="F84" s="8">
        <v>40513.524305555555</v>
      </c>
      <c r="G84" s="2">
        <v>5.95</v>
      </c>
      <c r="H84" s="2">
        <v>17377</v>
      </c>
      <c r="I84" s="2" t="s">
        <v>10</v>
      </c>
      <c r="J84" s="2">
        <f>ABS(DF_2[[#This Row],[Quantity_BEFORE]])</f>
        <v>6</v>
      </c>
      <c r="K84" s="2">
        <f>DF_2[[#This Row],[QUANTITY]]*DF_2[[#This Row],[UnitPrice]]</f>
        <v>35.700000000000003</v>
      </c>
    </row>
    <row r="85" spans="2:11" x14ac:dyDescent="0.25">
      <c r="B85" s="2">
        <v>536500</v>
      </c>
      <c r="C85" s="2">
        <v>21754</v>
      </c>
      <c r="D85" s="2" t="s">
        <v>30</v>
      </c>
      <c r="E85" s="2">
        <v>6</v>
      </c>
      <c r="F85" s="8">
        <v>40513.524305555555</v>
      </c>
      <c r="G85" s="2">
        <v>5.95</v>
      </c>
      <c r="H85" s="2">
        <v>17377</v>
      </c>
      <c r="I85" s="2" t="s">
        <v>10</v>
      </c>
      <c r="J85" s="2">
        <f>ABS(DF_2[[#This Row],[Quantity_BEFORE]])</f>
        <v>6</v>
      </c>
      <c r="K85" s="2">
        <f>DF_2[[#This Row],[QUANTITY]]*DF_2[[#This Row],[UnitPrice]]</f>
        <v>35.700000000000003</v>
      </c>
    </row>
    <row r="86" spans="2:11" x14ac:dyDescent="0.25">
      <c r="B86" s="2">
        <v>536392</v>
      </c>
      <c r="C86" s="2">
        <v>22502</v>
      </c>
      <c r="D86" s="2" t="s">
        <v>233</v>
      </c>
      <c r="E86" s="2">
        <v>4</v>
      </c>
      <c r="F86" s="8">
        <v>40513.436805555553</v>
      </c>
      <c r="G86" s="2">
        <v>5.95</v>
      </c>
      <c r="H86" s="2">
        <v>13705</v>
      </c>
      <c r="I86" s="2" t="s">
        <v>10</v>
      </c>
      <c r="J86" s="2">
        <f>ABS(DF_2[[#This Row],[Quantity_BEFORE]])</f>
        <v>4</v>
      </c>
      <c r="K86" s="2">
        <f>DF_2[[#This Row],[QUANTITY]]*DF_2[[#This Row],[UnitPrice]]</f>
        <v>23.8</v>
      </c>
    </row>
    <row r="87" spans="2:11" x14ac:dyDescent="0.25">
      <c r="B87" s="2">
        <v>536460</v>
      </c>
      <c r="C87" s="2">
        <v>22926</v>
      </c>
      <c r="D87" s="2" t="s">
        <v>146</v>
      </c>
      <c r="E87" s="2">
        <v>4</v>
      </c>
      <c r="F87" s="8">
        <v>40513.515277777777</v>
      </c>
      <c r="G87" s="2">
        <v>5.95</v>
      </c>
      <c r="H87" s="2">
        <v>14849</v>
      </c>
      <c r="I87" s="2" t="s">
        <v>10</v>
      </c>
      <c r="J87" s="2">
        <f>ABS(DF_2[[#This Row],[Quantity_BEFORE]])</f>
        <v>4</v>
      </c>
      <c r="K87" s="2">
        <f>DF_2[[#This Row],[QUANTITY]]*DF_2[[#This Row],[UnitPrice]]</f>
        <v>23.8</v>
      </c>
    </row>
    <row r="88" spans="2:11" x14ac:dyDescent="0.25">
      <c r="B88" s="2">
        <v>536367</v>
      </c>
      <c r="C88" s="2">
        <v>21754</v>
      </c>
      <c r="D88" s="2" t="s">
        <v>30</v>
      </c>
      <c r="E88" s="2">
        <v>3</v>
      </c>
      <c r="F88" s="8">
        <v>40513.356944444444</v>
      </c>
      <c r="G88" s="2">
        <v>5.95</v>
      </c>
      <c r="H88" s="2">
        <v>13047</v>
      </c>
      <c r="I88" s="2" t="s">
        <v>10</v>
      </c>
      <c r="J88" s="2">
        <f>ABS(DF_2[[#This Row],[Quantity_BEFORE]])</f>
        <v>3</v>
      </c>
      <c r="K88" s="2">
        <f>DF_2[[#This Row],[QUANTITY]]*DF_2[[#This Row],[UnitPrice]]</f>
        <v>17.850000000000001</v>
      </c>
    </row>
    <row r="89" spans="2:11" x14ac:dyDescent="0.25">
      <c r="B89" s="2">
        <v>536367</v>
      </c>
      <c r="C89" s="2">
        <v>21755</v>
      </c>
      <c r="D89" s="2" t="s">
        <v>31</v>
      </c>
      <c r="E89" s="2">
        <v>3</v>
      </c>
      <c r="F89" s="8">
        <v>40513.356944444444</v>
      </c>
      <c r="G89" s="2">
        <v>5.95</v>
      </c>
      <c r="H89" s="2">
        <v>13047</v>
      </c>
      <c r="I89" s="2" t="s">
        <v>10</v>
      </c>
      <c r="J89" s="2">
        <f>ABS(DF_2[[#This Row],[Quantity_BEFORE]])</f>
        <v>3</v>
      </c>
      <c r="K89" s="2">
        <f>DF_2[[#This Row],[QUANTITY]]*DF_2[[#This Row],[UnitPrice]]</f>
        <v>17.850000000000001</v>
      </c>
    </row>
    <row r="90" spans="2:11" x14ac:dyDescent="0.25">
      <c r="B90" s="2">
        <v>536369</v>
      </c>
      <c r="C90" s="2">
        <v>21756</v>
      </c>
      <c r="D90" s="2" t="s">
        <v>38</v>
      </c>
      <c r="E90" s="2">
        <v>3</v>
      </c>
      <c r="F90" s="8">
        <v>40513.357638888891</v>
      </c>
      <c r="G90" s="2">
        <v>5.95</v>
      </c>
      <c r="H90" s="2">
        <v>13047</v>
      </c>
      <c r="I90" s="2" t="s">
        <v>10</v>
      </c>
      <c r="J90" s="2">
        <f>ABS(DF_2[[#This Row],[Quantity_BEFORE]])</f>
        <v>3</v>
      </c>
      <c r="K90" s="2">
        <f>DF_2[[#This Row],[QUANTITY]]*DF_2[[#This Row],[UnitPrice]]</f>
        <v>17.850000000000001</v>
      </c>
    </row>
    <row r="91" spans="2:11" x14ac:dyDescent="0.25">
      <c r="B91" s="2">
        <v>536384</v>
      </c>
      <c r="C91" s="2">
        <v>22427</v>
      </c>
      <c r="D91" s="2" t="s">
        <v>163</v>
      </c>
      <c r="E91" s="2">
        <v>3</v>
      </c>
      <c r="F91" s="8">
        <v>40513.411805555559</v>
      </c>
      <c r="G91" s="2">
        <v>5.95</v>
      </c>
      <c r="H91" s="2">
        <v>18074</v>
      </c>
      <c r="I91" s="2" t="s">
        <v>10</v>
      </c>
      <c r="J91" s="2">
        <f>ABS(DF_2[[#This Row],[Quantity_BEFORE]])</f>
        <v>3</v>
      </c>
      <c r="K91" s="2">
        <f>DF_2[[#This Row],[QUANTITY]]*DF_2[[#This Row],[UnitPrice]]</f>
        <v>17.850000000000001</v>
      </c>
    </row>
    <row r="92" spans="2:11" x14ac:dyDescent="0.25">
      <c r="B92" s="2">
        <v>536388</v>
      </c>
      <c r="C92" s="2">
        <v>21754</v>
      </c>
      <c r="D92" s="2" t="s">
        <v>30</v>
      </c>
      <c r="E92" s="2">
        <v>3</v>
      </c>
      <c r="F92" s="8">
        <v>40513.415972222225</v>
      </c>
      <c r="G92" s="2">
        <v>5.95</v>
      </c>
      <c r="H92" s="2">
        <v>16250</v>
      </c>
      <c r="I92" s="2" t="s">
        <v>10</v>
      </c>
      <c r="J92" s="2">
        <f>ABS(DF_2[[#This Row],[Quantity_BEFORE]])</f>
        <v>3</v>
      </c>
      <c r="K92" s="2">
        <f>DF_2[[#This Row],[QUANTITY]]*DF_2[[#This Row],[UnitPrice]]</f>
        <v>17.850000000000001</v>
      </c>
    </row>
    <row r="93" spans="2:11" x14ac:dyDescent="0.25">
      <c r="B93" s="2">
        <v>536388</v>
      </c>
      <c r="C93" s="2">
        <v>21755</v>
      </c>
      <c r="D93" s="2" t="s">
        <v>31</v>
      </c>
      <c r="E93" s="2">
        <v>3</v>
      </c>
      <c r="F93" s="8">
        <v>40513.415972222225</v>
      </c>
      <c r="G93" s="2">
        <v>5.95</v>
      </c>
      <c r="H93" s="2">
        <v>16250</v>
      </c>
      <c r="I93" s="2" t="s">
        <v>10</v>
      </c>
      <c r="J93" s="2">
        <f>ABS(DF_2[[#This Row],[Quantity_BEFORE]])</f>
        <v>3</v>
      </c>
      <c r="K93" s="2">
        <f>DF_2[[#This Row],[QUANTITY]]*DF_2[[#This Row],[UnitPrice]]</f>
        <v>17.850000000000001</v>
      </c>
    </row>
    <row r="94" spans="2:11" x14ac:dyDescent="0.25">
      <c r="B94" s="2">
        <v>536389</v>
      </c>
      <c r="C94" s="2" t="s">
        <v>194</v>
      </c>
      <c r="D94" s="2" t="s">
        <v>195</v>
      </c>
      <c r="E94" s="2">
        <v>3</v>
      </c>
      <c r="F94" s="8">
        <v>40513.418749999997</v>
      </c>
      <c r="G94" s="2">
        <v>5.95</v>
      </c>
      <c r="H94" s="2">
        <v>12431</v>
      </c>
      <c r="I94" s="2" t="s">
        <v>188</v>
      </c>
      <c r="J94" s="2">
        <f>ABS(DF_2[[#This Row],[Quantity_BEFORE]])</f>
        <v>3</v>
      </c>
      <c r="K94" s="2">
        <f>DF_2[[#This Row],[QUANTITY]]*DF_2[[#This Row],[UnitPrice]]</f>
        <v>17.850000000000001</v>
      </c>
    </row>
    <row r="95" spans="2:11" x14ac:dyDescent="0.25">
      <c r="B95" s="2">
        <v>536408</v>
      </c>
      <c r="C95" s="2">
        <v>21754</v>
      </c>
      <c r="D95" s="2" t="s">
        <v>30</v>
      </c>
      <c r="E95" s="2">
        <v>3</v>
      </c>
      <c r="F95" s="8">
        <v>40513.486805555556</v>
      </c>
      <c r="G95" s="2">
        <v>5.95</v>
      </c>
      <c r="H95" s="2">
        <v>14307</v>
      </c>
      <c r="I95" s="2" t="s">
        <v>10</v>
      </c>
      <c r="J95" s="2">
        <f>ABS(DF_2[[#This Row],[Quantity_BEFORE]])</f>
        <v>3</v>
      </c>
      <c r="K95" s="2">
        <f>DF_2[[#This Row],[QUANTITY]]*DF_2[[#This Row],[UnitPrice]]</f>
        <v>17.850000000000001</v>
      </c>
    </row>
    <row r="96" spans="2:11" x14ac:dyDescent="0.25">
      <c r="B96" s="2">
        <v>536408</v>
      </c>
      <c r="C96" s="2">
        <v>21755</v>
      </c>
      <c r="D96" s="2" t="s">
        <v>31</v>
      </c>
      <c r="E96" s="2">
        <v>3</v>
      </c>
      <c r="F96" s="8">
        <v>40513.486805555556</v>
      </c>
      <c r="G96" s="2">
        <v>5.95</v>
      </c>
      <c r="H96" s="2">
        <v>14307</v>
      </c>
      <c r="I96" s="2" t="s">
        <v>10</v>
      </c>
      <c r="J96" s="2">
        <f>ABS(DF_2[[#This Row],[Quantity_BEFORE]])</f>
        <v>3</v>
      </c>
      <c r="K96" s="2">
        <f>DF_2[[#This Row],[QUANTITY]]*DF_2[[#This Row],[UnitPrice]]</f>
        <v>17.850000000000001</v>
      </c>
    </row>
    <row r="97" spans="2:11" x14ac:dyDescent="0.25">
      <c r="B97" s="2">
        <v>536408</v>
      </c>
      <c r="C97" s="2" t="s">
        <v>192</v>
      </c>
      <c r="D97" s="2" t="s">
        <v>193</v>
      </c>
      <c r="E97" s="2">
        <v>3</v>
      </c>
      <c r="F97" s="8">
        <v>40513.486805555556</v>
      </c>
      <c r="G97" s="2">
        <v>5.95</v>
      </c>
      <c r="H97" s="2">
        <v>14307</v>
      </c>
      <c r="I97" s="2" t="s">
        <v>10</v>
      </c>
      <c r="J97" s="2">
        <f>ABS(DF_2[[#This Row],[Quantity_BEFORE]])</f>
        <v>3</v>
      </c>
      <c r="K97" s="2">
        <f>DF_2[[#This Row],[QUANTITY]]*DF_2[[#This Row],[UnitPrice]]</f>
        <v>17.850000000000001</v>
      </c>
    </row>
    <row r="98" spans="2:11" x14ac:dyDescent="0.25">
      <c r="B98" s="2">
        <v>536408</v>
      </c>
      <c r="C98" s="2" t="s">
        <v>194</v>
      </c>
      <c r="D98" s="2" t="s">
        <v>195</v>
      </c>
      <c r="E98" s="2">
        <v>3</v>
      </c>
      <c r="F98" s="8">
        <v>40513.486805555556</v>
      </c>
      <c r="G98" s="2">
        <v>5.95</v>
      </c>
      <c r="H98" s="2">
        <v>14307</v>
      </c>
      <c r="I98" s="2" t="s">
        <v>10</v>
      </c>
      <c r="J98" s="2">
        <f>ABS(DF_2[[#This Row],[Quantity_BEFORE]])</f>
        <v>3</v>
      </c>
      <c r="K98" s="2">
        <f>DF_2[[#This Row],[QUANTITY]]*DF_2[[#This Row],[UnitPrice]]</f>
        <v>17.850000000000001</v>
      </c>
    </row>
    <row r="99" spans="2:11" x14ac:dyDescent="0.25">
      <c r="B99" s="2">
        <v>536381</v>
      </c>
      <c r="C99" s="2" t="s">
        <v>128</v>
      </c>
      <c r="D99" s="2" t="s">
        <v>129</v>
      </c>
      <c r="E99" s="2">
        <v>2</v>
      </c>
      <c r="F99" s="8">
        <v>40513.40347222222</v>
      </c>
      <c r="G99" s="2">
        <v>5.95</v>
      </c>
      <c r="H99" s="2">
        <v>15311</v>
      </c>
      <c r="I99" s="2" t="s">
        <v>10</v>
      </c>
      <c r="J99" s="2">
        <f>ABS(DF_2[[#This Row],[Quantity_BEFORE]])</f>
        <v>2</v>
      </c>
      <c r="K99" s="2">
        <f>DF_2[[#This Row],[QUANTITY]]*DF_2[[#This Row],[UnitPrice]]</f>
        <v>11.9</v>
      </c>
    </row>
    <row r="100" spans="2:11" x14ac:dyDescent="0.25">
      <c r="B100" s="2">
        <v>536381</v>
      </c>
      <c r="C100" s="2" t="s">
        <v>130</v>
      </c>
      <c r="D100" s="2" t="s">
        <v>131</v>
      </c>
      <c r="E100" s="2">
        <v>2</v>
      </c>
      <c r="F100" s="8">
        <v>40513.40347222222</v>
      </c>
      <c r="G100" s="2">
        <v>5.95</v>
      </c>
      <c r="H100" s="2">
        <v>15311</v>
      </c>
      <c r="I100" s="2" t="s">
        <v>10</v>
      </c>
      <c r="J100" s="2">
        <f>ABS(DF_2[[#This Row],[Quantity_BEFORE]])</f>
        <v>2</v>
      </c>
      <c r="K100" s="2">
        <f>DF_2[[#This Row],[QUANTITY]]*DF_2[[#This Row],[UnitPrice]]</f>
        <v>11.9</v>
      </c>
    </row>
    <row r="101" spans="2:11" x14ac:dyDescent="0.25">
      <c r="B101" s="2">
        <v>536401</v>
      </c>
      <c r="C101" s="2">
        <v>22502</v>
      </c>
      <c r="D101" s="2" t="s">
        <v>233</v>
      </c>
      <c r="E101" s="2">
        <v>2</v>
      </c>
      <c r="F101" s="8">
        <v>40513.472916666666</v>
      </c>
      <c r="G101" s="2">
        <v>5.95</v>
      </c>
      <c r="H101" s="2">
        <v>15862</v>
      </c>
      <c r="I101" s="2" t="s">
        <v>10</v>
      </c>
      <c r="J101" s="2">
        <f>ABS(DF_2[[#This Row],[Quantity_BEFORE]])</f>
        <v>2</v>
      </c>
      <c r="K101" s="2">
        <f>DF_2[[#This Row],[QUANTITY]]*DF_2[[#This Row],[UnitPrice]]</f>
        <v>11.9</v>
      </c>
    </row>
    <row r="102" spans="2:11" x14ac:dyDescent="0.25">
      <c r="B102" s="2">
        <v>536460</v>
      </c>
      <c r="C102" s="2">
        <v>22927</v>
      </c>
      <c r="D102" s="2" t="s">
        <v>545</v>
      </c>
      <c r="E102" s="2">
        <v>2</v>
      </c>
      <c r="F102" s="8">
        <v>40513.515277777777</v>
      </c>
      <c r="G102" s="2">
        <v>5.95</v>
      </c>
      <c r="H102" s="2">
        <v>14849</v>
      </c>
      <c r="I102" s="2" t="s">
        <v>10</v>
      </c>
      <c r="J102" s="2">
        <f>ABS(DF_2[[#This Row],[Quantity_BEFORE]])</f>
        <v>2</v>
      </c>
      <c r="K102" s="2">
        <f>DF_2[[#This Row],[QUANTITY]]*DF_2[[#This Row],[UnitPrice]]</f>
        <v>11.9</v>
      </c>
    </row>
    <row r="103" spans="2:11" x14ac:dyDescent="0.25">
      <c r="B103" s="2">
        <v>536460</v>
      </c>
      <c r="C103" s="2">
        <v>22925</v>
      </c>
      <c r="D103" s="2" t="s">
        <v>546</v>
      </c>
      <c r="E103" s="2">
        <v>2</v>
      </c>
      <c r="F103" s="8">
        <v>40513.515277777777</v>
      </c>
      <c r="G103" s="2">
        <v>5.95</v>
      </c>
      <c r="H103" s="2">
        <v>14849</v>
      </c>
      <c r="I103" s="2" t="s">
        <v>10</v>
      </c>
      <c r="J103" s="2">
        <f>ABS(DF_2[[#This Row],[Quantity_BEFORE]])</f>
        <v>2</v>
      </c>
      <c r="K103" s="2">
        <f>DF_2[[#This Row],[QUANTITY]]*DF_2[[#This Row],[UnitPrice]]</f>
        <v>11.9</v>
      </c>
    </row>
    <row r="104" spans="2:11" x14ac:dyDescent="0.25">
      <c r="B104" s="2">
        <v>536460</v>
      </c>
      <c r="C104" s="2">
        <v>21259</v>
      </c>
      <c r="D104" s="2" t="s">
        <v>547</v>
      </c>
      <c r="E104" s="2">
        <v>2</v>
      </c>
      <c r="F104" s="8">
        <v>40513.515277777777</v>
      </c>
      <c r="G104" s="2">
        <v>5.95</v>
      </c>
      <c r="H104" s="2">
        <v>14849</v>
      </c>
      <c r="I104" s="2" t="s">
        <v>10</v>
      </c>
      <c r="J104" s="2">
        <f>ABS(DF_2[[#This Row],[Quantity_BEFORE]])</f>
        <v>2</v>
      </c>
      <c r="K104" s="2">
        <f>DF_2[[#This Row],[QUANTITY]]*DF_2[[#This Row],[UnitPrice]]</f>
        <v>11.9</v>
      </c>
    </row>
    <row r="105" spans="2:11" x14ac:dyDescent="0.25">
      <c r="B105" s="2">
        <v>536401</v>
      </c>
      <c r="C105" s="2">
        <v>21463</v>
      </c>
      <c r="D105" s="2" t="s">
        <v>281</v>
      </c>
      <c r="E105" s="2">
        <v>1</v>
      </c>
      <c r="F105" s="8">
        <v>40513.472916666666</v>
      </c>
      <c r="G105" s="2">
        <v>5.95</v>
      </c>
      <c r="H105" s="2">
        <v>15862</v>
      </c>
      <c r="I105" s="2" t="s">
        <v>10</v>
      </c>
      <c r="J105" s="2">
        <f>ABS(DF_2[[#This Row],[Quantity_BEFORE]])</f>
        <v>1</v>
      </c>
      <c r="K105" s="2">
        <f>DF_2[[#This Row],[QUANTITY]]*DF_2[[#This Row],[UnitPrice]]</f>
        <v>5.95</v>
      </c>
    </row>
    <row r="106" spans="2:11" x14ac:dyDescent="0.25">
      <c r="B106" s="2">
        <v>536401</v>
      </c>
      <c r="C106" s="2" t="s">
        <v>304</v>
      </c>
      <c r="D106" s="2" t="s">
        <v>305</v>
      </c>
      <c r="E106" s="2">
        <v>1</v>
      </c>
      <c r="F106" s="8">
        <v>40513.472916666666</v>
      </c>
      <c r="G106" s="2">
        <v>5.95</v>
      </c>
      <c r="H106" s="2">
        <v>15862</v>
      </c>
      <c r="I106" s="2" t="s">
        <v>10</v>
      </c>
      <c r="J106" s="2">
        <f>ABS(DF_2[[#This Row],[Quantity_BEFORE]])</f>
        <v>1</v>
      </c>
      <c r="K106" s="2">
        <f>DF_2[[#This Row],[QUANTITY]]*DF_2[[#This Row],[UnitPrice]]</f>
        <v>5.95</v>
      </c>
    </row>
    <row r="107" spans="2:11" x14ac:dyDescent="0.25">
      <c r="B107" s="2">
        <v>536401</v>
      </c>
      <c r="C107" s="2">
        <v>82483</v>
      </c>
      <c r="D107" s="2" t="s">
        <v>67</v>
      </c>
      <c r="E107" s="2">
        <v>1</v>
      </c>
      <c r="F107" s="8">
        <v>40513.472916666666</v>
      </c>
      <c r="G107" s="2">
        <v>5.95</v>
      </c>
      <c r="H107" s="2">
        <v>15862</v>
      </c>
      <c r="I107" s="2" t="s">
        <v>10</v>
      </c>
      <c r="J107" s="2">
        <f>ABS(DF_2[[#This Row],[Quantity_BEFORE]])</f>
        <v>1</v>
      </c>
      <c r="K107" s="2">
        <f>DF_2[[#This Row],[QUANTITY]]*DF_2[[#This Row],[UnitPrice]]</f>
        <v>5.95</v>
      </c>
    </row>
    <row r="108" spans="2:11" x14ac:dyDescent="0.25">
      <c r="B108" s="2">
        <v>536409</v>
      </c>
      <c r="C108" s="2">
        <v>84906</v>
      </c>
      <c r="D108" s="2" t="s">
        <v>408</v>
      </c>
      <c r="E108" s="2">
        <v>1</v>
      </c>
      <c r="F108" s="8">
        <v>40513.489583333336</v>
      </c>
      <c r="G108" s="2">
        <v>5.95</v>
      </c>
      <c r="H108" s="2">
        <v>17908</v>
      </c>
      <c r="I108" s="2" t="s">
        <v>10</v>
      </c>
      <c r="J108" s="2">
        <f>ABS(DF_2[[#This Row],[Quantity_BEFORE]])</f>
        <v>1</v>
      </c>
      <c r="K108" s="2">
        <f>DF_2[[#This Row],[QUANTITY]]*DF_2[[#This Row],[UnitPrice]]</f>
        <v>5.95</v>
      </c>
    </row>
    <row r="109" spans="2:11" x14ac:dyDescent="0.25">
      <c r="B109" s="2">
        <v>536409</v>
      </c>
      <c r="C109" s="2">
        <v>21065</v>
      </c>
      <c r="D109" s="2" t="s">
        <v>412</v>
      </c>
      <c r="E109" s="2">
        <v>1</v>
      </c>
      <c r="F109" s="8">
        <v>40513.489583333336</v>
      </c>
      <c r="G109" s="2">
        <v>5.95</v>
      </c>
      <c r="H109" s="2">
        <v>17908</v>
      </c>
      <c r="I109" s="2" t="s">
        <v>10</v>
      </c>
      <c r="J109" s="2">
        <f>ABS(DF_2[[#This Row],[Quantity_BEFORE]])</f>
        <v>1</v>
      </c>
      <c r="K109" s="2">
        <f>DF_2[[#This Row],[QUANTITY]]*DF_2[[#This Row],[UnitPrice]]</f>
        <v>5.95</v>
      </c>
    </row>
    <row r="110" spans="2:11" x14ac:dyDescent="0.25">
      <c r="B110" s="2">
        <v>536415</v>
      </c>
      <c r="C110" s="2">
        <v>22580</v>
      </c>
      <c r="D110" s="2" t="s">
        <v>464</v>
      </c>
      <c r="E110" s="2">
        <v>1</v>
      </c>
      <c r="F110" s="8">
        <v>40513.497916666667</v>
      </c>
      <c r="G110" s="2">
        <v>5.95</v>
      </c>
      <c r="H110" s="2">
        <v>12838</v>
      </c>
      <c r="I110" s="2" t="s">
        <v>10</v>
      </c>
      <c r="J110" s="2">
        <f>ABS(DF_2[[#This Row],[Quantity_BEFORE]])</f>
        <v>1</v>
      </c>
      <c r="K110" s="2">
        <f>DF_2[[#This Row],[QUANTITY]]*DF_2[[#This Row],[UnitPrice]]</f>
        <v>5.95</v>
      </c>
    </row>
    <row r="111" spans="2:11" x14ac:dyDescent="0.25">
      <c r="B111" s="2">
        <v>536520</v>
      </c>
      <c r="C111" s="2">
        <v>22926</v>
      </c>
      <c r="D111" s="2" t="s">
        <v>146</v>
      </c>
      <c r="E111" s="2">
        <v>1</v>
      </c>
      <c r="F111" s="8">
        <v>40513.529861111114</v>
      </c>
      <c r="G111" s="2">
        <v>5.95</v>
      </c>
      <c r="H111" s="2">
        <v>14729</v>
      </c>
      <c r="I111" s="2" t="s">
        <v>10</v>
      </c>
      <c r="J111" s="2">
        <f>ABS(DF_2[[#This Row],[Quantity_BEFORE]])</f>
        <v>1</v>
      </c>
      <c r="K111" s="2">
        <f>DF_2[[#This Row],[QUANTITY]]*DF_2[[#This Row],[UnitPrice]]</f>
        <v>5.95</v>
      </c>
    </row>
    <row r="112" spans="2:11" x14ac:dyDescent="0.25">
      <c r="B112" s="2">
        <v>536389</v>
      </c>
      <c r="C112" s="2" t="s">
        <v>151</v>
      </c>
      <c r="D112" s="2" t="s">
        <v>152</v>
      </c>
      <c r="E112" s="2">
        <v>6</v>
      </c>
      <c r="F112" s="8">
        <v>40513.418749999997</v>
      </c>
      <c r="G112" s="2">
        <v>5.45</v>
      </c>
      <c r="H112" s="2">
        <v>12431</v>
      </c>
      <c r="I112" s="2" t="s">
        <v>188</v>
      </c>
      <c r="J112" s="2">
        <f>ABS(DF_2[[#This Row],[Quantity_BEFORE]])</f>
        <v>6</v>
      </c>
      <c r="K112" s="2">
        <f>DF_2[[#This Row],[QUANTITY]]*DF_2[[#This Row],[UnitPrice]]</f>
        <v>32.700000000000003</v>
      </c>
    </row>
    <row r="113" spans="2:11" x14ac:dyDescent="0.25">
      <c r="B113" s="2">
        <v>536390</v>
      </c>
      <c r="C113" s="2">
        <v>22654</v>
      </c>
      <c r="D113" s="2" t="s">
        <v>213</v>
      </c>
      <c r="E113" s="2">
        <v>40</v>
      </c>
      <c r="F113" s="8">
        <v>40513.429861111108</v>
      </c>
      <c r="G113" s="2">
        <v>4.95</v>
      </c>
      <c r="H113" s="2">
        <v>17511</v>
      </c>
      <c r="I113" s="2" t="s">
        <v>10</v>
      </c>
      <c r="J113" s="2">
        <f>ABS(DF_2[[#This Row],[Quantity_BEFORE]])</f>
        <v>40</v>
      </c>
      <c r="K113" s="2">
        <f>DF_2[[#This Row],[QUANTITY]]*DF_2[[#This Row],[UnitPrice]]</f>
        <v>198</v>
      </c>
    </row>
    <row r="114" spans="2:11" x14ac:dyDescent="0.25">
      <c r="B114" s="2">
        <v>536386</v>
      </c>
      <c r="C114" s="2">
        <v>84880</v>
      </c>
      <c r="D114" s="2" t="s">
        <v>171</v>
      </c>
      <c r="E114" s="2">
        <v>36</v>
      </c>
      <c r="F114" s="8">
        <v>40513.414583333331</v>
      </c>
      <c r="G114" s="2">
        <v>4.95</v>
      </c>
      <c r="H114" s="2">
        <v>16029</v>
      </c>
      <c r="I114" s="2" t="s">
        <v>10</v>
      </c>
      <c r="J114" s="2">
        <f>ABS(DF_2[[#This Row],[Quantity_BEFORE]])</f>
        <v>36</v>
      </c>
      <c r="K114" s="2">
        <f>DF_2[[#This Row],[QUANTITY]]*DF_2[[#This Row],[UnitPrice]]</f>
        <v>178.20000000000002</v>
      </c>
    </row>
    <row r="115" spans="2:11" x14ac:dyDescent="0.25">
      <c r="B115" s="2">
        <v>536423</v>
      </c>
      <c r="C115" s="2">
        <v>22111</v>
      </c>
      <c r="D115" s="2" t="s">
        <v>261</v>
      </c>
      <c r="E115" s="2">
        <v>16</v>
      </c>
      <c r="F115" s="8">
        <v>40513.505555555559</v>
      </c>
      <c r="G115" s="2">
        <v>4.95</v>
      </c>
      <c r="H115" s="2">
        <v>18085</v>
      </c>
      <c r="I115" s="2" t="s">
        <v>10</v>
      </c>
      <c r="J115" s="2">
        <f>ABS(DF_2[[#This Row],[Quantity_BEFORE]])</f>
        <v>16</v>
      </c>
      <c r="K115" s="2">
        <f>DF_2[[#This Row],[QUANTITY]]*DF_2[[#This Row],[UnitPrice]]</f>
        <v>79.2</v>
      </c>
    </row>
    <row r="116" spans="2:11" x14ac:dyDescent="0.25">
      <c r="B116" s="2">
        <v>536394</v>
      </c>
      <c r="C116" s="2">
        <v>21485</v>
      </c>
      <c r="D116" s="2" t="s">
        <v>214</v>
      </c>
      <c r="E116" s="2">
        <v>12</v>
      </c>
      <c r="F116" s="8">
        <v>40513.443749999999</v>
      </c>
      <c r="G116" s="2">
        <v>4.95</v>
      </c>
      <c r="H116" s="2">
        <v>13408</v>
      </c>
      <c r="I116" s="2" t="s">
        <v>10</v>
      </c>
      <c r="J116" s="2">
        <f>ABS(DF_2[[#This Row],[Quantity_BEFORE]])</f>
        <v>12</v>
      </c>
      <c r="K116" s="2">
        <f>DF_2[[#This Row],[QUANTITY]]*DF_2[[#This Row],[UnitPrice]]</f>
        <v>59.400000000000006</v>
      </c>
    </row>
    <row r="117" spans="2:11" x14ac:dyDescent="0.25">
      <c r="B117" s="2">
        <v>536500</v>
      </c>
      <c r="C117" s="2">
        <v>21622</v>
      </c>
      <c r="D117" s="2" t="s">
        <v>189</v>
      </c>
      <c r="E117" s="2">
        <v>10</v>
      </c>
      <c r="F117" s="8">
        <v>40513.524305555555</v>
      </c>
      <c r="G117" s="2">
        <v>4.95</v>
      </c>
      <c r="H117" s="2">
        <v>17377</v>
      </c>
      <c r="I117" s="2" t="s">
        <v>10</v>
      </c>
      <c r="J117" s="2">
        <f>ABS(DF_2[[#This Row],[Quantity_BEFORE]])</f>
        <v>10</v>
      </c>
      <c r="K117" s="2">
        <f>DF_2[[#This Row],[QUANTITY]]*DF_2[[#This Row],[UnitPrice]]</f>
        <v>49.5</v>
      </c>
    </row>
    <row r="118" spans="2:11" x14ac:dyDescent="0.25">
      <c r="B118" s="2">
        <v>536398</v>
      </c>
      <c r="C118" s="2">
        <v>22112</v>
      </c>
      <c r="D118" s="2" t="s">
        <v>259</v>
      </c>
      <c r="E118" s="2">
        <v>9</v>
      </c>
      <c r="F118" s="8">
        <v>40513.452777777777</v>
      </c>
      <c r="G118" s="2">
        <v>4.95</v>
      </c>
      <c r="H118" s="2">
        <v>13448</v>
      </c>
      <c r="I118" s="2" t="s">
        <v>10</v>
      </c>
      <c r="J118" s="2">
        <f>ABS(DF_2[[#This Row],[Quantity_BEFORE]])</f>
        <v>9</v>
      </c>
      <c r="K118" s="2">
        <f>DF_2[[#This Row],[QUANTITY]]*DF_2[[#This Row],[UnitPrice]]</f>
        <v>44.550000000000004</v>
      </c>
    </row>
    <row r="119" spans="2:11" x14ac:dyDescent="0.25">
      <c r="B119" s="2">
        <v>536398</v>
      </c>
      <c r="C119" s="2">
        <v>22111</v>
      </c>
      <c r="D119" s="2" t="s">
        <v>261</v>
      </c>
      <c r="E119" s="2">
        <v>9</v>
      </c>
      <c r="F119" s="8">
        <v>40513.452777777777</v>
      </c>
      <c r="G119" s="2">
        <v>4.95</v>
      </c>
      <c r="H119" s="2">
        <v>13448</v>
      </c>
      <c r="I119" s="2" t="s">
        <v>10</v>
      </c>
      <c r="J119" s="2">
        <f>ABS(DF_2[[#This Row],[Quantity_BEFORE]])</f>
        <v>9</v>
      </c>
      <c r="K119" s="2">
        <f>DF_2[[#This Row],[QUANTITY]]*DF_2[[#This Row],[UnitPrice]]</f>
        <v>44.550000000000004</v>
      </c>
    </row>
    <row r="120" spans="2:11" x14ac:dyDescent="0.25">
      <c r="B120" s="2">
        <v>536389</v>
      </c>
      <c r="C120" s="2">
        <v>21622</v>
      </c>
      <c r="D120" s="2" t="s">
        <v>189</v>
      </c>
      <c r="E120" s="2">
        <v>8</v>
      </c>
      <c r="F120" s="8">
        <v>40513.418749999997</v>
      </c>
      <c r="G120" s="2">
        <v>4.95</v>
      </c>
      <c r="H120" s="2">
        <v>12431</v>
      </c>
      <c r="I120" s="2" t="s">
        <v>188</v>
      </c>
      <c r="J120" s="2">
        <f>ABS(DF_2[[#This Row],[Quantity_BEFORE]])</f>
        <v>8</v>
      </c>
      <c r="K120" s="2">
        <f>DF_2[[#This Row],[QUANTITY]]*DF_2[[#This Row],[UnitPrice]]</f>
        <v>39.6</v>
      </c>
    </row>
    <row r="121" spans="2:11" x14ac:dyDescent="0.25">
      <c r="B121" s="2">
        <v>536423</v>
      </c>
      <c r="C121" s="2">
        <v>21485</v>
      </c>
      <c r="D121" s="2" t="s">
        <v>214</v>
      </c>
      <c r="E121" s="2">
        <v>8</v>
      </c>
      <c r="F121" s="8">
        <v>40513.505555555559</v>
      </c>
      <c r="G121" s="2">
        <v>4.95</v>
      </c>
      <c r="H121" s="2">
        <v>18085</v>
      </c>
      <c r="I121" s="2" t="s">
        <v>10</v>
      </c>
      <c r="J121" s="2">
        <f>ABS(DF_2[[#This Row],[Quantity_BEFORE]])</f>
        <v>8</v>
      </c>
      <c r="K121" s="2">
        <f>DF_2[[#This Row],[QUANTITY]]*DF_2[[#This Row],[UnitPrice]]</f>
        <v>39.6</v>
      </c>
    </row>
    <row r="122" spans="2:11" x14ac:dyDescent="0.25">
      <c r="B122" s="2">
        <v>536425</v>
      </c>
      <c r="C122" s="2">
        <v>79321</v>
      </c>
      <c r="D122" s="2" t="s">
        <v>174</v>
      </c>
      <c r="E122" s="2">
        <v>8</v>
      </c>
      <c r="F122" s="8">
        <v>40513.505555555559</v>
      </c>
      <c r="G122" s="2">
        <v>4.95</v>
      </c>
      <c r="H122" s="2">
        <v>13758</v>
      </c>
      <c r="I122" s="2" t="s">
        <v>10</v>
      </c>
      <c r="J122" s="2">
        <f>ABS(DF_2[[#This Row],[Quantity_BEFORE]])</f>
        <v>8</v>
      </c>
      <c r="K122" s="2">
        <f>DF_2[[#This Row],[QUANTITY]]*DF_2[[#This Row],[UnitPrice]]</f>
        <v>39.6</v>
      </c>
    </row>
    <row r="123" spans="2:11" x14ac:dyDescent="0.25">
      <c r="B123" s="2">
        <v>536373</v>
      </c>
      <c r="C123" s="2">
        <v>20679</v>
      </c>
      <c r="D123" s="2" t="s">
        <v>62</v>
      </c>
      <c r="E123" s="2">
        <v>6</v>
      </c>
      <c r="F123" s="8">
        <v>40513.376388888886</v>
      </c>
      <c r="G123" s="2">
        <v>4.95</v>
      </c>
      <c r="H123" s="2">
        <v>17850</v>
      </c>
      <c r="I123" s="2" t="s">
        <v>10</v>
      </c>
      <c r="J123" s="2">
        <f>ABS(DF_2[[#This Row],[Quantity_BEFORE]])</f>
        <v>6</v>
      </c>
      <c r="K123" s="2">
        <f>DF_2[[#This Row],[QUANTITY]]*DF_2[[#This Row],[UnitPrice]]</f>
        <v>29.700000000000003</v>
      </c>
    </row>
    <row r="124" spans="2:11" x14ac:dyDescent="0.25">
      <c r="B124" s="2">
        <v>536375</v>
      </c>
      <c r="C124" s="2">
        <v>20679</v>
      </c>
      <c r="D124" s="2" t="s">
        <v>62</v>
      </c>
      <c r="E124" s="2">
        <v>6</v>
      </c>
      <c r="F124" s="8">
        <v>40513.397222222222</v>
      </c>
      <c r="G124" s="2">
        <v>4.95</v>
      </c>
      <c r="H124" s="2">
        <v>17850</v>
      </c>
      <c r="I124" s="2" t="s">
        <v>10</v>
      </c>
      <c r="J124" s="2">
        <f>ABS(DF_2[[#This Row],[Quantity_BEFORE]])</f>
        <v>6</v>
      </c>
      <c r="K124" s="2">
        <f>DF_2[[#This Row],[QUANTITY]]*DF_2[[#This Row],[UnitPrice]]</f>
        <v>29.700000000000003</v>
      </c>
    </row>
    <row r="125" spans="2:11" x14ac:dyDescent="0.25">
      <c r="B125" s="2">
        <v>536396</v>
      </c>
      <c r="C125" s="2" t="s">
        <v>128</v>
      </c>
      <c r="D125" s="2" t="s">
        <v>129</v>
      </c>
      <c r="E125" s="2">
        <v>6</v>
      </c>
      <c r="F125" s="8">
        <v>40513.45208333333</v>
      </c>
      <c r="G125" s="2">
        <v>4.95</v>
      </c>
      <c r="H125" s="2">
        <v>17850</v>
      </c>
      <c r="I125" s="2" t="s">
        <v>10</v>
      </c>
      <c r="J125" s="2">
        <f>ABS(DF_2[[#This Row],[Quantity_BEFORE]])</f>
        <v>6</v>
      </c>
      <c r="K125" s="2">
        <f>DF_2[[#This Row],[QUANTITY]]*DF_2[[#This Row],[UnitPrice]]</f>
        <v>29.700000000000003</v>
      </c>
    </row>
    <row r="126" spans="2:11" x14ac:dyDescent="0.25">
      <c r="B126" s="2">
        <v>536396</v>
      </c>
      <c r="C126" s="2">
        <v>20679</v>
      </c>
      <c r="D126" s="2" t="s">
        <v>62</v>
      </c>
      <c r="E126" s="2">
        <v>6</v>
      </c>
      <c r="F126" s="8">
        <v>40513.45208333333</v>
      </c>
      <c r="G126" s="2">
        <v>4.95</v>
      </c>
      <c r="H126" s="2">
        <v>17850</v>
      </c>
      <c r="I126" s="2" t="s">
        <v>10</v>
      </c>
      <c r="J126" s="2">
        <f>ABS(DF_2[[#This Row],[Quantity_BEFORE]])</f>
        <v>6</v>
      </c>
      <c r="K126" s="2">
        <f>DF_2[[#This Row],[QUANTITY]]*DF_2[[#This Row],[UnitPrice]]</f>
        <v>29.700000000000003</v>
      </c>
    </row>
    <row r="127" spans="2:11" x14ac:dyDescent="0.25">
      <c r="B127" s="2">
        <v>536406</v>
      </c>
      <c r="C127" s="2">
        <v>20679</v>
      </c>
      <c r="D127" s="2" t="s">
        <v>62</v>
      </c>
      <c r="E127" s="2">
        <v>6</v>
      </c>
      <c r="F127" s="8">
        <v>40513.481249999997</v>
      </c>
      <c r="G127" s="2">
        <v>4.95</v>
      </c>
      <c r="H127" s="2">
        <v>17850</v>
      </c>
      <c r="I127" s="2" t="s">
        <v>10</v>
      </c>
      <c r="J127" s="2">
        <f>ABS(DF_2[[#This Row],[Quantity_BEFORE]])</f>
        <v>6</v>
      </c>
      <c r="K127" s="2">
        <f>DF_2[[#This Row],[QUANTITY]]*DF_2[[#This Row],[UnitPrice]]</f>
        <v>29.700000000000003</v>
      </c>
    </row>
    <row r="128" spans="2:11" x14ac:dyDescent="0.25">
      <c r="B128" s="2">
        <v>536460</v>
      </c>
      <c r="C128" s="2">
        <v>21485</v>
      </c>
      <c r="D128" s="2" t="s">
        <v>214</v>
      </c>
      <c r="E128" s="2">
        <v>6</v>
      </c>
      <c r="F128" s="8">
        <v>40513.515277777777</v>
      </c>
      <c r="G128" s="2">
        <v>4.95</v>
      </c>
      <c r="H128" s="2">
        <v>14849</v>
      </c>
      <c r="I128" s="2" t="s">
        <v>10</v>
      </c>
      <c r="J128" s="2">
        <f>ABS(DF_2[[#This Row],[Quantity_BEFORE]])</f>
        <v>6</v>
      </c>
      <c r="K128" s="2">
        <f>DF_2[[#This Row],[QUANTITY]]*DF_2[[#This Row],[UnitPrice]]</f>
        <v>29.700000000000003</v>
      </c>
    </row>
    <row r="129" spans="2:11" x14ac:dyDescent="0.25">
      <c r="B129" s="2">
        <v>536381</v>
      </c>
      <c r="C129" s="2">
        <v>84854</v>
      </c>
      <c r="D129" s="2" t="s">
        <v>102</v>
      </c>
      <c r="E129" s="2">
        <v>5</v>
      </c>
      <c r="F129" s="8">
        <v>40513.40347222222</v>
      </c>
      <c r="G129" s="2">
        <v>4.95</v>
      </c>
      <c r="H129" s="2">
        <v>15311</v>
      </c>
      <c r="I129" s="2" t="s">
        <v>10</v>
      </c>
      <c r="J129" s="2">
        <f>ABS(DF_2[[#This Row],[Quantity_BEFORE]])</f>
        <v>5</v>
      </c>
      <c r="K129" s="2">
        <f>DF_2[[#This Row],[QUANTITY]]*DF_2[[#This Row],[UnitPrice]]</f>
        <v>24.75</v>
      </c>
    </row>
    <row r="130" spans="2:11" x14ac:dyDescent="0.25">
      <c r="B130" s="2">
        <v>536406</v>
      </c>
      <c r="C130" s="2">
        <v>82483</v>
      </c>
      <c r="D130" s="2" t="s">
        <v>67</v>
      </c>
      <c r="E130" s="2">
        <v>4</v>
      </c>
      <c r="F130" s="8">
        <v>40513.481249999997</v>
      </c>
      <c r="G130" s="2">
        <v>4.95</v>
      </c>
      <c r="H130" s="2">
        <v>17850</v>
      </c>
      <c r="I130" s="2" t="s">
        <v>10</v>
      </c>
      <c r="J130" s="2">
        <f>ABS(DF_2[[#This Row],[Quantity_BEFORE]])</f>
        <v>4</v>
      </c>
      <c r="K130" s="2">
        <f>DF_2[[#This Row],[QUANTITY]]*DF_2[[#This Row],[UnitPrice]]</f>
        <v>19.8</v>
      </c>
    </row>
    <row r="131" spans="2:11" x14ac:dyDescent="0.25">
      <c r="B131" s="2">
        <v>536367</v>
      </c>
      <c r="C131" s="2">
        <v>22623</v>
      </c>
      <c r="D131" s="2" t="s">
        <v>28</v>
      </c>
      <c r="E131" s="2">
        <v>3</v>
      </c>
      <c r="F131" s="8">
        <v>40513.356944444444</v>
      </c>
      <c r="G131" s="2">
        <v>4.95</v>
      </c>
      <c r="H131" s="2">
        <v>13047</v>
      </c>
      <c r="I131" s="2" t="s">
        <v>10</v>
      </c>
      <c r="J131" s="2">
        <f>ABS(DF_2[[#This Row],[Quantity_BEFORE]])</f>
        <v>3</v>
      </c>
      <c r="K131" s="2">
        <f>DF_2[[#This Row],[QUANTITY]]*DF_2[[#This Row],[UnitPrice]]</f>
        <v>14.850000000000001</v>
      </c>
    </row>
    <row r="132" spans="2:11" x14ac:dyDescent="0.25">
      <c r="B132" s="2">
        <v>536368</v>
      </c>
      <c r="C132" s="2">
        <v>22913</v>
      </c>
      <c r="D132" s="2" t="s">
        <v>35</v>
      </c>
      <c r="E132" s="2">
        <v>3</v>
      </c>
      <c r="F132" s="8">
        <v>40513.356944444444</v>
      </c>
      <c r="G132" s="2">
        <v>4.95</v>
      </c>
      <c r="H132" s="2">
        <v>13047</v>
      </c>
      <c r="I132" s="2" t="s">
        <v>10</v>
      </c>
      <c r="J132" s="2">
        <f>ABS(DF_2[[#This Row],[Quantity_BEFORE]])</f>
        <v>3</v>
      </c>
      <c r="K132" s="2">
        <f>DF_2[[#This Row],[QUANTITY]]*DF_2[[#This Row],[UnitPrice]]</f>
        <v>14.850000000000001</v>
      </c>
    </row>
    <row r="133" spans="2:11" x14ac:dyDescent="0.25">
      <c r="B133" s="2">
        <v>536368</v>
      </c>
      <c r="C133" s="2">
        <v>22912</v>
      </c>
      <c r="D133" s="2" t="s">
        <v>36</v>
      </c>
      <c r="E133" s="2">
        <v>3</v>
      </c>
      <c r="F133" s="8">
        <v>40513.356944444444</v>
      </c>
      <c r="G133" s="2">
        <v>4.95</v>
      </c>
      <c r="H133" s="2">
        <v>13047</v>
      </c>
      <c r="I133" s="2" t="s">
        <v>10</v>
      </c>
      <c r="J133" s="2">
        <f>ABS(DF_2[[#This Row],[Quantity_BEFORE]])</f>
        <v>3</v>
      </c>
      <c r="K133" s="2">
        <f>DF_2[[#This Row],[QUANTITY]]*DF_2[[#This Row],[UnitPrice]]</f>
        <v>14.850000000000001</v>
      </c>
    </row>
    <row r="134" spans="2:11" x14ac:dyDescent="0.25">
      <c r="B134" s="2">
        <v>536368</v>
      </c>
      <c r="C134" s="2">
        <v>22914</v>
      </c>
      <c r="D134" s="2" t="s">
        <v>37</v>
      </c>
      <c r="E134" s="2">
        <v>3</v>
      </c>
      <c r="F134" s="8">
        <v>40513.356944444444</v>
      </c>
      <c r="G134" s="2">
        <v>4.95</v>
      </c>
      <c r="H134" s="2">
        <v>13047</v>
      </c>
      <c r="I134" s="2" t="s">
        <v>10</v>
      </c>
      <c r="J134" s="2">
        <f>ABS(DF_2[[#This Row],[Quantity_BEFORE]])</f>
        <v>3</v>
      </c>
      <c r="K134" s="2">
        <f>DF_2[[#This Row],[QUANTITY]]*DF_2[[#This Row],[UnitPrice]]</f>
        <v>14.850000000000001</v>
      </c>
    </row>
    <row r="135" spans="2:11" x14ac:dyDescent="0.25">
      <c r="B135" s="2">
        <v>536388</v>
      </c>
      <c r="C135" s="2">
        <v>21363</v>
      </c>
      <c r="D135" s="2" t="s">
        <v>178</v>
      </c>
      <c r="E135" s="2">
        <v>3</v>
      </c>
      <c r="F135" s="8">
        <v>40513.415972222225</v>
      </c>
      <c r="G135" s="2">
        <v>4.95</v>
      </c>
      <c r="H135" s="2">
        <v>16250</v>
      </c>
      <c r="I135" s="2" t="s">
        <v>10</v>
      </c>
      <c r="J135" s="2">
        <f>ABS(DF_2[[#This Row],[Quantity_BEFORE]])</f>
        <v>3</v>
      </c>
      <c r="K135" s="2">
        <f>DF_2[[#This Row],[QUANTITY]]*DF_2[[#This Row],[UnitPrice]]</f>
        <v>14.850000000000001</v>
      </c>
    </row>
    <row r="136" spans="2:11" x14ac:dyDescent="0.25">
      <c r="B136" s="2">
        <v>536401</v>
      </c>
      <c r="C136" s="2">
        <v>20820</v>
      </c>
      <c r="D136" s="2" t="s">
        <v>283</v>
      </c>
      <c r="E136" s="2">
        <v>3</v>
      </c>
      <c r="F136" s="8">
        <v>40513.472916666666</v>
      </c>
      <c r="G136" s="2">
        <v>4.95</v>
      </c>
      <c r="H136" s="2">
        <v>15862</v>
      </c>
      <c r="I136" s="2" t="s">
        <v>10</v>
      </c>
      <c r="J136" s="2">
        <f>ABS(DF_2[[#This Row],[Quantity_BEFORE]])</f>
        <v>3</v>
      </c>
      <c r="K136" s="2">
        <f>DF_2[[#This Row],[QUANTITY]]*DF_2[[#This Row],[UnitPrice]]</f>
        <v>14.850000000000001</v>
      </c>
    </row>
    <row r="137" spans="2:11" x14ac:dyDescent="0.25">
      <c r="B137" s="2">
        <v>536408</v>
      </c>
      <c r="C137" s="2">
        <v>22914</v>
      </c>
      <c r="D137" s="2" t="s">
        <v>37</v>
      </c>
      <c r="E137" s="2">
        <v>3</v>
      </c>
      <c r="F137" s="8">
        <v>40513.486805555556</v>
      </c>
      <c r="G137" s="2">
        <v>4.95</v>
      </c>
      <c r="H137" s="2">
        <v>14307</v>
      </c>
      <c r="I137" s="2" t="s">
        <v>10</v>
      </c>
      <c r="J137" s="2">
        <f>ABS(DF_2[[#This Row],[Quantity_BEFORE]])</f>
        <v>3</v>
      </c>
      <c r="K137" s="2">
        <f>DF_2[[#This Row],[QUANTITY]]*DF_2[[#This Row],[UnitPrice]]</f>
        <v>14.850000000000001</v>
      </c>
    </row>
    <row r="138" spans="2:11" x14ac:dyDescent="0.25">
      <c r="B138" s="2">
        <v>536420</v>
      </c>
      <c r="C138" s="2">
        <v>22111</v>
      </c>
      <c r="D138" s="2" t="s">
        <v>261</v>
      </c>
      <c r="E138" s="2">
        <v>3</v>
      </c>
      <c r="F138" s="8">
        <v>40513.502083333333</v>
      </c>
      <c r="G138" s="2">
        <v>4.95</v>
      </c>
      <c r="H138" s="2">
        <v>16583</v>
      </c>
      <c r="I138" s="2" t="s">
        <v>10</v>
      </c>
      <c r="J138" s="2">
        <f>ABS(DF_2[[#This Row],[Quantity_BEFORE]])</f>
        <v>3</v>
      </c>
      <c r="K138" s="2">
        <f>DF_2[[#This Row],[QUANTITY]]*DF_2[[#This Row],[UnitPrice]]</f>
        <v>14.850000000000001</v>
      </c>
    </row>
    <row r="139" spans="2:11" x14ac:dyDescent="0.25">
      <c r="B139" s="2">
        <v>536502</v>
      </c>
      <c r="C139" s="2">
        <v>22784</v>
      </c>
      <c r="D139" s="2" t="s">
        <v>636</v>
      </c>
      <c r="E139" s="2">
        <v>3</v>
      </c>
      <c r="F139" s="8">
        <v>40513.525000000001</v>
      </c>
      <c r="G139" s="2">
        <v>4.95</v>
      </c>
      <c r="H139" s="2">
        <v>16552</v>
      </c>
      <c r="I139" s="2" t="s">
        <v>10</v>
      </c>
      <c r="J139" s="2">
        <f>ABS(DF_2[[#This Row],[Quantity_BEFORE]])</f>
        <v>3</v>
      </c>
      <c r="K139" s="2">
        <f>DF_2[[#This Row],[QUANTITY]]*DF_2[[#This Row],[UnitPrice]]</f>
        <v>14.850000000000001</v>
      </c>
    </row>
    <row r="140" spans="2:11" x14ac:dyDescent="0.25">
      <c r="B140" s="2">
        <v>536373</v>
      </c>
      <c r="C140" s="2">
        <v>82483</v>
      </c>
      <c r="D140" s="2" t="s">
        <v>67</v>
      </c>
      <c r="E140" s="2">
        <v>2</v>
      </c>
      <c r="F140" s="8">
        <v>40513.376388888886</v>
      </c>
      <c r="G140" s="2">
        <v>4.95</v>
      </c>
      <c r="H140" s="2">
        <v>17850</v>
      </c>
      <c r="I140" s="2" t="s">
        <v>10</v>
      </c>
      <c r="J140" s="2">
        <f>ABS(DF_2[[#This Row],[Quantity_BEFORE]])</f>
        <v>2</v>
      </c>
      <c r="K140" s="2">
        <f>DF_2[[#This Row],[QUANTITY]]*DF_2[[#This Row],[UnitPrice]]</f>
        <v>9.9</v>
      </c>
    </row>
    <row r="141" spans="2:11" x14ac:dyDescent="0.25">
      <c r="B141" s="2">
        <v>536375</v>
      </c>
      <c r="C141" s="2">
        <v>82483</v>
      </c>
      <c r="D141" s="2" t="s">
        <v>67</v>
      </c>
      <c r="E141" s="2">
        <v>2</v>
      </c>
      <c r="F141" s="8">
        <v>40513.397222222222</v>
      </c>
      <c r="G141" s="2">
        <v>4.95</v>
      </c>
      <c r="H141" s="2">
        <v>17850</v>
      </c>
      <c r="I141" s="2" t="s">
        <v>10</v>
      </c>
      <c r="J141" s="2">
        <f>ABS(DF_2[[#This Row],[Quantity_BEFORE]])</f>
        <v>2</v>
      </c>
      <c r="K141" s="2">
        <f>DF_2[[#This Row],[QUANTITY]]*DF_2[[#This Row],[UnitPrice]]</f>
        <v>9.9</v>
      </c>
    </row>
    <row r="142" spans="2:11" x14ac:dyDescent="0.25">
      <c r="B142" s="2">
        <v>536396</v>
      </c>
      <c r="C142" s="2">
        <v>82483</v>
      </c>
      <c r="D142" s="2" t="s">
        <v>67</v>
      </c>
      <c r="E142" s="2">
        <v>2</v>
      </c>
      <c r="F142" s="8">
        <v>40513.45208333333</v>
      </c>
      <c r="G142" s="2">
        <v>4.95</v>
      </c>
      <c r="H142" s="2">
        <v>17850</v>
      </c>
      <c r="I142" s="2" t="s">
        <v>10</v>
      </c>
      <c r="J142" s="2">
        <f>ABS(DF_2[[#This Row],[Quantity_BEFORE]])</f>
        <v>2</v>
      </c>
      <c r="K142" s="2">
        <f>DF_2[[#This Row],[QUANTITY]]*DF_2[[#This Row],[UnitPrice]]</f>
        <v>9.9</v>
      </c>
    </row>
    <row r="143" spans="2:11" x14ac:dyDescent="0.25">
      <c r="B143" s="2">
        <v>536415</v>
      </c>
      <c r="C143" s="2">
        <v>22472</v>
      </c>
      <c r="D143" s="2" t="s">
        <v>488</v>
      </c>
      <c r="E143" s="2">
        <v>2</v>
      </c>
      <c r="F143" s="8">
        <v>40513.497916666667</v>
      </c>
      <c r="G143" s="2">
        <v>4.95</v>
      </c>
      <c r="H143" s="2">
        <v>12838</v>
      </c>
      <c r="I143" s="2" t="s">
        <v>10</v>
      </c>
      <c r="J143" s="2">
        <f>ABS(DF_2[[#This Row],[Quantity_BEFORE]])</f>
        <v>2</v>
      </c>
      <c r="K143" s="2">
        <f>DF_2[[#This Row],[QUANTITY]]*DF_2[[#This Row],[UnitPrice]]</f>
        <v>9.9</v>
      </c>
    </row>
    <row r="144" spans="2:11" x14ac:dyDescent="0.25">
      <c r="B144" s="2">
        <v>536464</v>
      </c>
      <c r="C144" s="2">
        <v>22500</v>
      </c>
      <c r="D144" s="2" t="s">
        <v>598</v>
      </c>
      <c r="E144" s="2">
        <v>2</v>
      </c>
      <c r="F144" s="8">
        <v>40513.515972222223</v>
      </c>
      <c r="G144" s="2">
        <v>4.95</v>
      </c>
      <c r="H144" s="2">
        <v>17968</v>
      </c>
      <c r="I144" s="2" t="s">
        <v>10</v>
      </c>
      <c r="J144" s="2">
        <f>ABS(DF_2[[#This Row],[Quantity_BEFORE]])</f>
        <v>2</v>
      </c>
      <c r="K144" s="2">
        <f>DF_2[[#This Row],[QUANTITY]]*DF_2[[#This Row],[UnitPrice]]</f>
        <v>9.9</v>
      </c>
    </row>
    <row r="145" spans="2:11" x14ac:dyDescent="0.25">
      <c r="B145" s="2">
        <v>536381</v>
      </c>
      <c r="C145" s="2">
        <v>21533</v>
      </c>
      <c r="D145" s="2" t="s">
        <v>126</v>
      </c>
      <c r="E145" s="2">
        <v>1</v>
      </c>
      <c r="F145" s="8">
        <v>40513.40347222222</v>
      </c>
      <c r="G145" s="2">
        <v>4.95</v>
      </c>
      <c r="H145" s="2">
        <v>15311</v>
      </c>
      <c r="I145" s="2" t="s">
        <v>10</v>
      </c>
      <c r="J145" s="2">
        <f>ABS(DF_2[[#This Row],[Quantity_BEFORE]])</f>
        <v>1</v>
      </c>
      <c r="K145" s="2">
        <f>DF_2[[#This Row],[QUANTITY]]*DF_2[[#This Row],[UnitPrice]]</f>
        <v>4.95</v>
      </c>
    </row>
    <row r="146" spans="2:11" x14ac:dyDescent="0.25">
      <c r="B146" s="2">
        <v>536401</v>
      </c>
      <c r="C146" s="2">
        <v>22473</v>
      </c>
      <c r="D146" s="2" t="s">
        <v>274</v>
      </c>
      <c r="E146" s="2">
        <v>1</v>
      </c>
      <c r="F146" s="8">
        <v>40513.472916666666</v>
      </c>
      <c r="G146" s="2">
        <v>4.95</v>
      </c>
      <c r="H146" s="2">
        <v>15862</v>
      </c>
      <c r="I146" s="2" t="s">
        <v>10</v>
      </c>
      <c r="J146" s="2">
        <f>ABS(DF_2[[#This Row],[Quantity_BEFORE]])</f>
        <v>1</v>
      </c>
      <c r="K146" s="2">
        <f>DF_2[[#This Row],[QUANTITY]]*DF_2[[#This Row],[UnitPrice]]</f>
        <v>4.95</v>
      </c>
    </row>
    <row r="147" spans="2:11" x14ac:dyDescent="0.25">
      <c r="B147" s="2">
        <v>536409</v>
      </c>
      <c r="C147" s="2">
        <v>22111</v>
      </c>
      <c r="D147" s="2" t="s">
        <v>261</v>
      </c>
      <c r="E147" s="2">
        <v>1</v>
      </c>
      <c r="F147" s="8">
        <v>40513.489583333336</v>
      </c>
      <c r="G147" s="2">
        <v>4.95</v>
      </c>
      <c r="H147" s="2">
        <v>17908</v>
      </c>
      <c r="I147" s="2" t="s">
        <v>10</v>
      </c>
      <c r="J147" s="2">
        <f>ABS(DF_2[[#This Row],[Quantity_BEFORE]])</f>
        <v>1</v>
      </c>
      <c r="K147" s="2">
        <f>DF_2[[#This Row],[QUANTITY]]*DF_2[[#This Row],[UnitPrice]]</f>
        <v>4.95</v>
      </c>
    </row>
    <row r="148" spans="2:11" x14ac:dyDescent="0.25">
      <c r="B148" s="2">
        <v>536409</v>
      </c>
      <c r="C148" s="2">
        <v>21116</v>
      </c>
      <c r="D148" s="2" t="s">
        <v>415</v>
      </c>
      <c r="E148" s="2">
        <v>1</v>
      </c>
      <c r="F148" s="8">
        <v>40513.489583333336</v>
      </c>
      <c r="G148" s="2">
        <v>4.95</v>
      </c>
      <c r="H148" s="2">
        <v>17908</v>
      </c>
      <c r="I148" s="2" t="s">
        <v>10</v>
      </c>
      <c r="J148" s="2">
        <f>ABS(DF_2[[#This Row],[Quantity_BEFORE]])</f>
        <v>1</v>
      </c>
      <c r="K148" s="2">
        <f>DF_2[[#This Row],[QUANTITY]]*DF_2[[#This Row],[UnitPrice]]</f>
        <v>4.95</v>
      </c>
    </row>
    <row r="149" spans="2:11" x14ac:dyDescent="0.25">
      <c r="B149" s="2">
        <v>536409</v>
      </c>
      <c r="C149" s="2">
        <v>22111</v>
      </c>
      <c r="D149" s="2" t="s">
        <v>261</v>
      </c>
      <c r="E149" s="2">
        <v>1</v>
      </c>
      <c r="F149" s="8">
        <v>40513.489583333336</v>
      </c>
      <c r="G149" s="2">
        <v>4.95</v>
      </c>
      <c r="H149" s="2">
        <v>17908</v>
      </c>
      <c r="I149" s="2" t="s">
        <v>10</v>
      </c>
      <c r="J149" s="2">
        <f>ABS(DF_2[[#This Row],[Quantity_BEFORE]])</f>
        <v>1</v>
      </c>
      <c r="K149" s="2">
        <f>DF_2[[#This Row],[QUANTITY]]*DF_2[[#This Row],[UnitPrice]]</f>
        <v>4.95</v>
      </c>
    </row>
    <row r="150" spans="2:11" x14ac:dyDescent="0.25">
      <c r="B150" s="2">
        <v>536409</v>
      </c>
      <c r="C150" s="2">
        <v>22112</v>
      </c>
      <c r="D150" s="2" t="s">
        <v>259</v>
      </c>
      <c r="E150" s="2">
        <v>1</v>
      </c>
      <c r="F150" s="8">
        <v>40513.489583333336</v>
      </c>
      <c r="G150" s="2">
        <v>4.95</v>
      </c>
      <c r="H150" s="2">
        <v>17908</v>
      </c>
      <c r="I150" s="2" t="s">
        <v>10</v>
      </c>
      <c r="J150" s="2">
        <f>ABS(DF_2[[#This Row],[Quantity_BEFORE]])</f>
        <v>1</v>
      </c>
      <c r="K150" s="2">
        <f>DF_2[[#This Row],[QUANTITY]]*DF_2[[#This Row],[UnitPrice]]</f>
        <v>4.95</v>
      </c>
    </row>
    <row r="151" spans="2:11" x14ac:dyDescent="0.25">
      <c r="B151" s="2">
        <v>536412</v>
      </c>
      <c r="C151" s="2">
        <v>21710</v>
      </c>
      <c r="D151" s="2" t="s">
        <v>447</v>
      </c>
      <c r="E151" s="2">
        <v>1</v>
      </c>
      <c r="F151" s="8">
        <v>40513.492361111108</v>
      </c>
      <c r="G151" s="2">
        <v>4.95</v>
      </c>
      <c r="H151" s="2">
        <v>17920</v>
      </c>
      <c r="I151" s="2" t="s">
        <v>10</v>
      </c>
      <c r="J151" s="2">
        <f>ABS(DF_2[[#This Row],[Quantity_BEFORE]])</f>
        <v>1</v>
      </c>
      <c r="K151" s="2">
        <f>DF_2[[#This Row],[QUANTITY]]*DF_2[[#This Row],[UnitPrice]]</f>
        <v>4.95</v>
      </c>
    </row>
    <row r="152" spans="2:11" x14ac:dyDescent="0.25">
      <c r="B152" s="2">
        <v>536412</v>
      </c>
      <c r="C152" s="2">
        <v>21708</v>
      </c>
      <c r="D152" s="2" t="s">
        <v>448</v>
      </c>
      <c r="E152" s="2">
        <v>1</v>
      </c>
      <c r="F152" s="8">
        <v>40513.492361111108</v>
      </c>
      <c r="G152" s="2">
        <v>4.95</v>
      </c>
      <c r="H152" s="2">
        <v>17920</v>
      </c>
      <c r="I152" s="2" t="s">
        <v>10</v>
      </c>
      <c r="J152" s="2">
        <f>ABS(DF_2[[#This Row],[Quantity_BEFORE]])</f>
        <v>1</v>
      </c>
      <c r="K152" s="2">
        <f>DF_2[[#This Row],[QUANTITY]]*DF_2[[#This Row],[UnitPrice]]</f>
        <v>4.95</v>
      </c>
    </row>
    <row r="153" spans="2:11" x14ac:dyDescent="0.25">
      <c r="B153" s="2">
        <v>536412</v>
      </c>
      <c r="C153" s="2">
        <v>21711</v>
      </c>
      <c r="D153" s="2" t="s">
        <v>449</v>
      </c>
      <c r="E153" s="2">
        <v>1</v>
      </c>
      <c r="F153" s="8">
        <v>40513.492361111108</v>
      </c>
      <c r="G153" s="2">
        <v>4.95</v>
      </c>
      <c r="H153" s="2">
        <v>17920</v>
      </c>
      <c r="I153" s="2" t="s">
        <v>10</v>
      </c>
      <c r="J153" s="2">
        <f>ABS(DF_2[[#This Row],[Quantity_BEFORE]])</f>
        <v>1</v>
      </c>
      <c r="K153" s="2">
        <f>DF_2[[#This Row],[QUANTITY]]*DF_2[[#This Row],[UnitPrice]]</f>
        <v>4.95</v>
      </c>
    </row>
    <row r="154" spans="2:11" x14ac:dyDescent="0.25">
      <c r="B154" s="2">
        <v>536412</v>
      </c>
      <c r="C154" s="2">
        <v>21706</v>
      </c>
      <c r="D154" s="2" t="s">
        <v>451</v>
      </c>
      <c r="E154" s="2">
        <v>1</v>
      </c>
      <c r="F154" s="8">
        <v>40513.492361111108</v>
      </c>
      <c r="G154" s="2">
        <v>4.95</v>
      </c>
      <c r="H154" s="2">
        <v>17920</v>
      </c>
      <c r="I154" s="2" t="s">
        <v>10</v>
      </c>
      <c r="J154" s="2">
        <f>ABS(DF_2[[#This Row],[Quantity_BEFORE]])</f>
        <v>1</v>
      </c>
      <c r="K154" s="2">
        <f>DF_2[[#This Row],[QUANTITY]]*DF_2[[#This Row],[UnitPrice]]</f>
        <v>4.95</v>
      </c>
    </row>
    <row r="155" spans="2:11" x14ac:dyDescent="0.25">
      <c r="B155" s="2">
        <v>536412</v>
      </c>
      <c r="C155" s="2">
        <v>21708</v>
      </c>
      <c r="D155" s="2" t="s">
        <v>448</v>
      </c>
      <c r="E155" s="2">
        <v>1</v>
      </c>
      <c r="F155" s="8">
        <v>40513.492361111108</v>
      </c>
      <c r="G155" s="2">
        <v>4.95</v>
      </c>
      <c r="H155" s="2">
        <v>17920</v>
      </c>
      <c r="I155" s="2" t="s">
        <v>10</v>
      </c>
      <c r="J155" s="2">
        <f>ABS(DF_2[[#This Row],[Quantity_BEFORE]])</f>
        <v>1</v>
      </c>
      <c r="K155" s="2">
        <f>DF_2[[#This Row],[QUANTITY]]*DF_2[[#This Row],[UnitPrice]]</f>
        <v>4.95</v>
      </c>
    </row>
    <row r="156" spans="2:11" x14ac:dyDescent="0.25">
      <c r="B156" s="2">
        <v>536412</v>
      </c>
      <c r="C156" s="2">
        <v>21706</v>
      </c>
      <c r="D156" s="2" t="s">
        <v>451</v>
      </c>
      <c r="E156" s="2">
        <v>1</v>
      </c>
      <c r="F156" s="8">
        <v>40513.492361111108</v>
      </c>
      <c r="G156" s="2">
        <v>4.95</v>
      </c>
      <c r="H156" s="2">
        <v>17920</v>
      </c>
      <c r="I156" s="2" t="s">
        <v>10</v>
      </c>
      <c r="J156" s="2">
        <f>ABS(DF_2[[#This Row],[Quantity_BEFORE]])</f>
        <v>1</v>
      </c>
      <c r="K156" s="2">
        <f>DF_2[[#This Row],[QUANTITY]]*DF_2[[#This Row],[UnitPrice]]</f>
        <v>4.95</v>
      </c>
    </row>
    <row r="157" spans="2:11" x14ac:dyDescent="0.25">
      <c r="B157" s="2">
        <v>536397</v>
      </c>
      <c r="C157" s="2" t="s">
        <v>151</v>
      </c>
      <c r="D157" s="2" t="s">
        <v>152</v>
      </c>
      <c r="E157" s="2">
        <v>48</v>
      </c>
      <c r="F157" s="8">
        <v>40513.45208333333</v>
      </c>
      <c r="G157" s="2">
        <v>4.6500000000000004</v>
      </c>
      <c r="H157" s="2">
        <v>17924</v>
      </c>
      <c r="I157" s="2" t="s">
        <v>10</v>
      </c>
      <c r="J157" s="2">
        <f>ABS(DF_2[[#This Row],[Quantity_BEFORE]])</f>
        <v>48</v>
      </c>
      <c r="K157" s="2">
        <f>DF_2[[#This Row],[QUANTITY]]*DF_2[[#This Row],[UnitPrice]]</f>
        <v>223.20000000000002</v>
      </c>
    </row>
    <row r="158" spans="2:11" x14ac:dyDescent="0.25">
      <c r="B158" s="2">
        <v>536397</v>
      </c>
      <c r="C158" s="2" t="s">
        <v>250</v>
      </c>
      <c r="D158" s="2" t="s">
        <v>251</v>
      </c>
      <c r="E158" s="2">
        <v>12</v>
      </c>
      <c r="F158" s="8">
        <v>40513.45208333333</v>
      </c>
      <c r="G158" s="2">
        <v>4.6500000000000004</v>
      </c>
      <c r="H158" s="2">
        <v>17924</v>
      </c>
      <c r="I158" s="2" t="s">
        <v>10</v>
      </c>
      <c r="J158" s="2">
        <f>ABS(DF_2[[#This Row],[Quantity_BEFORE]])</f>
        <v>12</v>
      </c>
      <c r="K158" s="2">
        <f>DF_2[[#This Row],[QUANTITY]]*DF_2[[#This Row],[UnitPrice]]</f>
        <v>55.800000000000004</v>
      </c>
    </row>
    <row r="159" spans="2:11" x14ac:dyDescent="0.25">
      <c r="B159" s="2">
        <v>536398</v>
      </c>
      <c r="C159" s="2">
        <v>22835</v>
      </c>
      <c r="D159" s="2" t="s">
        <v>258</v>
      </c>
      <c r="E159" s="2">
        <v>8</v>
      </c>
      <c r="F159" s="8">
        <v>40513.452777777777</v>
      </c>
      <c r="G159" s="2">
        <v>4.6500000000000004</v>
      </c>
      <c r="H159" s="2">
        <v>13448</v>
      </c>
      <c r="I159" s="2" t="s">
        <v>10</v>
      </c>
      <c r="J159" s="2">
        <f>ABS(DF_2[[#This Row],[Quantity_BEFORE]])</f>
        <v>8</v>
      </c>
      <c r="K159" s="2">
        <f>DF_2[[#This Row],[QUANTITY]]*DF_2[[#This Row],[UnitPrice]]</f>
        <v>37.200000000000003</v>
      </c>
    </row>
    <row r="160" spans="2:11" x14ac:dyDescent="0.25">
      <c r="B160" s="2">
        <v>536423</v>
      </c>
      <c r="C160" s="2">
        <v>22837</v>
      </c>
      <c r="D160" s="2" t="s">
        <v>323</v>
      </c>
      <c r="E160" s="2">
        <v>8</v>
      </c>
      <c r="F160" s="8">
        <v>40513.505555555559</v>
      </c>
      <c r="G160" s="2">
        <v>4.6500000000000004</v>
      </c>
      <c r="H160" s="2">
        <v>18085</v>
      </c>
      <c r="I160" s="2" t="s">
        <v>10</v>
      </c>
      <c r="J160" s="2">
        <f>ABS(DF_2[[#This Row],[Quantity_BEFORE]])</f>
        <v>8</v>
      </c>
      <c r="K160" s="2">
        <f>DF_2[[#This Row],[QUANTITY]]*DF_2[[#This Row],[UnitPrice]]</f>
        <v>37.200000000000003</v>
      </c>
    </row>
    <row r="161" spans="2:11" x14ac:dyDescent="0.25">
      <c r="B161" s="2">
        <v>536425</v>
      </c>
      <c r="C161" s="2">
        <v>22837</v>
      </c>
      <c r="D161" s="2" t="s">
        <v>323</v>
      </c>
      <c r="E161" s="2">
        <v>8</v>
      </c>
      <c r="F161" s="8">
        <v>40513.505555555559</v>
      </c>
      <c r="G161" s="2">
        <v>4.6500000000000004</v>
      </c>
      <c r="H161" s="2">
        <v>13758</v>
      </c>
      <c r="I161" s="2" t="s">
        <v>10</v>
      </c>
      <c r="J161" s="2">
        <f>ABS(DF_2[[#This Row],[Quantity_BEFORE]])</f>
        <v>8</v>
      </c>
      <c r="K161" s="2">
        <f>DF_2[[#This Row],[QUANTITY]]*DF_2[[#This Row],[UnitPrice]]</f>
        <v>37.200000000000003</v>
      </c>
    </row>
    <row r="162" spans="2:11" x14ac:dyDescent="0.25">
      <c r="B162" s="2">
        <v>536412</v>
      </c>
      <c r="C162" s="2">
        <v>22837</v>
      </c>
      <c r="D162" s="2" t="s">
        <v>323</v>
      </c>
      <c r="E162" s="2">
        <v>3</v>
      </c>
      <c r="F162" s="8">
        <v>40513.492361111108</v>
      </c>
      <c r="G162" s="2">
        <v>4.6500000000000004</v>
      </c>
      <c r="H162" s="2">
        <v>17920</v>
      </c>
      <c r="I162" s="2" t="s">
        <v>10</v>
      </c>
      <c r="J162" s="2">
        <f>ABS(DF_2[[#This Row],[Quantity_BEFORE]])</f>
        <v>3</v>
      </c>
      <c r="K162" s="2">
        <f>DF_2[[#This Row],[QUANTITY]]*DF_2[[#This Row],[UnitPrice]]</f>
        <v>13.950000000000001</v>
      </c>
    </row>
    <row r="163" spans="2:11" x14ac:dyDescent="0.25">
      <c r="B163" s="2">
        <v>536415</v>
      </c>
      <c r="C163" s="2">
        <v>22837</v>
      </c>
      <c r="D163" s="2" t="s">
        <v>323</v>
      </c>
      <c r="E163" s="2">
        <v>3</v>
      </c>
      <c r="F163" s="8">
        <v>40513.497916666667</v>
      </c>
      <c r="G163" s="2">
        <v>4.6500000000000004</v>
      </c>
      <c r="H163" s="2">
        <v>12838</v>
      </c>
      <c r="I163" s="2" t="s">
        <v>10</v>
      </c>
      <c r="J163" s="2">
        <f>ABS(DF_2[[#This Row],[Quantity_BEFORE]])</f>
        <v>3</v>
      </c>
      <c r="K163" s="2">
        <f>DF_2[[#This Row],[QUANTITY]]*DF_2[[#This Row],[UnitPrice]]</f>
        <v>13.950000000000001</v>
      </c>
    </row>
    <row r="164" spans="2:11" x14ac:dyDescent="0.25">
      <c r="B164" s="2" t="s">
        <v>150</v>
      </c>
      <c r="C164" s="2" t="s">
        <v>151</v>
      </c>
      <c r="D164" s="2" t="s">
        <v>152</v>
      </c>
      <c r="E164" s="2">
        <v>-1</v>
      </c>
      <c r="F164" s="8">
        <v>40513.40902777778</v>
      </c>
      <c r="G164" s="2">
        <v>4.6500000000000004</v>
      </c>
      <c r="H164" s="2">
        <v>15311</v>
      </c>
      <c r="I164" s="2" t="s">
        <v>10</v>
      </c>
      <c r="J164" s="2">
        <f>ABS(DF_2[[#This Row],[Quantity_BEFORE]])</f>
        <v>1</v>
      </c>
      <c r="K164" s="2">
        <f>DF_2[[#This Row],[QUANTITY]]*DF_2[[#This Row],[UnitPrice]]</f>
        <v>4.6500000000000004</v>
      </c>
    </row>
    <row r="165" spans="2:11" x14ac:dyDescent="0.25">
      <c r="B165" s="2">
        <v>536402</v>
      </c>
      <c r="C165" s="2">
        <v>22837</v>
      </c>
      <c r="D165" s="2" t="s">
        <v>323</v>
      </c>
      <c r="E165" s="2">
        <v>36</v>
      </c>
      <c r="F165" s="8">
        <v>40513.473611111112</v>
      </c>
      <c r="G165" s="2">
        <v>4.25</v>
      </c>
      <c r="H165" s="2">
        <v>15513</v>
      </c>
      <c r="I165" s="2" t="s">
        <v>10</v>
      </c>
      <c r="J165" s="2">
        <f>ABS(DF_2[[#This Row],[Quantity_BEFORE]])</f>
        <v>36</v>
      </c>
      <c r="K165" s="2">
        <f>DF_2[[#This Row],[QUANTITY]]*DF_2[[#This Row],[UnitPrice]]</f>
        <v>153</v>
      </c>
    </row>
    <row r="166" spans="2:11" x14ac:dyDescent="0.25">
      <c r="B166" s="2">
        <v>536390</v>
      </c>
      <c r="C166" s="2">
        <v>21485</v>
      </c>
      <c r="D166" s="2" t="s">
        <v>214</v>
      </c>
      <c r="E166" s="2">
        <v>24</v>
      </c>
      <c r="F166" s="8">
        <v>40513.429861111108</v>
      </c>
      <c r="G166" s="2">
        <v>4.25</v>
      </c>
      <c r="H166" s="2">
        <v>17511</v>
      </c>
      <c r="I166" s="2" t="s">
        <v>10</v>
      </c>
      <c r="J166" s="2">
        <f>ABS(DF_2[[#This Row],[Quantity_BEFORE]])</f>
        <v>24</v>
      </c>
      <c r="K166" s="2">
        <f>DF_2[[#This Row],[QUANTITY]]*DF_2[[#This Row],[UnitPrice]]</f>
        <v>102</v>
      </c>
    </row>
    <row r="167" spans="2:11" x14ac:dyDescent="0.25">
      <c r="B167" s="2">
        <v>536381</v>
      </c>
      <c r="C167" s="2">
        <v>22139</v>
      </c>
      <c r="D167" s="2" t="s">
        <v>101</v>
      </c>
      <c r="E167" s="2">
        <v>23</v>
      </c>
      <c r="F167" s="8">
        <v>40513.40347222222</v>
      </c>
      <c r="G167" s="2">
        <v>4.25</v>
      </c>
      <c r="H167" s="2">
        <v>15311</v>
      </c>
      <c r="I167" s="2" t="s">
        <v>10</v>
      </c>
      <c r="J167" s="2">
        <f>ABS(DF_2[[#This Row],[Quantity_BEFORE]])</f>
        <v>23</v>
      </c>
      <c r="K167" s="2">
        <f>DF_2[[#This Row],[QUANTITY]]*DF_2[[#This Row],[UnitPrice]]</f>
        <v>97.75</v>
      </c>
    </row>
    <row r="168" spans="2:11" x14ac:dyDescent="0.25">
      <c r="B168" s="2">
        <v>536390</v>
      </c>
      <c r="C168" s="2">
        <v>21533</v>
      </c>
      <c r="D168" s="2" t="s">
        <v>126</v>
      </c>
      <c r="E168" s="2">
        <v>12</v>
      </c>
      <c r="F168" s="8">
        <v>40513.429861111108</v>
      </c>
      <c r="G168" s="2">
        <v>4.25</v>
      </c>
      <c r="H168" s="2">
        <v>17511</v>
      </c>
      <c r="I168" s="2" t="s">
        <v>10</v>
      </c>
      <c r="J168" s="2">
        <f>ABS(DF_2[[#This Row],[Quantity_BEFORE]])</f>
        <v>12</v>
      </c>
      <c r="K168" s="2">
        <f>DF_2[[#This Row],[QUANTITY]]*DF_2[[#This Row],[UnitPrice]]</f>
        <v>51</v>
      </c>
    </row>
    <row r="169" spans="2:11" x14ac:dyDescent="0.25">
      <c r="B169" s="2">
        <v>536488</v>
      </c>
      <c r="C169" s="2">
        <v>22960</v>
      </c>
      <c r="D169" s="2" t="s">
        <v>34</v>
      </c>
      <c r="E169" s="2">
        <v>8</v>
      </c>
      <c r="F169" s="8">
        <v>40513.521527777775</v>
      </c>
      <c r="G169" s="2">
        <v>4.25</v>
      </c>
      <c r="H169" s="2">
        <v>17897</v>
      </c>
      <c r="I169" s="2" t="s">
        <v>10</v>
      </c>
      <c r="J169" s="2">
        <f>ABS(DF_2[[#This Row],[Quantity_BEFORE]])</f>
        <v>8</v>
      </c>
      <c r="K169" s="2">
        <f>DF_2[[#This Row],[QUANTITY]]*DF_2[[#This Row],[UnitPrice]]</f>
        <v>34</v>
      </c>
    </row>
    <row r="170" spans="2:11" x14ac:dyDescent="0.25">
      <c r="B170" s="2">
        <v>536365</v>
      </c>
      <c r="C170" s="2">
        <v>21730</v>
      </c>
      <c r="D170" s="2" t="s">
        <v>19</v>
      </c>
      <c r="E170" s="2">
        <v>6</v>
      </c>
      <c r="F170" s="8">
        <v>40513.351388888892</v>
      </c>
      <c r="G170" s="2">
        <v>4.25</v>
      </c>
      <c r="H170" s="2">
        <v>17850</v>
      </c>
      <c r="I170" s="2" t="s">
        <v>10</v>
      </c>
      <c r="J170" s="2">
        <f>ABS(DF_2[[#This Row],[Quantity_BEFORE]])</f>
        <v>6</v>
      </c>
      <c r="K170" s="2">
        <f>DF_2[[#This Row],[QUANTITY]]*DF_2[[#This Row],[UnitPrice]]</f>
        <v>25.5</v>
      </c>
    </row>
    <row r="171" spans="2:11" x14ac:dyDescent="0.25">
      <c r="B171" s="2">
        <v>536367</v>
      </c>
      <c r="C171" s="2">
        <v>84969</v>
      </c>
      <c r="D171" s="2" t="s">
        <v>27</v>
      </c>
      <c r="E171" s="2">
        <v>6</v>
      </c>
      <c r="F171" s="8">
        <v>40513.356944444444</v>
      </c>
      <c r="G171" s="2">
        <v>4.25</v>
      </c>
      <c r="H171" s="2">
        <v>13047</v>
      </c>
      <c r="I171" s="2" t="s">
        <v>10</v>
      </c>
      <c r="J171" s="2">
        <f>ABS(DF_2[[#This Row],[Quantity_BEFORE]])</f>
        <v>6</v>
      </c>
      <c r="K171" s="2">
        <f>DF_2[[#This Row],[QUANTITY]]*DF_2[[#This Row],[UnitPrice]]</f>
        <v>25.5</v>
      </c>
    </row>
    <row r="172" spans="2:11" x14ac:dyDescent="0.25">
      <c r="B172" s="2">
        <v>536368</v>
      </c>
      <c r="C172" s="2">
        <v>22960</v>
      </c>
      <c r="D172" s="2" t="s">
        <v>34</v>
      </c>
      <c r="E172" s="2">
        <v>6</v>
      </c>
      <c r="F172" s="8">
        <v>40513.356944444444</v>
      </c>
      <c r="G172" s="2">
        <v>4.25</v>
      </c>
      <c r="H172" s="2">
        <v>13047</v>
      </c>
      <c r="I172" s="2" t="s">
        <v>10</v>
      </c>
      <c r="J172" s="2">
        <f>ABS(DF_2[[#This Row],[Quantity_BEFORE]])</f>
        <v>6</v>
      </c>
      <c r="K172" s="2">
        <f>DF_2[[#This Row],[QUANTITY]]*DF_2[[#This Row],[UnitPrice]]</f>
        <v>25.5</v>
      </c>
    </row>
    <row r="173" spans="2:11" x14ac:dyDescent="0.25">
      <c r="B173" s="2">
        <v>536373</v>
      </c>
      <c r="C173" s="2">
        <v>21730</v>
      </c>
      <c r="D173" s="2" t="s">
        <v>19</v>
      </c>
      <c r="E173" s="2">
        <v>6</v>
      </c>
      <c r="F173" s="8">
        <v>40513.376388888886</v>
      </c>
      <c r="G173" s="2">
        <v>4.25</v>
      </c>
      <c r="H173" s="2">
        <v>17850</v>
      </c>
      <c r="I173" s="2" t="s">
        <v>10</v>
      </c>
      <c r="J173" s="2">
        <f>ABS(DF_2[[#This Row],[Quantity_BEFORE]])</f>
        <v>6</v>
      </c>
      <c r="K173" s="2">
        <f>DF_2[[#This Row],[QUANTITY]]*DF_2[[#This Row],[UnitPrice]]</f>
        <v>25.5</v>
      </c>
    </row>
    <row r="174" spans="2:11" x14ac:dyDescent="0.25">
      <c r="B174" s="2">
        <v>536375</v>
      </c>
      <c r="C174" s="2">
        <v>21730</v>
      </c>
      <c r="D174" s="2" t="s">
        <v>19</v>
      </c>
      <c r="E174" s="2">
        <v>6</v>
      </c>
      <c r="F174" s="8">
        <v>40513.397222222222</v>
      </c>
      <c r="G174" s="2">
        <v>4.25</v>
      </c>
      <c r="H174" s="2">
        <v>17850</v>
      </c>
      <c r="I174" s="2" t="s">
        <v>10</v>
      </c>
      <c r="J174" s="2">
        <f>ABS(DF_2[[#This Row],[Quantity_BEFORE]])</f>
        <v>6</v>
      </c>
      <c r="K174" s="2">
        <f>DF_2[[#This Row],[QUANTITY]]*DF_2[[#This Row],[UnitPrice]]</f>
        <v>25.5</v>
      </c>
    </row>
    <row r="175" spans="2:11" x14ac:dyDescent="0.25">
      <c r="B175" s="2">
        <v>536385</v>
      </c>
      <c r="C175" s="2">
        <v>22960</v>
      </c>
      <c r="D175" s="2" t="s">
        <v>34</v>
      </c>
      <c r="E175" s="2">
        <v>6</v>
      </c>
      <c r="F175" s="8">
        <v>40513.413888888892</v>
      </c>
      <c r="G175" s="2">
        <v>4.25</v>
      </c>
      <c r="H175" s="2">
        <v>17420</v>
      </c>
      <c r="I175" s="2" t="s">
        <v>10</v>
      </c>
      <c r="J175" s="2">
        <f>ABS(DF_2[[#This Row],[Quantity_BEFORE]])</f>
        <v>6</v>
      </c>
      <c r="K175" s="2">
        <f>DF_2[[#This Row],[QUANTITY]]*DF_2[[#This Row],[UnitPrice]]</f>
        <v>25.5</v>
      </c>
    </row>
    <row r="176" spans="2:11" x14ac:dyDescent="0.25">
      <c r="B176" s="2">
        <v>536396</v>
      </c>
      <c r="C176" s="2">
        <v>21730</v>
      </c>
      <c r="D176" s="2" t="s">
        <v>19</v>
      </c>
      <c r="E176" s="2">
        <v>6</v>
      </c>
      <c r="F176" s="8">
        <v>40513.45208333333</v>
      </c>
      <c r="G176" s="2">
        <v>4.25</v>
      </c>
      <c r="H176" s="2">
        <v>17850</v>
      </c>
      <c r="I176" s="2" t="s">
        <v>10</v>
      </c>
      <c r="J176" s="2">
        <f>ABS(DF_2[[#This Row],[Quantity_BEFORE]])</f>
        <v>6</v>
      </c>
      <c r="K176" s="2">
        <f>DF_2[[#This Row],[QUANTITY]]*DF_2[[#This Row],[UnitPrice]]</f>
        <v>25.5</v>
      </c>
    </row>
    <row r="177" spans="2:11" x14ac:dyDescent="0.25">
      <c r="B177" s="2">
        <v>536406</v>
      </c>
      <c r="C177" s="2">
        <v>21730</v>
      </c>
      <c r="D177" s="2" t="s">
        <v>19</v>
      </c>
      <c r="E177" s="2">
        <v>6</v>
      </c>
      <c r="F177" s="8">
        <v>40513.481249999997</v>
      </c>
      <c r="G177" s="2">
        <v>4.25</v>
      </c>
      <c r="H177" s="2">
        <v>17850</v>
      </c>
      <c r="I177" s="2" t="s">
        <v>10</v>
      </c>
      <c r="J177" s="2">
        <f>ABS(DF_2[[#This Row],[Quantity_BEFORE]])</f>
        <v>6</v>
      </c>
      <c r="K177" s="2">
        <f>DF_2[[#This Row],[QUANTITY]]*DF_2[[#This Row],[UnitPrice]]</f>
        <v>25.5</v>
      </c>
    </row>
    <row r="178" spans="2:11" x14ac:dyDescent="0.25">
      <c r="B178" s="2">
        <v>536466</v>
      </c>
      <c r="C178" s="2">
        <v>22960</v>
      </c>
      <c r="D178" s="2" t="s">
        <v>34</v>
      </c>
      <c r="E178" s="2">
        <v>6</v>
      </c>
      <c r="F178" s="8">
        <v>40513.515972222223</v>
      </c>
      <c r="G178" s="2">
        <v>4.25</v>
      </c>
      <c r="H178" s="2">
        <v>14849</v>
      </c>
      <c r="I178" s="2" t="s">
        <v>10</v>
      </c>
      <c r="J178" s="2">
        <f>ABS(DF_2[[#This Row],[Quantity_BEFORE]])</f>
        <v>6</v>
      </c>
      <c r="K178" s="2">
        <f>DF_2[[#This Row],[QUANTITY]]*DF_2[[#This Row],[UnitPrice]]</f>
        <v>25.5</v>
      </c>
    </row>
    <row r="179" spans="2:11" x14ac:dyDescent="0.25">
      <c r="B179" s="2" t="s">
        <v>639</v>
      </c>
      <c r="C179" s="2">
        <v>22960</v>
      </c>
      <c r="D179" s="2" t="s">
        <v>34</v>
      </c>
      <c r="E179" s="2">
        <v>-6</v>
      </c>
      <c r="F179" s="8">
        <v>40513.526388888888</v>
      </c>
      <c r="G179" s="2">
        <v>4.25</v>
      </c>
      <c r="H179" s="2">
        <v>17897</v>
      </c>
      <c r="I179" s="2" t="s">
        <v>10</v>
      </c>
      <c r="J179" s="2">
        <f>ABS(DF_2[[#This Row],[Quantity_BEFORE]])</f>
        <v>6</v>
      </c>
      <c r="K179" s="2">
        <f>DF_2[[#This Row],[QUANTITY]]*DF_2[[#This Row],[UnitPrice]]</f>
        <v>25.5</v>
      </c>
    </row>
    <row r="180" spans="2:11" x14ac:dyDescent="0.25">
      <c r="B180" s="2">
        <v>536408</v>
      </c>
      <c r="C180" s="2">
        <v>22371</v>
      </c>
      <c r="D180" s="2" t="s">
        <v>372</v>
      </c>
      <c r="E180" s="2">
        <v>4</v>
      </c>
      <c r="F180" s="8">
        <v>40513.486805555556</v>
      </c>
      <c r="G180" s="2">
        <v>4.25</v>
      </c>
      <c r="H180" s="2">
        <v>14307</v>
      </c>
      <c r="I180" s="2" t="s">
        <v>10</v>
      </c>
      <c r="J180" s="2">
        <f>ABS(DF_2[[#This Row],[Quantity_BEFORE]])</f>
        <v>4</v>
      </c>
      <c r="K180" s="2">
        <f>DF_2[[#This Row],[QUANTITY]]*DF_2[[#This Row],[UnitPrice]]</f>
        <v>17</v>
      </c>
    </row>
    <row r="181" spans="2:11" x14ac:dyDescent="0.25">
      <c r="B181" s="2">
        <v>536420</v>
      </c>
      <c r="C181" s="2">
        <v>22357</v>
      </c>
      <c r="D181" s="2" t="s">
        <v>508</v>
      </c>
      <c r="E181" s="2">
        <v>4</v>
      </c>
      <c r="F181" s="8">
        <v>40513.502083333333</v>
      </c>
      <c r="G181" s="2">
        <v>4.25</v>
      </c>
      <c r="H181" s="2">
        <v>16583</v>
      </c>
      <c r="I181" s="2" t="s">
        <v>10</v>
      </c>
      <c r="J181" s="2">
        <f>ABS(DF_2[[#This Row],[Quantity_BEFORE]])</f>
        <v>4</v>
      </c>
      <c r="K181" s="2">
        <f>DF_2[[#This Row],[QUANTITY]]*DF_2[[#This Row],[UnitPrice]]</f>
        <v>17</v>
      </c>
    </row>
    <row r="182" spans="2:11" x14ac:dyDescent="0.25">
      <c r="B182" s="2">
        <v>536388</v>
      </c>
      <c r="C182" s="2">
        <v>21411</v>
      </c>
      <c r="D182" s="2" t="s">
        <v>179</v>
      </c>
      <c r="E182" s="2">
        <v>3</v>
      </c>
      <c r="F182" s="8">
        <v>40513.415972222225</v>
      </c>
      <c r="G182" s="2">
        <v>4.25</v>
      </c>
      <c r="H182" s="2">
        <v>16250</v>
      </c>
      <c r="I182" s="2" t="s">
        <v>10</v>
      </c>
      <c r="J182" s="2">
        <f>ABS(DF_2[[#This Row],[Quantity_BEFORE]])</f>
        <v>3</v>
      </c>
      <c r="K182" s="2">
        <f>DF_2[[#This Row],[QUANTITY]]*DF_2[[#This Row],[UnitPrice]]</f>
        <v>12.75</v>
      </c>
    </row>
    <row r="183" spans="2:11" x14ac:dyDescent="0.25">
      <c r="B183" s="2">
        <v>536412</v>
      </c>
      <c r="C183" s="2">
        <v>22940</v>
      </c>
      <c r="D183" s="2" t="s">
        <v>430</v>
      </c>
      <c r="E183" s="2">
        <v>3</v>
      </c>
      <c r="F183" s="8">
        <v>40513.492361111108</v>
      </c>
      <c r="G183" s="2">
        <v>4.25</v>
      </c>
      <c r="H183" s="2">
        <v>17920</v>
      </c>
      <c r="I183" s="2" t="s">
        <v>10</v>
      </c>
      <c r="J183" s="2">
        <f>ABS(DF_2[[#This Row],[Quantity_BEFORE]])</f>
        <v>3</v>
      </c>
      <c r="K183" s="2">
        <f>DF_2[[#This Row],[QUANTITY]]*DF_2[[#This Row],[UnitPrice]]</f>
        <v>12.75</v>
      </c>
    </row>
    <row r="184" spans="2:11" x14ac:dyDescent="0.25">
      <c r="B184" s="2">
        <v>536425</v>
      </c>
      <c r="C184" s="2">
        <v>21411</v>
      </c>
      <c r="D184" s="2" t="s">
        <v>179</v>
      </c>
      <c r="E184" s="2">
        <v>3</v>
      </c>
      <c r="F184" s="8">
        <v>40513.505555555559</v>
      </c>
      <c r="G184" s="2">
        <v>4.25</v>
      </c>
      <c r="H184" s="2">
        <v>13758</v>
      </c>
      <c r="I184" s="2" t="s">
        <v>10</v>
      </c>
      <c r="J184" s="2">
        <f>ABS(DF_2[[#This Row],[Quantity_BEFORE]])</f>
        <v>3</v>
      </c>
      <c r="K184" s="2">
        <f>DF_2[[#This Row],[QUANTITY]]*DF_2[[#This Row],[UnitPrice]]</f>
        <v>12.75</v>
      </c>
    </row>
    <row r="185" spans="2:11" x14ac:dyDescent="0.25">
      <c r="B185" s="2">
        <v>536464</v>
      </c>
      <c r="C185" s="2" t="s">
        <v>563</v>
      </c>
      <c r="D185" s="2" t="s">
        <v>564</v>
      </c>
      <c r="E185" s="2">
        <v>3</v>
      </c>
      <c r="F185" s="8">
        <v>40513.515972222223</v>
      </c>
      <c r="G185" s="2">
        <v>4.25</v>
      </c>
      <c r="H185" s="2">
        <v>17968</v>
      </c>
      <c r="I185" s="2" t="s">
        <v>10</v>
      </c>
      <c r="J185" s="2">
        <f>ABS(DF_2[[#This Row],[Quantity_BEFORE]])</f>
        <v>3</v>
      </c>
      <c r="K185" s="2">
        <f>DF_2[[#This Row],[QUANTITY]]*DF_2[[#This Row],[UnitPrice]]</f>
        <v>12.75</v>
      </c>
    </row>
    <row r="186" spans="2:11" x14ac:dyDescent="0.25">
      <c r="B186" s="2">
        <v>536415</v>
      </c>
      <c r="C186" s="2">
        <v>22940</v>
      </c>
      <c r="D186" s="2" t="s">
        <v>430</v>
      </c>
      <c r="E186" s="2">
        <v>2</v>
      </c>
      <c r="F186" s="8">
        <v>40513.497916666667</v>
      </c>
      <c r="G186" s="2">
        <v>4.25</v>
      </c>
      <c r="H186" s="2">
        <v>12838</v>
      </c>
      <c r="I186" s="2" t="s">
        <v>10</v>
      </c>
      <c r="J186" s="2">
        <f>ABS(DF_2[[#This Row],[Quantity_BEFORE]])</f>
        <v>2</v>
      </c>
      <c r="K186" s="2">
        <f>DF_2[[#This Row],[QUANTITY]]*DF_2[[#This Row],[UnitPrice]]</f>
        <v>8.5</v>
      </c>
    </row>
    <row r="187" spans="2:11" x14ac:dyDescent="0.25">
      <c r="B187" s="2">
        <v>536464</v>
      </c>
      <c r="C187" s="2" t="s">
        <v>551</v>
      </c>
      <c r="D187" s="2" t="s">
        <v>552</v>
      </c>
      <c r="E187" s="2">
        <v>2</v>
      </c>
      <c r="F187" s="8">
        <v>40513.515972222223</v>
      </c>
      <c r="G187" s="2">
        <v>4.25</v>
      </c>
      <c r="H187" s="2">
        <v>17968</v>
      </c>
      <c r="I187" s="2" t="s">
        <v>10</v>
      </c>
      <c r="J187" s="2">
        <f>ABS(DF_2[[#This Row],[Quantity_BEFORE]])</f>
        <v>2</v>
      </c>
      <c r="K187" s="2">
        <f>DF_2[[#This Row],[QUANTITY]]*DF_2[[#This Row],[UnitPrice]]</f>
        <v>8.5</v>
      </c>
    </row>
    <row r="188" spans="2:11" x14ac:dyDescent="0.25">
      <c r="B188" s="2">
        <v>536464</v>
      </c>
      <c r="C188" s="2" t="s">
        <v>555</v>
      </c>
      <c r="D188" s="2" t="s">
        <v>556</v>
      </c>
      <c r="E188" s="2">
        <v>2</v>
      </c>
      <c r="F188" s="8">
        <v>40513.515972222223</v>
      </c>
      <c r="G188" s="2">
        <v>4.25</v>
      </c>
      <c r="H188" s="2">
        <v>17968</v>
      </c>
      <c r="I188" s="2" t="s">
        <v>10</v>
      </c>
      <c r="J188" s="2">
        <f>ABS(DF_2[[#This Row],[Quantity_BEFORE]])</f>
        <v>2</v>
      </c>
      <c r="K188" s="2">
        <f>DF_2[[#This Row],[QUANTITY]]*DF_2[[#This Row],[UnitPrice]]</f>
        <v>8.5</v>
      </c>
    </row>
    <row r="189" spans="2:11" x14ac:dyDescent="0.25">
      <c r="B189" s="2">
        <v>536401</v>
      </c>
      <c r="C189" s="2">
        <v>21464</v>
      </c>
      <c r="D189" s="2" t="s">
        <v>282</v>
      </c>
      <c r="E189" s="2">
        <v>1</v>
      </c>
      <c r="F189" s="8">
        <v>40513.472916666666</v>
      </c>
      <c r="G189" s="2">
        <v>4.25</v>
      </c>
      <c r="H189" s="2">
        <v>15862</v>
      </c>
      <c r="I189" s="2" t="s">
        <v>10</v>
      </c>
      <c r="J189" s="2">
        <f>ABS(DF_2[[#This Row],[Quantity_BEFORE]])</f>
        <v>1</v>
      </c>
      <c r="K189" s="2">
        <f>DF_2[[#This Row],[QUANTITY]]*DF_2[[#This Row],[UnitPrice]]</f>
        <v>4.25</v>
      </c>
    </row>
    <row r="190" spans="2:11" x14ac:dyDescent="0.25">
      <c r="B190" s="2">
        <v>536401</v>
      </c>
      <c r="C190" s="2" t="s">
        <v>215</v>
      </c>
      <c r="D190" s="2" t="s">
        <v>216</v>
      </c>
      <c r="E190" s="2">
        <v>1</v>
      </c>
      <c r="F190" s="8">
        <v>40513.472916666666</v>
      </c>
      <c r="G190" s="2">
        <v>4.25</v>
      </c>
      <c r="H190" s="2">
        <v>15862</v>
      </c>
      <c r="I190" s="2" t="s">
        <v>10</v>
      </c>
      <c r="J190" s="2">
        <f>ABS(DF_2[[#This Row],[Quantity_BEFORE]])</f>
        <v>1</v>
      </c>
      <c r="K190" s="2">
        <f>DF_2[[#This Row],[QUANTITY]]*DF_2[[#This Row],[UnitPrice]]</f>
        <v>4.25</v>
      </c>
    </row>
    <row r="191" spans="2:11" x14ac:dyDescent="0.25">
      <c r="B191" s="2">
        <v>536409</v>
      </c>
      <c r="C191" s="2" t="s">
        <v>397</v>
      </c>
      <c r="D191" s="2" t="s">
        <v>398</v>
      </c>
      <c r="E191" s="2">
        <v>1</v>
      </c>
      <c r="F191" s="8">
        <v>40513.489583333336</v>
      </c>
      <c r="G191" s="2">
        <v>4.25</v>
      </c>
      <c r="H191" s="2">
        <v>17908</v>
      </c>
      <c r="I191" s="2" t="s">
        <v>10</v>
      </c>
      <c r="J191" s="2">
        <f>ABS(DF_2[[#This Row],[Quantity_BEFORE]])</f>
        <v>1</v>
      </c>
      <c r="K191" s="2">
        <f>DF_2[[#This Row],[QUANTITY]]*DF_2[[#This Row],[UnitPrice]]</f>
        <v>4.25</v>
      </c>
    </row>
    <row r="192" spans="2:11" x14ac:dyDescent="0.25">
      <c r="B192" s="2">
        <v>536412</v>
      </c>
      <c r="C192" s="2">
        <v>22940</v>
      </c>
      <c r="D192" s="2" t="s">
        <v>430</v>
      </c>
      <c r="E192" s="2">
        <v>1</v>
      </c>
      <c r="F192" s="8">
        <v>40513.492361111108</v>
      </c>
      <c r="G192" s="2">
        <v>4.25</v>
      </c>
      <c r="H192" s="2">
        <v>17920</v>
      </c>
      <c r="I192" s="2" t="s">
        <v>10</v>
      </c>
      <c r="J192" s="2">
        <f>ABS(DF_2[[#This Row],[Quantity_BEFORE]])</f>
        <v>1</v>
      </c>
      <c r="K192" s="2">
        <f>DF_2[[#This Row],[QUANTITY]]*DF_2[[#This Row],[UnitPrice]]</f>
        <v>4.25</v>
      </c>
    </row>
    <row r="193" spans="2:11" x14ac:dyDescent="0.25">
      <c r="B193" s="2">
        <v>536464</v>
      </c>
      <c r="C193" s="2" t="s">
        <v>561</v>
      </c>
      <c r="D193" s="2" t="s">
        <v>562</v>
      </c>
      <c r="E193" s="2">
        <v>1</v>
      </c>
      <c r="F193" s="8">
        <v>40513.515972222223</v>
      </c>
      <c r="G193" s="2">
        <v>4.25</v>
      </c>
      <c r="H193" s="2">
        <v>17968</v>
      </c>
      <c r="I193" s="2" t="s">
        <v>10</v>
      </c>
      <c r="J193" s="2">
        <f>ABS(DF_2[[#This Row],[Quantity_BEFORE]])</f>
        <v>1</v>
      </c>
      <c r="K193" s="2">
        <f>DF_2[[#This Row],[QUANTITY]]*DF_2[[#This Row],[UnitPrice]]</f>
        <v>4.25</v>
      </c>
    </row>
    <row r="194" spans="2:11" x14ac:dyDescent="0.25">
      <c r="B194" s="2">
        <v>536464</v>
      </c>
      <c r="C194" s="2" t="s">
        <v>565</v>
      </c>
      <c r="D194" s="2" t="s">
        <v>566</v>
      </c>
      <c r="E194" s="2">
        <v>1</v>
      </c>
      <c r="F194" s="8">
        <v>40513.515972222223</v>
      </c>
      <c r="G194" s="2">
        <v>4.25</v>
      </c>
      <c r="H194" s="2">
        <v>17968</v>
      </c>
      <c r="I194" s="2" t="s">
        <v>10</v>
      </c>
      <c r="J194" s="2">
        <f>ABS(DF_2[[#This Row],[Quantity_BEFORE]])</f>
        <v>1</v>
      </c>
      <c r="K194" s="2">
        <f>DF_2[[#This Row],[QUANTITY]]*DF_2[[#This Row],[UnitPrice]]</f>
        <v>4.25</v>
      </c>
    </row>
    <row r="195" spans="2:11" x14ac:dyDescent="0.25">
      <c r="B195" s="2">
        <v>536464</v>
      </c>
      <c r="C195" s="2">
        <v>22960</v>
      </c>
      <c r="D195" s="2" t="s">
        <v>34</v>
      </c>
      <c r="E195" s="2">
        <v>1</v>
      </c>
      <c r="F195" s="8">
        <v>40513.515972222223</v>
      </c>
      <c r="G195" s="2">
        <v>4.25</v>
      </c>
      <c r="H195" s="2">
        <v>17968</v>
      </c>
      <c r="I195" s="2" t="s">
        <v>10</v>
      </c>
      <c r="J195" s="2">
        <f>ABS(DF_2[[#This Row],[Quantity_BEFORE]])</f>
        <v>1</v>
      </c>
      <c r="K195" s="2">
        <f>DF_2[[#This Row],[QUANTITY]]*DF_2[[#This Row],[UnitPrice]]</f>
        <v>4.25</v>
      </c>
    </row>
    <row r="196" spans="2:11" x14ac:dyDescent="0.25">
      <c r="B196" s="2">
        <v>536488</v>
      </c>
      <c r="C196" s="2">
        <v>22376</v>
      </c>
      <c r="D196" s="2" t="s">
        <v>623</v>
      </c>
      <c r="E196" s="2">
        <v>1</v>
      </c>
      <c r="F196" s="8">
        <v>40513.521527777775</v>
      </c>
      <c r="G196" s="2">
        <v>4.25</v>
      </c>
      <c r="H196" s="2">
        <v>17897</v>
      </c>
      <c r="I196" s="2" t="s">
        <v>10</v>
      </c>
      <c r="J196" s="2">
        <f>ABS(DF_2[[#This Row],[Quantity_BEFORE]])</f>
        <v>1</v>
      </c>
      <c r="K196" s="2">
        <f>DF_2[[#This Row],[QUANTITY]]*DF_2[[#This Row],[UnitPrice]]</f>
        <v>4.25</v>
      </c>
    </row>
    <row r="197" spans="2:11" x14ac:dyDescent="0.25">
      <c r="B197" s="2">
        <v>536488</v>
      </c>
      <c r="C197" s="2">
        <v>21895</v>
      </c>
      <c r="D197" s="2" t="s">
        <v>624</v>
      </c>
      <c r="E197" s="2">
        <v>1</v>
      </c>
      <c r="F197" s="8">
        <v>40513.521527777775</v>
      </c>
      <c r="G197" s="2">
        <v>4.25</v>
      </c>
      <c r="H197" s="2">
        <v>17897</v>
      </c>
      <c r="I197" s="2" t="s">
        <v>10</v>
      </c>
      <c r="J197" s="2">
        <f>ABS(DF_2[[#This Row],[Quantity_BEFORE]])</f>
        <v>1</v>
      </c>
      <c r="K197" s="2">
        <f>DF_2[[#This Row],[QUANTITY]]*DF_2[[#This Row],[UnitPrice]]</f>
        <v>4.25</v>
      </c>
    </row>
    <row r="198" spans="2:11" x14ac:dyDescent="0.25">
      <c r="B198" s="2">
        <v>536488</v>
      </c>
      <c r="C198" s="2">
        <v>22372</v>
      </c>
      <c r="D198" s="2" t="s">
        <v>625</v>
      </c>
      <c r="E198" s="2">
        <v>1</v>
      </c>
      <c r="F198" s="8">
        <v>40513.521527777775</v>
      </c>
      <c r="G198" s="2">
        <v>4.25</v>
      </c>
      <c r="H198" s="2">
        <v>17897</v>
      </c>
      <c r="I198" s="2" t="s">
        <v>10</v>
      </c>
      <c r="J198" s="2">
        <f>ABS(DF_2[[#This Row],[Quantity_BEFORE]])</f>
        <v>1</v>
      </c>
      <c r="K198" s="2">
        <f>DF_2[[#This Row],[QUANTITY]]*DF_2[[#This Row],[UnitPrice]]</f>
        <v>4.25</v>
      </c>
    </row>
    <row r="199" spans="2:11" x14ac:dyDescent="0.25">
      <c r="B199" s="2">
        <v>536488</v>
      </c>
      <c r="C199" s="2">
        <v>22940</v>
      </c>
      <c r="D199" s="2" t="s">
        <v>430</v>
      </c>
      <c r="E199" s="2">
        <v>1</v>
      </c>
      <c r="F199" s="8">
        <v>40513.521527777775</v>
      </c>
      <c r="G199" s="2">
        <v>4.25</v>
      </c>
      <c r="H199" s="2">
        <v>17897</v>
      </c>
      <c r="I199" s="2" t="s">
        <v>10</v>
      </c>
      <c r="J199" s="2">
        <f>ABS(DF_2[[#This Row],[Quantity_BEFORE]])</f>
        <v>1</v>
      </c>
      <c r="K199" s="2">
        <f>DF_2[[#This Row],[QUANTITY]]*DF_2[[#This Row],[UnitPrice]]</f>
        <v>4.25</v>
      </c>
    </row>
    <row r="200" spans="2:11" x14ac:dyDescent="0.25">
      <c r="B200" s="2">
        <v>536395</v>
      </c>
      <c r="C200" s="2">
        <v>22188</v>
      </c>
      <c r="D200" s="2" t="s">
        <v>244</v>
      </c>
      <c r="E200" s="2">
        <v>8</v>
      </c>
      <c r="F200" s="8">
        <v>40513.449305555558</v>
      </c>
      <c r="G200" s="2">
        <v>3.95</v>
      </c>
      <c r="H200" s="2">
        <v>13767</v>
      </c>
      <c r="I200" s="2" t="s">
        <v>10</v>
      </c>
      <c r="J200" s="2">
        <f>ABS(DF_2[[#This Row],[Quantity_BEFORE]])</f>
        <v>8</v>
      </c>
      <c r="K200" s="2">
        <f>DF_2[[#This Row],[QUANTITY]]*DF_2[[#This Row],[UnitPrice]]</f>
        <v>31.6</v>
      </c>
    </row>
    <row r="201" spans="2:11" x14ac:dyDescent="0.25">
      <c r="B201" s="2">
        <v>536395</v>
      </c>
      <c r="C201" s="2">
        <v>22114</v>
      </c>
      <c r="D201" s="2" t="s">
        <v>73</v>
      </c>
      <c r="E201" s="2">
        <v>8</v>
      </c>
      <c r="F201" s="8">
        <v>40513.449305555558</v>
      </c>
      <c r="G201" s="2">
        <v>3.95</v>
      </c>
      <c r="H201" s="2">
        <v>13767</v>
      </c>
      <c r="I201" s="2" t="s">
        <v>10</v>
      </c>
      <c r="J201" s="2">
        <f>ABS(DF_2[[#This Row],[Quantity_BEFORE]])</f>
        <v>8</v>
      </c>
      <c r="K201" s="2">
        <f>DF_2[[#This Row],[QUANTITY]]*DF_2[[#This Row],[UnitPrice]]</f>
        <v>31.6</v>
      </c>
    </row>
    <row r="202" spans="2:11" x14ac:dyDescent="0.25">
      <c r="B202" s="2">
        <v>536384</v>
      </c>
      <c r="C202" s="2">
        <v>22189</v>
      </c>
      <c r="D202" s="2" t="s">
        <v>162</v>
      </c>
      <c r="E202" s="2">
        <v>4</v>
      </c>
      <c r="F202" s="8">
        <v>40513.411805555559</v>
      </c>
      <c r="G202" s="2">
        <v>3.95</v>
      </c>
      <c r="H202" s="2">
        <v>18074</v>
      </c>
      <c r="I202" s="2" t="s">
        <v>10</v>
      </c>
      <c r="J202" s="2">
        <f>ABS(DF_2[[#This Row],[Quantity_BEFORE]])</f>
        <v>4</v>
      </c>
      <c r="K202" s="2">
        <f>DF_2[[#This Row],[QUANTITY]]*DF_2[[#This Row],[UnitPrice]]</f>
        <v>15.8</v>
      </c>
    </row>
    <row r="203" spans="2:11" x14ac:dyDescent="0.25">
      <c r="B203" s="2">
        <v>536398</v>
      </c>
      <c r="C203" s="2">
        <v>22114</v>
      </c>
      <c r="D203" s="2" t="s">
        <v>73</v>
      </c>
      <c r="E203" s="2">
        <v>4</v>
      </c>
      <c r="F203" s="8">
        <v>40513.452777777777</v>
      </c>
      <c r="G203" s="2">
        <v>3.95</v>
      </c>
      <c r="H203" s="2">
        <v>13448</v>
      </c>
      <c r="I203" s="2" t="s">
        <v>10</v>
      </c>
      <c r="J203" s="2">
        <f>ABS(DF_2[[#This Row],[Quantity_BEFORE]])</f>
        <v>4</v>
      </c>
      <c r="K203" s="2">
        <f>DF_2[[#This Row],[QUANTITY]]*DF_2[[#This Row],[UnitPrice]]</f>
        <v>15.8</v>
      </c>
    </row>
    <row r="204" spans="2:11" x14ac:dyDescent="0.25">
      <c r="B204" s="2">
        <v>536408</v>
      </c>
      <c r="C204" s="2">
        <v>22114</v>
      </c>
      <c r="D204" s="2" t="s">
        <v>73</v>
      </c>
      <c r="E204" s="2">
        <v>4</v>
      </c>
      <c r="F204" s="8">
        <v>40513.486805555556</v>
      </c>
      <c r="G204" s="2">
        <v>3.95</v>
      </c>
      <c r="H204" s="2">
        <v>14307</v>
      </c>
      <c r="I204" s="2" t="s">
        <v>10</v>
      </c>
      <c r="J204" s="2">
        <f>ABS(DF_2[[#This Row],[Quantity_BEFORE]])</f>
        <v>4</v>
      </c>
      <c r="K204" s="2">
        <f>DF_2[[#This Row],[QUANTITY]]*DF_2[[#This Row],[UnitPrice]]</f>
        <v>15.8</v>
      </c>
    </row>
    <row r="205" spans="2:11" x14ac:dyDescent="0.25">
      <c r="B205" s="2">
        <v>536381</v>
      </c>
      <c r="C205" s="2">
        <v>22778</v>
      </c>
      <c r="D205" s="2" t="s">
        <v>135</v>
      </c>
      <c r="E205" s="2">
        <v>3</v>
      </c>
      <c r="F205" s="8">
        <v>40513.40347222222</v>
      </c>
      <c r="G205" s="2">
        <v>3.95</v>
      </c>
      <c r="H205" s="2">
        <v>15311</v>
      </c>
      <c r="I205" s="2" t="s">
        <v>10</v>
      </c>
      <c r="J205" s="2">
        <f>ABS(DF_2[[#This Row],[Quantity_BEFORE]])</f>
        <v>3</v>
      </c>
      <c r="K205" s="2">
        <f>DF_2[[#This Row],[QUANTITY]]*DF_2[[#This Row],[UnitPrice]]</f>
        <v>11.850000000000001</v>
      </c>
    </row>
    <row r="206" spans="2:11" x14ac:dyDescent="0.25">
      <c r="B206" s="2">
        <v>536500</v>
      </c>
      <c r="C206" s="2">
        <v>21488</v>
      </c>
      <c r="D206" s="2" t="s">
        <v>634</v>
      </c>
      <c r="E206" s="2">
        <v>2</v>
      </c>
      <c r="F206" s="8">
        <v>40513.524305555555</v>
      </c>
      <c r="G206" s="2">
        <v>3.95</v>
      </c>
      <c r="H206" s="2">
        <v>17377</v>
      </c>
      <c r="I206" s="2" t="s">
        <v>10</v>
      </c>
      <c r="J206" s="2">
        <f>ABS(DF_2[[#This Row],[Quantity_BEFORE]])</f>
        <v>2</v>
      </c>
      <c r="K206" s="2">
        <f>DF_2[[#This Row],[QUANTITY]]*DF_2[[#This Row],[UnitPrice]]</f>
        <v>7.9</v>
      </c>
    </row>
    <row r="207" spans="2:11" x14ac:dyDescent="0.25">
      <c r="B207" s="2">
        <v>536387</v>
      </c>
      <c r="C207" s="2">
        <v>79321</v>
      </c>
      <c r="D207" s="2" t="s">
        <v>174</v>
      </c>
      <c r="E207" s="2">
        <v>192</v>
      </c>
      <c r="F207" s="8">
        <v>40513.415277777778</v>
      </c>
      <c r="G207" s="2">
        <v>3.82</v>
      </c>
      <c r="H207" s="2">
        <v>16029</v>
      </c>
      <c r="I207" s="2" t="s">
        <v>10</v>
      </c>
      <c r="J207" s="2">
        <f>ABS(DF_2[[#This Row],[Quantity_BEFORE]])</f>
        <v>192</v>
      </c>
      <c r="K207" s="2">
        <f>DF_2[[#This Row],[QUANTITY]]*DF_2[[#This Row],[UnitPrice]]</f>
        <v>733.43999999999994</v>
      </c>
    </row>
    <row r="208" spans="2:11" x14ac:dyDescent="0.25">
      <c r="B208" s="2">
        <v>536370</v>
      </c>
      <c r="C208" s="2">
        <v>22728</v>
      </c>
      <c r="D208" s="2" t="s">
        <v>39</v>
      </c>
      <c r="E208" s="2">
        <v>24</v>
      </c>
      <c r="F208" s="8">
        <v>40513.364583333336</v>
      </c>
      <c r="G208" s="2">
        <v>3.75</v>
      </c>
      <c r="H208" s="2">
        <v>12583</v>
      </c>
      <c r="I208" s="2" t="s">
        <v>40</v>
      </c>
      <c r="J208" s="2">
        <f>ABS(DF_2[[#This Row],[Quantity_BEFORE]])</f>
        <v>24</v>
      </c>
      <c r="K208" s="2">
        <f>DF_2[[#This Row],[QUANTITY]]*DF_2[[#This Row],[UnitPrice]]</f>
        <v>90</v>
      </c>
    </row>
    <row r="209" spans="2:11" x14ac:dyDescent="0.25">
      <c r="B209" s="2">
        <v>536370</v>
      </c>
      <c r="C209" s="2">
        <v>22727</v>
      </c>
      <c r="D209" s="2" t="s">
        <v>41</v>
      </c>
      <c r="E209" s="2">
        <v>24</v>
      </c>
      <c r="F209" s="8">
        <v>40513.364583333336</v>
      </c>
      <c r="G209" s="2">
        <v>3.75</v>
      </c>
      <c r="H209" s="2">
        <v>12583</v>
      </c>
      <c r="I209" s="2" t="s">
        <v>40</v>
      </c>
      <c r="J209" s="2">
        <f>ABS(DF_2[[#This Row],[Quantity_BEFORE]])</f>
        <v>24</v>
      </c>
      <c r="K209" s="2">
        <f>DF_2[[#This Row],[QUANTITY]]*DF_2[[#This Row],[UnitPrice]]</f>
        <v>90</v>
      </c>
    </row>
    <row r="210" spans="2:11" x14ac:dyDescent="0.25">
      <c r="B210" s="2">
        <v>536390</v>
      </c>
      <c r="C210" s="2" t="s">
        <v>215</v>
      </c>
      <c r="D210" s="2" t="s">
        <v>216</v>
      </c>
      <c r="E210" s="2">
        <v>24</v>
      </c>
      <c r="F210" s="8">
        <v>40513.429861111108</v>
      </c>
      <c r="G210" s="2">
        <v>3.75</v>
      </c>
      <c r="H210" s="2">
        <v>17511</v>
      </c>
      <c r="I210" s="2" t="s">
        <v>10</v>
      </c>
      <c r="J210" s="2">
        <f>ABS(DF_2[[#This Row],[Quantity_BEFORE]])</f>
        <v>24</v>
      </c>
      <c r="K210" s="2">
        <f>DF_2[[#This Row],[QUANTITY]]*DF_2[[#This Row],[UnitPrice]]</f>
        <v>90</v>
      </c>
    </row>
    <row r="211" spans="2:11" x14ac:dyDescent="0.25">
      <c r="B211" s="2">
        <v>536370</v>
      </c>
      <c r="C211" s="2">
        <v>22726</v>
      </c>
      <c r="D211" s="2" t="s">
        <v>42</v>
      </c>
      <c r="E211" s="2">
        <v>12</v>
      </c>
      <c r="F211" s="8">
        <v>40513.364583333336</v>
      </c>
      <c r="G211" s="2">
        <v>3.75</v>
      </c>
      <c r="H211" s="2">
        <v>12583</v>
      </c>
      <c r="I211" s="2" t="s">
        <v>40</v>
      </c>
      <c r="J211" s="2">
        <f>ABS(DF_2[[#This Row],[Quantity_BEFORE]])</f>
        <v>12</v>
      </c>
      <c r="K211" s="2">
        <f>DF_2[[#This Row],[QUANTITY]]*DF_2[[#This Row],[UnitPrice]]</f>
        <v>45</v>
      </c>
    </row>
    <row r="212" spans="2:11" x14ac:dyDescent="0.25">
      <c r="B212" s="2">
        <v>536370</v>
      </c>
      <c r="C212" s="2">
        <v>21913</v>
      </c>
      <c r="D212" s="2" t="s">
        <v>55</v>
      </c>
      <c r="E212" s="2">
        <v>12</v>
      </c>
      <c r="F212" s="8">
        <v>40513.364583333336</v>
      </c>
      <c r="G212" s="2">
        <v>3.75</v>
      </c>
      <c r="H212" s="2">
        <v>12583</v>
      </c>
      <c r="I212" s="2" t="s">
        <v>40</v>
      </c>
      <c r="J212" s="2">
        <f>ABS(DF_2[[#This Row],[Quantity_BEFORE]])</f>
        <v>12</v>
      </c>
      <c r="K212" s="2">
        <f>DF_2[[#This Row],[QUANTITY]]*DF_2[[#This Row],[UnitPrice]]</f>
        <v>45</v>
      </c>
    </row>
    <row r="213" spans="2:11" x14ac:dyDescent="0.25">
      <c r="B213" s="2">
        <v>536378</v>
      </c>
      <c r="C213" s="2" t="s">
        <v>80</v>
      </c>
      <c r="D213" s="2" t="s">
        <v>81</v>
      </c>
      <c r="E213" s="2">
        <v>12</v>
      </c>
      <c r="F213" s="8">
        <v>40513.400694444441</v>
      </c>
      <c r="G213" s="2">
        <v>3.75</v>
      </c>
      <c r="H213" s="2">
        <v>14688</v>
      </c>
      <c r="I213" s="2" t="s">
        <v>10</v>
      </c>
      <c r="J213" s="2">
        <f>ABS(DF_2[[#This Row],[Quantity_BEFORE]])</f>
        <v>12</v>
      </c>
      <c r="K213" s="2">
        <f>DF_2[[#This Row],[QUANTITY]]*DF_2[[#This Row],[UnitPrice]]</f>
        <v>45</v>
      </c>
    </row>
    <row r="214" spans="2:11" x14ac:dyDescent="0.25">
      <c r="B214" s="2">
        <v>536390</v>
      </c>
      <c r="C214" s="2">
        <v>22960</v>
      </c>
      <c r="D214" s="2" t="s">
        <v>34</v>
      </c>
      <c r="E214" s="2">
        <v>12</v>
      </c>
      <c r="F214" s="8">
        <v>40513.429861111108</v>
      </c>
      <c r="G214" s="2">
        <v>3.75</v>
      </c>
      <c r="H214" s="2">
        <v>17511</v>
      </c>
      <c r="I214" s="2" t="s">
        <v>10</v>
      </c>
      <c r="J214" s="2">
        <f>ABS(DF_2[[#This Row],[Quantity_BEFORE]])</f>
        <v>12</v>
      </c>
      <c r="K214" s="2">
        <f>DF_2[[#This Row],[QUANTITY]]*DF_2[[#This Row],[UnitPrice]]</f>
        <v>45</v>
      </c>
    </row>
    <row r="215" spans="2:11" x14ac:dyDescent="0.25">
      <c r="B215" s="2">
        <v>536394</v>
      </c>
      <c r="C215" s="2">
        <v>22349</v>
      </c>
      <c r="D215" s="2" t="s">
        <v>240</v>
      </c>
      <c r="E215" s="2">
        <v>12</v>
      </c>
      <c r="F215" s="8">
        <v>40513.443749999999</v>
      </c>
      <c r="G215" s="2">
        <v>3.75</v>
      </c>
      <c r="H215" s="2">
        <v>13408</v>
      </c>
      <c r="I215" s="2" t="s">
        <v>10</v>
      </c>
      <c r="J215" s="2">
        <f>ABS(DF_2[[#This Row],[Quantity_BEFORE]])</f>
        <v>12</v>
      </c>
      <c r="K215" s="2">
        <f>DF_2[[#This Row],[QUANTITY]]*DF_2[[#This Row],[UnitPrice]]</f>
        <v>45</v>
      </c>
    </row>
    <row r="216" spans="2:11" x14ac:dyDescent="0.25">
      <c r="B216" s="2">
        <v>536367</v>
      </c>
      <c r="C216" s="2">
        <v>22749</v>
      </c>
      <c r="D216" s="2" t="s">
        <v>25</v>
      </c>
      <c r="E216" s="2">
        <v>8</v>
      </c>
      <c r="F216" s="8">
        <v>40513.356944444444</v>
      </c>
      <c r="G216" s="2">
        <v>3.75</v>
      </c>
      <c r="H216" s="2">
        <v>13047</v>
      </c>
      <c r="I216" s="2" t="s">
        <v>10</v>
      </c>
      <c r="J216" s="2">
        <f>ABS(DF_2[[#This Row],[Quantity_BEFORE]])</f>
        <v>8</v>
      </c>
      <c r="K216" s="2">
        <f>DF_2[[#This Row],[QUANTITY]]*DF_2[[#This Row],[UnitPrice]]</f>
        <v>30</v>
      </c>
    </row>
    <row r="217" spans="2:11" x14ac:dyDescent="0.25">
      <c r="B217" s="2">
        <v>536382</v>
      </c>
      <c r="C217" s="2">
        <v>21912</v>
      </c>
      <c r="D217" s="2" t="s">
        <v>141</v>
      </c>
      <c r="E217" s="2">
        <v>8</v>
      </c>
      <c r="F217" s="8">
        <v>40513.40625</v>
      </c>
      <c r="G217" s="2">
        <v>3.75</v>
      </c>
      <c r="H217" s="2">
        <v>16098</v>
      </c>
      <c r="I217" s="2" t="s">
        <v>10</v>
      </c>
      <c r="J217" s="2">
        <f>ABS(DF_2[[#This Row],[Quantity_BEFORE]])</f>
        <v>8</v>
      </c>
      <c r="K217" s="2">
        <f>DF_2[[#This Row],[QUANTITY]]*DF_2[[#This Row],[UnitPrice]]</f>
        <v>30</v>
      </c>
    </row>
    <row r="218" spans="2:11" x14ac:dyDescent="0.25">
      <c r="B218" s="2">
        <v>536395</v>
      </c>
      <c r="C218" s="2">
        <v>22727</v>
      </c>
      <c r="D218" s="2" t="s">
        <v>41</v>
      </c>
      <c r="E218" s="2">
        <v>8</v>
      </c>
      <c r="F218" s="8">
        <v>40513.449305555558</v>
      </c>
      <c r="G218" s="2">
        <v>3.75</v>
      </c>
      <c r="H218" s="2">
        <v>13767</v>
      </c>
      <c r="I218" s="2" t="s">
        <v>10</v>
      </c>
      <c r="J218" s="2">
        <f>ABS(DF_2[[#This Row],[Quantity_BEFORE]])</f>
        <v>8</v>
      </c>
      <c r="K218" s="2">
        <f>DF_2[[#This Row],[QUANTITY]]*DF_2[[#This Row],[UnitPrice]]</f>
        <v>30</v>
      </c>
    </row>
    <row r="219" spans="2:11" x14ac:dyDescent="0.25">
      <c r="B219" s="2">
        <v>536395</v>
      </c>
      <c r="C219" s="2">
        <v>22729</v>
      </c>
      <c r="D219" s="2" t="s">
        <v>247</v>
      </c>
      <c r="E219" s="2">
        <v>8</v>
      </c>
      <c r="F219" s="8">
        <v>40513.449305555558</v>
      </c>
      <c r="G219" s="2">
        <v>3.75</v>
      </c>
      <c r="H219" s="2">
        <v>13767</v>
      </c>
      <c r="I219" s="2" t="s">
        <v>10</v>
      </c>
      <c r="J219" s="2">
        <f>ABS(DF_2[[#This Row],[Quantity_BEFORE]])</f>
        <v>8</v>
      </c>
      <c r="K219" s="2">
        <f>DF_2[[#This Row],[QUANTITY]]*DF_2[[#This Row],[UnitPrice]]</f>
        <v>30</v>
      </c>
    </row>
    <row r="220" spans="2:11" x14ac:dyDescent="0.25">
      <c r="B220" s="2">
        <v>536395</v>
      </c>
      <c r="C220" s="2">
        <v>22726</v>
      </c>
      <c r="D220" s="2" t="s">
        <v>42</v>
      </c>
      <c r="E220" s="2">
        <v>8</v>
      </c>
      <c r="F220" s="8">
        <v>40513.449305555558</v>
      </c>
      <c r="G220" s="2">
        <v>3.75</v>
      </c>
      <c r="H220" s="2">
        <v>13767</v>
      </c>
      <c r="I220" s="2" t="s">
        <v>10</v>
      </c>
      <c r="J220" s="2">
        <f>ABS(DF_2[[#This Row],[Quantity_BEFORE]])</f>
        <v>8</v>
      </c>
      <c r="K220" s="2">
        <f>DF_2[[#This Row],[QUANTITY]]*DF_2[[#This Row],[UnitPrice]]</f>
        <v>30</v>
      </c>
    </row>
    <row r="221" spans="2:11" x14ac:dyDescent="0.25">
      <c r="B221" s="2">
        <v>536423</v>
      </c>
      <c r="C221" s="2">
        <v>21479</v>
      </c>
      <c r="D221" s="2" t="s">
        <v>260</v>
      </c>
      <c r="E221" s="2">
        <v>8</v>
      </c>
      <c r="F221" s="8">
        <v>40513.505555555559</v>
      </c>
      <c r="G221" s="2">
        <v>3.75</v>
      </c>
      <c r="H221" s="2">
        <v>18085</v>
      </c>
      <c r="I221" s="2" t="s">
        <v>10</v>
      </c>
      <c r="J221" s="2">
        <f>ABS(DF_2[[#This Row],[Quantity_BEFORE]])</f>
        <v>8</v>
      </c>
      <c r="K221" s="2">
        <f>DF_2[[#This Row],[QUANTITY]]*DF_2[[#This Row],[UnitPrice]]</f>
        <v>30</v>
      </c>
    </row>
    <row r="222" spans="2:11" x14ac:dyDescent="0.25">
      <c r="B222" s="2">
        <v>536423</v>
      </c>
      <c r="C222" s="2" t="s">
        <v>16</v>
      </c>
      <c r="D222" s="2" t="s">
        <v>17</v>
      </c>
      <c r="E222" s="2">
        <v>8</v>
      </c>
      <c r="F222" s="8">
        <v>40513.505555555559</v>
      </c>
      <c r="G222" s="2">
        <v>3.75</v>
      </c>
      <c r="H222" s="2">
        <v>18085</v>
      </c>
      <c r="I222" s="2" t="s">
        <v>10</v>
      </c>
      <c r="J222" s="2">
        <f>ABS(DF_2[[#This Row],[Quantity_BEFORE]])</f>
        <v>8</v>
      </c>
      <c r="K222" s="2">
        <f>DF_2[[#This Row],[QUANTITY]]*DF_2[[#This Row],[UnitPrice]]</f>
        <v>30</v>
      </c>
    </row>
    <row r="223" spans="2:11" x14ac:dyDescent="0.25">
      <c r="B223" s="2">
        <v>536423</v>
      </c>
      <c r="C223" s="2">
        <v>22113</v>
      </c>
      <c r="D223" s="2" t="s">
        <v>506</v>
      </c>
      <c r="E223" s="2">
        <v>8</v>
      </c>
      <c r="F223" s="8">
        <v>40513.505555555559</v>
      </c>
      <c r="G223" s="2">
        <v>3.75</v>
      </c>
      <c r="H223" s="2">
        <v>18085</v>
      </c>
      <c r="I223" s="2" t="s">
        <v>10</v>
      </c>
      <c r="J223" s="2">
        <f>ABS(DF_2[[#This Row],[Quantity_BEFORE]])</f>
        <v>8</v>
      </c>
      <c r="K223" s="2">
        <f>DF_2[[#This Row],[QUANTITY]]*DF_2[[#This Row],[UnitPrice]]</f>
        <v>30</v>
      </c>
    </row>
    <row r="224" spans="2:11" x14ac:dyDescent="0.25">
      <c r="B224" s="2">
        <v>536425</v>
      </c>
      <c r="C224" s="2">
        <v>22508</v>
      </c>
      <c r="D224" s="2" t="s">
        <v>515</v>
      </c>
      <c r="E224" s="2">
        <v>8</v>
      </c>
      <c r="F224" s="8">
        <v>40513.505555555559</v>
      </c>
      <c r="G224" s="2">
        <v>3.75</v>
      </c>
      <c r="H224" s="2">
        <v>13758</v>
      </c>
      <c r="I224" s="2" t="s">
        <v>10</v>
      </c>
      <c r="J224" s="2">
        <f>ABS(DF_2[[#This Row],[Quantity_BEFORE]])</f>
        <v>8</v>
      </c>
      <c r="K224" s="2">
        <f>DF_2[[#This Row],[QUANTITY]]*DF_2[[#This Row],[UnitPrice]]</f>
        <v>30</v>
      </c>
    </row>
    <row r="225" spans="2:11" x14ac:dyDescent="0.25">
      <c r="B225" s="2">
        <v>536446</v>
      </c>
      <c r="C225" s="2">
        <v>22619</v>
      </c>
      <c r="D225" s="2" t="s">
        <v>227</v>
      </c>
      <c r="E225" s="2">
        <v>8</v>
      </c>
      <c r="F225" s="8">
        <v>40513.510416666664</v>
      </c>
      <c r="G225" s="2">
        <v>3.75</v>
      </c>
      <c r="H225" s="2">
        <v>15983</v>
      </c>
      <c r="I225" s="2" t="s">
        <v>10</v>
      </c>
      <c r="J225" s="2">
        <f>ABS(DF_2[[#This Row],[Quantity_BEFORE]])</f>
        <v>8</v>
      </c>
      <c r="K225" s="2">
        <f>DF_2[[#This Row],[QUANTITY]]*DF_2[[#This Row],[UnitPrice]]</f>
        <v>30</v>
      </c>
    </row>
    <row r="226" spans="2:11" x14ac:dyDescent="0.25">
      <c r="B226" s="2">
        <v>536378</v>
      </c>
      <c r="C226" s="2" t="s">
        <v>82</v>
      </c>
      <c r="D226" s="2" t="s">
        <v>83</v>
      </c>
      <c r="E226" s="2">
        <v>6</v>
      </c>
      <c r="F226" s="8">
        <v>40513.400694444441</v>
      </c>
      <c r="G226" s="2">
        <v>3.75</v>
      </c>
      <c r="H226" s="2">
        <v>14688</v>
      </c>
      <c r="I226" s="2" t="s">
        <v>10</v>
      </c>
      <c r="J226" s="2">
        <f>ABS(DF_2[[#This Row],[Quantity_BEFORE]])</f>
        <v>6</v>
      </c>
      <c r="K226" s="2">
        <f>DF_2[[#This Row],[QUANTITY]]*DF_2[[#This Row],[UnitPrice]]</f>
        <v>22.5</v>
      </c>
    </row>
    <row r="227" spans="2:11" x14ac:dyDescent="0.25">
      <c r="B227" s="2">
        <v>536408</v>
      </c>
      <c r="C227" s="2" t="s">
        <v>80</v>
      </c>
      <c r="D227" s="2" t="s">
        <v>81</v>
      </c>
      <c r="E227" s="2">
        <v>6</v>
      </c>
      <c r="F227" s="8">
        <v>40513.486805555556</v>
      </c>
      <c r="G227" s="2">
        <v>3.75</v>
      </c>
      <c r="H227" s="2">
        <v>14307</v>
      </c>
      <c r="I227" s="2" t="s">
        <v>10</v>
      </c>
      <c r="J227" s="2">
        <f>ABS(DF_2[[#This Row],[Quantity_BEFORE]])</f>
        <v>6</v>
      </c>
      <c r="K227" s="2">
        <f>DF_2[[#This Row],[QUANTITY]]*DF_2[[#This Row],[UnitPrice]]</f>
        <v>22.5</v>
      </c>
    </row>
    <row r="228" spans="2:11" x14ac:dyDescent="0.25">
      <c r="B228" s="2">
        <v>536382</v>
      </c>
      <c r="C228" s="2">
        <v>22726</v>
      </c>
      <c r="D228" s="2" t="s">
        <v>42</v>
      </c>
      <c r="E228" s="2">
        <v>4</v>
      </c>
      <c r="F228" s="8">
        <v>40513.40625</v>
      </c>
      <c r="G228" s="2">
        <v>3.75</v>
      </c>
      <c r="H228" s="2">
        <v>16098</v>
      </c>
      <c r="I228" s="2" t="s">
        <v>10</v>
      </c>
      <c r="J228" s="2">
        <f>ABS(DF_2[[#This Row],[Quantity_BEFORE]])</f>
        <v>4</v>
      </c>
      <c r="K228" s="2">
        <f>DF_2[[#This Row],[QUANTITY]]*DF_2[[#This Row],[UnitPrice]]</f>
        <v>15</v>
      </c>
    </row>
    <row r="229" spans="2:11" x14ac:dyDescent="0.25">
      <c r="B229" s="2">
        <v>536389</v>
      </c>
      <c r="C229" s="2">
        <v>22726</v>
      </c>
      <c r="D229" s="2" t="s">
        <v>42</v>
      </c>
      <c r="E229" s="2">
        <v>4</v>
      </c>
      <c r="F229" s="8">
        <v>40513.418749999997</v>
      </c>
      <c r="G229" s="2">
        <v>3.75</v>
      </c>
      <c r="H229" s="2">
        <v>12431</v>
      </c>
      <c r="I229" s="2" t="s">
        <v>188</v>
      </c>
      <c r="J229" s="2">
        <f>ABS(DF_2[[#This Row],[Quantity_BEFORE]])</f>
        <v>4</v>
      </c>
      <c r="K229" s="2">
        <f>DF_2[[#This Row],[QUANTITY]]*DF_2[[#This Row],[UnitPrice]]</f>
        <v>15</v>
      </c>
    </row>
    <row r="230" spans="2:11" x14ac:dyDescent="0.25">
      <c r="B230" s="2">
        <v>536389</v>
      </c>
      <c r="C230" s="2">
        <v>22727</v>
      </c>
      <c r="D230" s="2" t="s">
        <v>41</v>
      </c>
      <c r="E230" s="2">
        <v>4</v>
      </c>
      <c r="F230" s="8">
        <v>40513.418749999997</v>
      </c>
      <c r="G230" s="2">
        <v>3.75</v>
      </c>
      <c r="H230" s="2">
        <v>12431</v>
      </c>
      <c r="I230" s="2" t="s">
        <v>188</v>
      </c>
      <c r="J230" s="2">
        <f>ABS(DF_2[[#This Row],[Quantity_BEFORE]])</f>
        <v>4</v>
      </c>
      <c r="K230" s="2">
        <f>DF_2[[#This Row],[QUANTITY]]*DF_2[[#This Row],[UnitPrice]]</f>
        <v>15</v>
      </c>
    </row>
    <row r="231" spans="2:11" x14ac:dyDescent="0.25">
      <c r="B231" s="2">
        <v>536392</v>
      </c>
      <c r="C231" s="2">
        <v>22619</v>
      </c>
      <c r="D231" s="2" t="s">
        <v>227</v>
      </c>
      <c r="E231" s="2">
        <v>4</v>
      </c>
      <c r="F231" s="8">
        <v>40513.436805555553</v>
      </c>
      <c r="G231" s="2">
        <v>3.75</v>
      </c>
      <c r="H231" s="2">
        <v>13705</v>
      </c>
      <c r="I231" s="2" t="s">
        <v>10</v>
      </c>
      <c r="J231" s="2">
        <f>ABS(DF_2[[#This Row],[Quantity_BEFORE]])</f>
        <v>4</v>
      </c>
      <c r="K231" s="2">
        <f>DF_2[[#This Row],[QUANTITY]]*DF_2[[#This Row],[UnitPrice]]</f>
        <v>15</v>
      </c>
    </row>
    <row r="232" spans="2:11" x14ac:dyDescent="0.25">
      <c r="B232" s="2">
        <v>536395</v>
      </c>
      <c r="C232" s="2">
        <v>22730</v>
      </c>
      <c r="D232" s="2" t="s">
        <v>246</v>
      </c>
      <c r="E232" s="2">
        <v>4</v>
      </c>
      <c r="F232" s="8">
        <v>40513.449305555558</v>
      </c>
      <c r="G232" s="2">
        <v>3.75</v>
      </c>
      <c r="H232" s="2">
        <v>13767</v>
      </c>
      <c r="I232" s="2" t="s">
        <v>10</v>
      </c>
      <c r="J232" s="2">
        <f>ABS(DF_2[[#This Row],[Quantity_BEFORE]])</f>
        <v>4</v>
      </c>
      <c r="K232" s="2">
        <f>DF_2[[#This Row],[QUANTITY]]*DF_2[[#This Row],[UnitPrice]]</f>
        <v>15</v>
      </c>
    </row>
    <row r="233" spans="2:11" x14ac:dyDescent="0.25">
      <c r="B233" s="2">
        <v>536398</v>
      </c>
      <c r="C233" s="2">
        <v>21479</v>
      </c>
      <c r="D233" s="2" t="s">
        <v>260</v>
      </c>
      <c r="E233" s="2">
        <v>4</v>
      </c>
      <c r="F233" s="8">
        <v>40513.452777777777</v>
      </c>
      <c r="G233" s="2">
        <v>3.75</v>
      </c>
      <c r="H233" s="2">
        <v>13448</v>
      </c>
      <c r="I233" s="2" t="s">
        <v>10</v>
      </c>
      <c r="J233" s="2">
        <f>ABS(DF_2[[#This Row],[Quantity_BEFORE]])</f>
        <v>4</v>
      </c>
      <c r="K233" s="2">
        <f>DF_2[[#This Row],[QUANTITY]]*DF_2[[#This Row],[UnitPrice]]</f>
        <v>15</v>
      </c>
    </row>
    <row r="234" spans="2:11" x14ac:dyDescent="0.25">
      <c r="B234" s="2">
        <v>536408</v>
      </c>
      <c r="C234" s="2" t="s">
        <v>16</v>
      </c>
      <c r="D234" s="2" t="s">
        <v>17</v>
      </c>
      <c r="E234" s="2">
        <v>4</v>
      </c>
      <c r="F234" s="8">
        <v>40513.486805555556</v>
      </c>
      <c r="G234" s="2">
        <v>3.75</v>
      </c>
      <c r="H234" s="2">
        <v>14307</v>
      </c>
      <c r="I234" s="2" t="s">
        <v>10</v>
      </c>
      <c r="J234" s="2">
        <f>ABS(DF_2[[#This Row],[Quantity_BEFORE]])</f>
        <v>4</v>
      </c>
      <c r="K234" s="2">
        <f>DF_2[[#This Row],[QUANTITY]]*DF_2[[#This Row],[UnitPrice]]</f>
        <v>15</v>
      </c>
    </row>
    <row r="235" spans="2:11" x14ac:dyDescent="0.25">
      <c r="B235" s="2">
        <v>536408</v>
      </c>
      <c r="C235" s="2">
        <v>21479</v>
      </c>
      <c r="D235" s="2" t="s">
        <v>260</v>
      </c>
      <c r="E235" s="2">
        <v>4</v>
      </c>
      <c r="F235" s="8">
        <v>40513.486805555556</v>
      </c>
      <c r="G235" s="2">
        <v>3.75</v>
      </c>
      <c r="H235" s="2">
        <v>14307</v>
      </c>
      <c r="I235" s="2" t="s">
        <v>10</v>
      </c>
      <c r="J235" s="2">
        <f>ABS(DF_2[[#This Row],[Quantity_BEFORE]])</f>
        <v>4</v>
      </c>
      <c r="K235" s="2">
        <f>DF_2[[#This Row],[QUANTITY]]*DF_2[[#This Row],[UnitPrice]]</f>
        <v>15</v>
      </c>
    </row>
    <row r="236" spans="2:11" x14ac:dyDescent="0.25">
      <c r="B236" s="2">
        <v>536408</v>
      </c>
      <c r="C236" s="2">
        <v>22619</v>
      </c>
      <c r="D236" s="2" t="s">
        <v>227</v>
      </c>
      <c r="E236" s="2">
        <v>4</v>
      </c>
      <c r="F236" s="8">
        <v>40513.486805555556</v>
      </c>
      <c r="G236" s="2">
        <v>3.75</v>
      </c>
      <c r="H236" s="2">
        <v>14307</v>
      </c>
      <c r="I236" s="2" t="s">
        <v>10</v>
      </c>
      <c r="J236" s="2">
        <f>ABS(DF_2[[#This Row],[Quantity_BEFORE]])</f>
        <v>4</v>
      </c>
      <c r="K236" s="2">
        <f>DF_2[[#This Row],[QUANTITY]]*DF_2[[#This Row],[UnitPrice]]</f>
        <v>15</v>
      </c>
    </row>
    <row r="237" spans="2:11" x14ac:dyDescent="0.25">
      <c r="B237" s="2">
        <v>536420</v>
      </c>
      <c r="C237" s="2">
        <v>22113</v>
      </c>
      <c r="D237" s="2" t="s">
        <v>506</v>
      </c>
      <c r="E237" s="2">
        <v>4</v>
      </c>
      <c r="F237" s="8">
        <v>40513.502083333333</v>
      </c>
      <c r="G237" s="2">
        <v>3.75</v>
      </c>
      <c r="H237" s="2">
        <v>16583</v>
      </c>
      <c r="I237" s="2" t="s">
        <v>10</v>
      </c>
      <c r="J237" s="2">
        <f>ABS(DF_2[[#This Row],[Quantity_BEFORE]])</f>
        <v>4</v>
      </c>
      <c r="K237" s="2">
        <f>DF_2[[#This Row],[QUANTITY]]*DF_2[[#This Row],[UnitPrice]]</f>
        <v>15</v>
      </c>
    </row>
    <row r="238" spans="2:11" x14ac:dyDescent="0.25">
      <c r="B238" s="2">
        <v>536423</v>
      </c>
      <c r="C238" s="2">
        <v>22619</v>
      </c>
      <c r="D238" s="2" t="s">
        <v>227</v>
      </c>
      <c r="E238" s="2">
        <v>4</v>
      </c>
      <c r="F238" s="8">
        <v>40513.505555555559</v>
      </c>
      <c r="G238" s="2">
        <v>3.75</v>
      </c>
      <c r="H238" s="2">
        <v>18085</v>
      </c>
      <c r="I238" s="2" t="s">
        <v>10</v>
      </c>
      <c r="J238" s="2">
        <f>ABS(DF_2[[#This Row],[Quantity_BEFORE]])</f>
        <v>4</v>
      </c>
      <c r="K238" s="2">
        <f>DF_2[[#This Row],[QUANTITY]]*DF_2[[#This Row],[UnitPrice]]</f>
        <v>15</v>
      </c>
    </row>
    <row r="239" spans="2:11" x14ac:dyDescent="0.25">
      <c r="B239" s="2">
        <v>536425</v>
      </c>
      <c r="C239" s="2">
        <v>22511</v>
      </c>
      <c r="D239" s="2" t="s">
        <v>516</v>
      </c>
      <c r="E239" s="2">
        <v>4</v>
      </c>
      <c r="F239" s="8">
        <v>40513.505555555559</v>
      </c>
      <c r="G239" s="2">
        <v>3.75</v>
      </c>
      <c r="H239" s="2">
        <v>13758</v>
      </c>
      <c r="I239" s="2" t="s">
        <v>10</v>
      </c>
      <c r="J239" s="2">
        <f>ABS(DF_2[[#This Row],[Quantity_BEFORE]])</f>
        <v>4</v>
      </c>
      <c r="K239" s="2">
        <f>DF_2[[#This Row],[QUANTITY]]*DF_2[[#This Row],[UnitPrice]]</f>
        <v>15</v>
      </c>
    </row>
    <row r="240" spans="2:11" x14ac:dyDescent="0.25">
      <c r="B240" s="2">
        <v>536477</v>
      </c>
      <c r="C240" s="2">
        <v>22619</v>
      </c>
      <c r="D240" s="2" t="s">
        <v>227</v>
      </c>
      <c r="E240" s="2">
        <v>4</v>
      </c>
      <c r="F240" s="8">
        <v>40513.518750000003</v>
      </c>
      <c r="G240" s="2">
        <v>3.75</v>
      </c>
      <c r="H240" s="2">
        <v>16210</v>
      </c>
      <c r="I240" s="2" t="s">
        <v>10</v>
      </c>
      <c r="J240" s="2">
        <f>ABS(DF_2[[#This Row],[Quantity_BEFORE]])</f>
        <v>4</v>
      </c>
      <c r="K240" s="2">
        <f>DF_2[[#This Row],[QUANTITY]]*DF_2[[#This Row],[UnitPrice]]</f>
        <v>15</v>
      </c>
    </row>
    <row r="241" spans="2:11" x14ac:dyDescent="0.25">
      <c r="B241" s="2">
        <v>536412</v>
      </c>
      <c r="C241" s="2">
        <v>22568</v>
      </c>
      <c r="D241" s="2" t="s">
        <v>386</v>
      </c>
      <c r="E241" s="2">
        <v>3</v>
      </c>
      <c r="F241" s="8">
        <v>40513.492361111108</v>
      </c>
      <c r="G241" s="2">
        <v>3.75</v>
      </c>
      <c r="H241" s="2">
        <v>17920</v>
      </c>
      <c r="I241" s="2" t="s">
        <v>10</v>
      </c>
      <c r="J241" s="2">
        <f>ABS(DF_2[[#This Row],[Quantity_BEFORE]])</f>
        <v>3</v>
      </c>
      <c r="K241" s="2">
        <f>DF_2[[#This Row],[QUANTITY]]*DF_2[[#This Row],[UnitPrice]]</f>
        <v>11.25</v>
      </c>
    </row>
    <row r="242" spans="2:11" x14ac:dyDescent="0.25">
      <c r="B242" s="2">
        <v>536412</v>
      </c>
      <c r="C242" s="2">
        <v>22570</v>
      </c>
      <c r="D242" s="2" t="s">
        <v>444</v>
      </c>
      <c r="E242" s="2">
        <v>3</v>
      </c>
      <c r="F242" s="8">
        <v>40513.492361111108</v>
      </c>
      <c r="G242" s="2">
        <v>3.75</v>
      </c>
      <c r="H242" s="2">
        <v>17920</v>
      </c>
      <c r="I242" s="2" t="s">
        <v>10</v>
      </c>
      <c r="J242" s="2">
        <f>ABS(DF_2[[#This Row],[Quantity_BEFORE]])</f>
        <v>3</v>
      </c>
      <c r="K242" s="2">
        <f>DF_2[[#This Row],[QUANTITY]]*DF_2[[#This Row],[UnitPrice]]</f>
        <v>11.25</v>
      </c>
    </row>
    <row r="243" spans="2:11" x14ac:dyDescent="0.25">
      <c r="B243" s="2">
        <v>536500</v>
      </c>
      <c r="C243" s="2">
        <v>22113</v>
      </c>
      <c r="D243" s="2" t="s">
        <v>506</v>
      </c>
      <c r="E243" s="2">
        <v>3</v>
      </c>
      <c r="F243" s="8">
        <v>40513.524305555555</v>
      </c>
      <c r="G243" s="2">
        <v>3.75</v>
      </c>
      <c r="H243" s="2">
        <v>17377</v>
      </c>
      <c r="I243" s="2" t="s">
        <v>10</v>
      </c>
      <c r="J243" s="2">
        <f>ABS(DF_2[[#This Row],[Quantity_BEFORE]])</f>
        <v>3</v>
      </c>
      <c r="K243" s="2">
        <f>DF_2[[#This Row],[QUANTITY]]*DF_2[[#This Row],[UnitPrice]]</f>
        <v>11.25</v>
      </c>
    </row>
    <row r="244" spans="2:11" x14ac:dyDescent="0.25">
      <c r="B244" s="2">
        <v>536520</v>
      </c>
      <c r="C244" s="2">
        <v>21804</v>
      </c>
      <c r="D244" s="2" t="s">
        <v>663</v>
      </c>
      <c r="E244" s="2">
        <v>3</v>
      </c>
      <c r="F244" s="8">
        <v>40513.529861111114</v>
      </c>
      <c r="G244" s="2">
        <v>3.75</v>
      </c>
      <c r="H244" s="2">
        <v>14729</v>
      </c>
      <c r="I244" s="2" t="s">
        <v>10</v>
      </c>
      <c r="J244" s="2">
        <f>ABS(DF_2[[#This Row],[Quantity_BEFORE]])</f>
        <v>3</v>
      </c>
      <c r="K244" s="2">
        <f>DF_2[[#This Row],[QUANTITY]]*DF_2[[#This Row],[UnitPrice]]</f>
        <v>11.25</v>
      </c>
    </row>
    <row r="245" spans="2:11" x14ac:dyDescent="0.25">
      <c r="B245" s="2">
        <v>536401</v>
      </c>
      <c r="C245" s="2" t="s">
        <v>275</v>
      </c>
      <c r="D245" s="2" t="s">
        <v>276</v>
      </c>
      <c r="E245" s="2">
        <v>2</v>
      </c>
      <c r="F245" s="8">
        <v>40513.472916666666</v>
      </c>
      <c r="G245" s="2">
        <v>3.75</v>
      </c>
      <c r="H245" s="2">
        <v>15862</v>
      </c>
      <c r="I245" s="2" t="s">
        <v>10</v>
      </c>
      <c r="J245" s="2">
        <f>ABS(DF_2[[#This Row],[Quantity_BEFORE]])</f>
        <v>2</v>
      </c>
      <c r="K245" s="2">
        <f>DF_2[[#This Row],[QUANTITY]]*DF_2[[#This Row],[UnitPrice]]</f>
        <v>7.5</v>
      </c>
    </row>
    <row r="246" spans="2:11" x14ac:dyDescent="0.25">
      <c r="B246" s="2">
        <v>536412</v>
      </c>
      <c r="C246" s="2">
        <v>22749</v>
      </c>
      <c r="D246" s="2" t="s">
        <v>25</v>
      </c>
      <c r="E246" s="2">
        <v>2</v>
      </c>
      <c r="F246" s="8">
        <v>40513.492361111108</v>
      </c>
      <c r="G246" s="2">
        <v>3.75</v>
      </c>
      <c r="H246" s="2">
        <v>17920</v>
      </c>
      <c r="I246" s="2" t="s">
        <v>10</v>
      </c>
      <c r="J246" s="2">
        <f>ABS(DF_2[[#This Row],[Quantity_BEFORE]])</f>
        <v>2</v>
      </c>
      <c r="K246" s="2">
        <f>DF_2[[#This Row],[QUANTITY]]*DF_2[[#This Row],[UnitPrice]]</f>
        <v>7.5</v>
      </c>
    </row>
    <row r="247" spans="2:11" x14ac:dyDescent="0.25">
      <c r="B247" s="2">
        <v>536412</v>
      </c>
      <c r="C247" s="2">
        <v>22751</v>
      </c>
      <c r="D247" s="2" t="s">
        <v>442</v>
      </c>
      <c r="E247" s="2">
        <v>2</v>
      </c>
      <c r="F247" s="8">
        <v>40513.492361111108</v>
      </c>
      <c r="G247" s="2">
        <v>3.75</v>
      </c>
      <c r="H247" s="2">
        <v>17920</v>
      </c>
      <c r="I247" s="2" t="s">
        <v>10</v>
      </c>
      <c r="J247" s="2">
        <f>ABS(DF_2[[#This Row],[Quantity_BEFORE]])</f>
        <v>2</v>
      </c>
      <c r="K247" s="2">
        <f>DF_2[[#This Row],[QUANTITY]]*DF_2[[#This Row],[UnitPrice]]</f>
        <v>7.5</v>
      </c>
    </row>
    <row r="248" spans="2:11" x14ac:dyDescent="0.25">
      <c r="B248" s="2">
        <v>536412</v>
      </c>
      <c r="C248" s="2">
        <v>22569</v>
      </c>
      <c r="D248" s="2" t="s">
        <v>445</v>
      </c>
      <c r="E248" s="2">
        <v>2</v>
      </c>
      <c r="F248" s="8">
        <v>40513.492361111108</v>
      </c>
      <c r="G248" s="2">
        <v>3.75</v>
      </c>
      <c r="H248" s="2">
        <v>17920</v>
      </c>
      <c r="I248" s="2" t="s">
        <v>10</v>
      </c>
      <c r="J248" s="2">
        <f>ABS(DF_2[[#This Row],[Quantity_BEFORE]])</f>
        <v>2</v>
      </c>
      <c r="K248" s="2">
        <f>DF_2[[#This Row],[QUANTITY]]*DF_2[[#This Row],[UnitPrice]]</f>
        <v>7.5</v>
      </c>
    </row>
    <row r="249" spans="2:11" x14ac:dyDescent="0.25">
      <c r="B249" s="2">
        <v>536412</v>
      </c>
      <c r="C249" s="2">
        <v>22569</v>
      </c>
      <c r="D249" s="2" t="s">
        <v>445</v>
      </c>
      <c r="E249" s="2">
        <v>2</v>
      </c>
      <c r="F249" s="8">
        <v>40513.492361111108</v>
      </c>
      <c r="G249" s="2">
        <v>3.75</v>
      </c>
      <c r="H249" s="2">
        <v>17920</v>
      </c>
      <c r="I249" s="2" t="s">
        <v>10</v>
      </c>
      <c r="J249" s="2">
        <f>ABS(DF_2[[#This Row],[Quantity_BEFORE]])</f>
        <v>2</v>
      </c>
      <c r="K249" s="2">
        <f>DF_2[[#This Row],[QUANTITY]]*DF_2[[#This Row],[UnitPrice]]</f>
        <v>7.5</v>
      </c>
    </row>
    <row r="250" spans="2:11" x14ac:dyDescent="0.25">
      <c r="B250" s="2">
        <v>536415</v>
      </c>
      <c r="C250" s="2">
        <v>22750</v>
      </c>
      <c r="D250" s="2" t="s">
        <v>475</v>
      </c>
      <c r="E250" s="2">
        <v>2</v>
      </c>
      <c r="F250" s="8">
        <v>40513.497916666667</v>
      </c>
      <c r="G250" s="2">
        <v>3.75</v>
      </c>
      <c r="H250" s="2">
        <v>12838</v>
      </c>
      <c r="I250" s="2" t="s">
        <v>10</v>
      </c>
      <c r="J250" s="2">
        <f>ABS(DF_2[[#This Row],[Quantity_BEFORE]])</f>
        <v>2</v>
      </c>
      <c r="K250" s="2">
        <f>DF_2[[#This Row],[QUANTITY]]*DF_2[[#This Row],[UnitPrice]]</f>
        <v>7.5</v>
      </c>
    </row>
    <row r="251" spans="2:11" x14ac:dyDescent="0.25">
      <c r="B251" s="2">
        <v>536415</v>
      </c>
      <c r="C251" s="2">
        <v>22749</v>
      </c>
      <c r="D251" s="2" t="s">
        <v>25</v>
      </c>
      <c r="E251" s="2">
        <v>2</v>
      </c>
      <c r="F251" s="8">
        <v>40513.497916666667</v>
      </c>
      <c r="G251" s="2">
        <v>3.75</v>
      </c>
      <c r="H251" s="2">
        <v>12838</v>
      </c>
      <c r="I251" s="2" t="s">
        <v>10</v>
      </c>
      <c r="J251" s="2">
        <f>ABS(DF_2[[#This Row],[Quantity_BEFORE]])</f>
        <v>2</v>
      </c>
      <c r="K251" s="2">
        <f>DF_2[[#This Row],[QUANTITY]]*DF_2[[#This Row],[UnitPrice]]</f>
        <v>7.5</v>
      </c>
    </row>
    <row r="252" spans="2:11" x14ac:dyDescent="0.25">
      <c r="B252" s="2">
        <v>536500</v>
      </c>
      <c r="C252" s="2" t="s">
        <v>16</v>
      </c>
      <c r="D252" s="2" t="s">
        <v>17</v>
      </c>
      <c r="E252" s="2">
        <v>2</v>
      </c>
      <c r="F252" s="8">
        <v>40513.524305555555</v>
      </c>
      <c r="G252" s="2">
        <v>3.75</v>
      </c>
      <c r="H252" s="2">
        <v>17377</v>
      </c>
      <c r="I252" s="2" t="s">
        <v>10</v>
      </c>
      <c r="J252" s="2">
        <f>ABS(DF_2[[#This Row],[Quantity_BEFORE]])</f>
        <v>2</v>
      </c>
      <c r="K252" s="2">
        <f>DF_2[[#This Row],[QUANTITY]]*DF_2[[#This Row],[UnitPrice]]</f>
        <v>7.5</v>
      </c>
    </row>
    <row r="253" spans="2:11" x14ac:dyDescent="0.25">
      <c r="B253" s="2">
        <v>536520</v>
      </c>
      <c r="C253" s="2">
        <v>22107</v>
      </c>
      <c r="D253" s="2" t="s">
        <v>646</v>
      </c>
      <c r="E253" s="2">
        <v>2</v>
      </c>
      <c r="F253" s="8">
        <v>40513.529861111114</v>
      </c>
      <c r="G253" s="2">
        <v>3.75</v>
      </c>
      <c r="H253" s="2">
        <v>14729</v>
      </c>
      <c r="I253" s="2" t="s">
        <v>10</v>
      </c>
      <c r="J253" s="2">
        <f>ABS(DF_2[[#This Row],[Quantity_BEFORE]])</f>
        <v>2</v>
      </c>
      <c r="K253" s="2">
        <f>DF_2[[#This Row],[QUANTITY]]*DF_2[[#This Row],[UnitPrice]]</f>
        <v>7.5</v>
      </c>
    </row>
    <row r="254" spans="2:11" x14ac:dyDescent="0.25">
      <c r="B254" s="2">
        <v>536409</v>
      </c>
      <c r="C254" s="2">
        <v>21479</v>
      </c>
      <c r="D254" s="2" t="s">
        <v>260</v>
      </c>
      <c r="E254" s="2">
        <v>1</v>
      </c>
      <c r="F254" s="8">
        <v>40513.489583333336</v>
      </c>
      <c r="G254" s="2">
        <v>3.75</v>
      </c>
      <c r="H254" s="2">
        <v>17908</v>
      </c>
      <c r="I254" s="2" t="s">
        <v>10</v>
      </c>
      <c r="J254" s="2">
        <f>ABS(DF_2[[#This Row],[Quantity_BEFORE]])</f>
        <v>1</v>
      </c>
      <c r="K254" s="2">
        <f>DF_2[[#This Row],[QUANTITY]]*DF_2[[#This Row],[UnitPrice]]</f>
        <v>3.75</v>
      </c>
    </row>
    <row r="255" spans="2:11" x14ac:dyDescent="0.25">
      <c r="B255" s="2">
        <v>536409</v>
      </c>
      <c r="C255" s="2">
        <v>22568</v>
      </c>
      <c r="D255" s="2" t="s">
        <v>386</v>
      </c>
      <c r="E255" s="2">
        <v>1</v>
      </c>
      <c r="F255" s="8">
        <v>40513.489583333336</v>
      </c>
      <c r="G255" s="2">
        <v>3.75</v>
      </c>
      <c r="H255" s="2">
        <v>17908</v>
      </c>
      <c r="I255" s="2" t="s">
        <v>10</v>
      </c>
      <c r="J255" s="2">
        <f>ABS(DF_2[[#This Row],[Quantity_BEFORE]])</f>
        <v>1</v>
      </c>
      <c r="K255" s="2">
        <f>DF_2[[#This Row],[QUANTITY]]*DF_2[[#This Row],[UnitPrice]]</f>
        <v>3.75</v>
      </c>
    </row>
    <row r="256" spans="2:11" x14ac:dyDescent="0.25">
      <c r="B256" s="2">
        <v>536409</v>
      </c>
      <c r="C256" s="2">
        <v>22109</v>
      </c>
      <c r="D256" s="2" t="s">
        <v>399</v>
      </c>
      <c r="E256" s="2">
        <v>1</v>
      </c>
      <c r="F256" s="8">
        <v>40513.489583333336</v>
      </c>
      <c r="G256" s="2">
        <v>3.75</v>
      </c>
      <c r="H256" s="2">
        <v>17908</v>
      </c>
      <c r="I256" s="2" t="s">
        <v>10</v>
      </c>
      <c r="J256" s="2">
        <f>ABS(DF_2[[#This Row],[Quantity_BEFORE]])</f>
        <v>1</v>
      </c>
      <c r="K256" s="2">
        <f>DF_2[[#This Row],[QUANTITY]]*DF_2[[#This Row],[UnitPrice]]</f>
        <v>3.75</v>
      </c>
    </row>
    <row r="257" spans="2:11" x14ac:dyDescent="0.25">
      <c r="B257" s="2">
        <v>536412</v>
      </c>
      <c r="C257" s="2">
        <v>22749</v>
      </c>
      <c r="D257" s="2" t="s">
        <v>25</v>
      </c>
      <c r="E257" s="2">
        <v>1</v>
      </c>
      <c r="F257" s="8">
        <v>40513.492361111108</v>
      </c>
      <c r="G257" s="2">
        <v>3.75</v>
      </c>
      <c r="H257" s="2">
        <v>17920</v>
      </c>
      <c r="I257" s="2" t="s">
        <v>10</v>
      </c>
      <c r="J257" s="2">
        <f>ABS(DF_2[[#This Row],[Quantity_BEFORE]])</f>
        <v>1</v>
      </c>
      <c r="K257" s="2">
        <f>DF_2[[#This Row],[QUANTITY]]*DF_2[[#This Row],[UnitPrice]]</f>
        <v>3.75</v>
      </c>
    </row>
    <row r="258" spans="2:11" x14ac:dyDescent="0.25">
      <c r="B258" s="2">
        <v>536412</v>
      </c>
      <c r="C258" s="2">
        <v>22749</v>
      </c>
      <c r="D258" s="2" t="s">
        <v>25</v>
      </c>
      <c r="E258" s="2">
        <v>1</v>
      </c>
      <c r="F258" s="8">
        <v>40513.492361111108</v>
      </c>
      <c r="G258" s="2">
        <v>3.75</v>
      </c>
      <c r="H258" s="2">
        <v>17920</v>
      </c>
      <c r="I258" s="2" t="s">
        <v>10</v>
      </c>
      <c r="J258" s="2">
        <f>ABS(DF_2[[#This Row],[Quantity_BEFORE]])</f>
        <v>1</v>
      </c>
      <c r="K258" s="2">
        <f>DF_2[[#This Row],[QUANTITY]]*DF_2[[#This Row],[UnitPrice]]</f>
        <v>3.75</v>
      </c>
    </row>
    <row r="259" spans="2:11" x14ac:dyDescent="0.25">
      <c r="B259" s="2">
        <v>536464</v>
      </c>
      <c r="C259" s="2">
        <v>22619</v>
      </c>
      <c r="D259" s="2" t="s">
        <v>227</v>
      </c>
      <c r="E259" s="2">
        <v>1</v>
      </c>
      <c r="F259" s="8">
        <v>40513.515972222223</v>
      </c>
      <c r="G259" s="2">
        <v>3.75</v>
      </c>
      <c r="H259" s="2">
        <v>17968</v>
      </c>
      <c r="I259" s="2" t="s">
        <v>10</v>
      </c>
      <c r="J259" s="2">
        <f>ABS(DF_2[[#This Row],[Quantity_BEFORE]])</f>
        <v>1</v>
      </c>
      <c r="K259" s="2">
        <f>DF_2[[#This Row],[QUANTITY]]*DF_2[[#This Row],[UnitPrice]]</f>
        <v>3.75</v>
      </c>
    </row>
    <row r="260" spans="2:11" x14ac:dyDescent="0.25">
      <c r="B260" s="2">
        <v>536488</v>
      </c>
      <c r="C260" s="2" t="s">
        <v>613</v>
      </c>
      <c r="D260" s="2" t="s">
        <v>614</v>
      </c>
      <c r="E260" s="2">
        <v>1</v>
      </c>
      <c r="F260" s="8">
        <v>40513.521527777775</v>
      </c>
      <c r="G260" s="2">
        <v>3.75</v>
      </c>
      <c r="H260" s="2">
        <v>17897</v>
      </c>
      <c r="I260" s="2" t="s">
        <v>10</v>
      </c>
      <c r="J260" s="2">
        <f>ABS(DF_2[[#This Row],[Quantity_BEFORE]])</f>
        <v>1</v>
      </c>
      <c r="K260" s="2">
        <f>DF_2[[#This Row],[QUANTITY]]*DF_2[[#This Row],[UnitPrice]]</f>
        <v>3.75</v>
      </c>
    </row>
    <row r="261" spans="2:11" x14ac:dyDescent="0.25">
      <c r="B261" s="2">
        <v>536520</v>
      </c>
      <c r="C261" s="2">
        <v>21486</v>
      </c>
      <c r="D261" s="2" t="s">
        <v>647</v>
      </c>
      <c r="E261" s="2">
        <v>1</v>
      </c>
      <c r="F261" s="8">
        <v>40513.529861111114</v>
      </c>
      <c r="G261" s="2">
        <v>3.75</v>
      </c>
      <c r="H261" s="2">
        <v>14729</v>
      </c>
      <c r="I261" s="2" t="s">
        <v>10</v>
      </c>
      <c r="J261" s="2">
        <f>ABS(DF_2[[#This Row],[Quantity_BEFORE]])</f>
        <v>1</v>
      </c>
      <c r="K261" s="2">
        <f>DF_2[[#This Row],[QUANTITY]]*DF_2[[#This Row],[UnitPrice]]</f>
        <v>3.75</v>
      </c>
    </row>
    <row r="262" spans="2:11" x14ac:dyDescent="0.25">
      <c r="B262" s="2">
        <v>536376</v>
      </c>
      <c r="C262" s="2">
        <v>22114</v>
      </c>
      <c r="D262" s="2" t="s">
        <v>73</v>
      </c>
      <c r="E262" s="2">
        <v>48</v>
      </c>
      <c r="F262" s="8">
        <v>40513.397222222222</v>
      </c>
      <c r="G262" s="2">
        <v>3.45</v>
      </c>
      <c r="H262" s="2">
        <v>15291</v>
      </c>
      <c r="I262" s="2" t="s">
        <v>10</v>
      </c>
      <c r="J262" s="2">
        <f>ABS(DF_2[[#This Row],[Quantity_BEFORE]])</f>
        <v>48</v>
      </c>
      <c r="K262" s="2">
        <f>DF_2[[#This Row],[QUANTITY]]*DF_2[[#This Row],[UnitPrice]]</f>
        <v>165.60000000000002</v>
      </c>
    </row>
    <row r="263" spans="2:11" x14ac:dyDescent="0.25">
      <c r="B263" s="2" t="s">
        <v>218</v>
      </c>
      <c r="C263" s="2">
        <v>21484</v>
      </c>
      <c r="D263" s="2" t="s">
        <v>223</v>
      </c>
      <c r="E263" s="2">
        <v>-12</v>
      </c>
      <c r="F263" s="8">
        <v>40513.433333333334</v>
      </c>
      <c r="G263" s="2">
        <v>3.45</v>
      </c>
      <c r="H263" s="2">
        <v>17548</v>
      </c>
      <c r="I263" s="2" t="s">
        <v>10</v>
      </c>
      <c r="J263" s="2">
        <f>ABS(DF_2[[#This Row],[Quantity_BEFORE]])</f>
        <v>12</v>
      </c>
      <c r="K263" s="2">
        <f>DF_2[[#This Row],[QUANTITY]]*DF_2[[#This Row],[UnitPrice]]</f>
        <v>41.400000000000006</v>
      </c>
    </row>
    <row r="264" spans="2:11" x14ac:dyDescent="0.25">
      <c r="B264" s="2">
        <v>536395</v>
      </c>
      <c r="C264" s="2">
        <v>21484</v>
      </c>
      <c r="D264" s="2" t="s">
        <v>223</v>
      </c>
      <c r="E264" s="2">
        <v>8</v>
      </c>
      <c r="F264" s="8">
        <v>40513.449305555558</v>
      </c>
      <c r="G264" s="2">
        <v>3.45</v>
      </c>
      <c r="H264" s="2">
        <v>13767</v>
      </c>
      <c r="I264" s="2" t="s">
        <v>10</v>
      </c>
      <c r="J264" s="2">
        <f>ABS(DF_2[[#This Row],[Quantity_BEFORE]])</f>
        <v>8</v>
      </c>
      <c r="K264" s="2">
        <f>DF_2[[#This Row],[QUANTITY]]*DF_2[[#This Row],[UnitPrice]]</f>
        <v>27.6</v>
      </c>
    </row>
    <row r="265" spans="2:11" x14ac:dyDescent="0.25">
      <c r="B265" s="2">
        <v>536460</v>
      </c>
      <c r="C265" s="2">
        <v>21484</v>
      </c>
      <c r="D265" s="2" t="s">
        <v>223</v>
      </c>
      <c r="E265" s="2">
        <v>8</v>
      </c>
      <c r="F265" s="8">
        <v>40513.515277777777</v>
      </c>
      <c r="G265" s="2">
        <v>3.45</v>
      </c>
      <c r="H265" s="2">
        <v>14849</v>
      </c>
      <c r="I265" s="2" t="s">
        <v>10</v>
      </c>
      <c r="J265" s="2">
        <f>ABS(DF_2[[#This Row],[Quantity_BEFORE]])</f>
        <v>8</v>
      </c>
      <c r="K265" s="2">
        <f>DF_2[[#This Row],[QUANTITY]]*DF_2[[#This Row],[UnitPrice]]</f>
        <v>27.6</v>
      </c>
    </row>
    <row r="266" spans="2:11" x14ac:dyDescent="0.25">
      <c r="B266" s="2">
        <v>536477</v>
      </c>
      <c r="C266" s="2">
        <v>21137</v>
      </c>
      <c r="D266" s="2" t="s">
        <v>606</v>
      </c>
      <c r="E266" s="2">
        <v>480</v>
      </c>
      <c r="F266" s="8">
        <v>40513.518750000003</v>
      </c>
      <c r="G266" s="2">
        <v>3.39</v>
      </c>
      <c r="H266" s="2">
        <v>16210</v>
      </c>
      <c r="I266" s="2" t="s">
        <v>10</v>
      </c>
      <c r="J266" s="2">
        <f>ABS(DF_2[[#This Row],[Quantity_BEFORE]])</f>
        <v>480</v>
      </c>
      <c r="K266" s="2">
        <f>DF_2[[#This Row],[QUANTITY]]*DF_2[[#This Row],[UnitPrice]]</f>
        <v>1627.2</v>
      </c>
    </row>
    <row r="267" spans="2:11" x14ac:dyDescent="0.25">
      <c r="B267" s="2">
        <v>536437</v>
      </c>
      <c r="C267" s="2">
        <v>22189</v>
      </c>
      <c r="D267" s="2" t="s">
        <v>162</v>
      </c>
      <c r="E267" s="2">
        <v>72</v>
      </c>
      <c r="F267" s="8">
        <v>40513.508333333331</v>
      </c>
      <c r="G267" s="2">
        <v>3.39</v>
      </c>
      <c r="H267" s="2">
        <v>13694</v>
      </c>
      <c r="I267" s="2" t="s">
        <v>10</v>
      </c>
      <c r="J267" s="2">
        <f>ABS(DF_2[[#This Row],[Quantity_BEFORE]])</f>
        <v>72</v>
      </c>
      <c r="K267" s="2">
        <f>DF_2[[#This Row],[QUANTITY]]*DF_2[[#This Row],[UnitPrice]]</f>
        <v>244.08</v>
      </c>
    </row>
    <row r="268" spans="2:11" x14ac:dyDescent="0.25">
      <c r="B268" s="2">
        <v>536437</v>
      </c>
      <c r="C268" s="2">
        <v>22188</v>
      </c>
      <c r="D268" s="2" t="s">
        <v>244</v>
      </c>
      <c r="E268" s="2">
        <v>36</v>
      </c>
      <c r="F268" s="8">
        <v>40513.508333333331</v>
      </c>
      <c r="G268" s="2">
        <v>3.39</v>
      </c>
      <c r="H268" s="2">
        <v>13694</v>
      </c>
      <c r="I268" s="2" t="s">
        <v>10</v>
      </c>
      <c r="J268" s="2">
        <f>ABS(DF_2[[#This Row],[Quantity_BEFORE]])</f>
        <v>36</v>
      </c>
      <c r="K268" s="2">
        <f>DF_2[[#This Row],[QUANTITY]]*DF_2[[#This Row],[UnitPrice]]</f>
        <v>122.04</v>
      </c>
    </row>
    <row r="269" spans="2:11" x14ac:dyDescent="0.25">
      <c r="B269" s="2">
        <v>536390</v>
      </c>
      <c r="C269" s="2" t="s">
        <v>14</v>
      </c>
      <c r="D269" s="2" t="s">
        <v>15</v>
      </c>
      <c r="E269" s="2">
        <v>24</v>
      </c>
      <c r="F269" s="8">
        <v>40513.429861111108</v>
      </c>
      <c r="G269" s="2">
        <v>3.39</v>
      </c>
      <c r="H269" s="2">
        <v>17511</v>
      </c>
      <c r="I269" s="2" t="s">
        <v>10</v>
      </c>
      <c r="J269" s="2">
        <f>ABS(DF_2[[#This Row],[Quantity_BEFORE]])</f>
        <v>24</v>
      </c>
      <c r="K269" s="2">
        <f>DF_2[[#This Row],[QUANTITY]]*DF_2[[#This Row],[UnitPrice]]</f>
        <v>81.36</v>
      </c>
    </row>
    <row r="270" spans="2:11" x14ac:dyDescent="0.25">
      <c r="B270" s="2">
        <v>536477</v>
      </c>
      <c r="C270" s="2" t="s">
        <v>16</v>
      </c>
      <c r="D270" s="2" t="s">
        <v>17</v>
      </c>
      <c r="E270" s="2">
        <v>24</v>
      </c>
      <c r="F270" s="8">
        <v>40513.518750000003</v>
      </c>
      <c r="G270" s="2">
        <v>3.39</v>
      </c>
      <c r="H270" s="2">
        <v>16210</v>
      </c>
      <c r="I270" s="2" t="s">
        <v>10</v>
      </c>
      <c r="J270" s="2">
        <f>ABS(DF_2[[#This Row],[Quantity_BEFORE]])</f>
        <v>24</v>
      </c>
      <c r="K270" s="2">
        <f>DF_2[[#This Row],[QUANTITY]]*DF_2[[#This Row],[UnitPrice]]</f>
        <v>81.36</v>
      </c>
    </row>
    <row r="271" spans="2:11" x14ac:dyDescent="0.25">
      <c r="B271" s="2">
        <v>536406</v>
      </c>
      <c r="C271" s="2">
        <v>71053</v>
      </c>
      <c r="D271" s="2" t="s">
        <v>11</v>
      </c>
      <c r="E271" s="2">
        <v>8</v>
      </c>
      <c r="F271" s="8">
        <v>40513.481249999997</v>
      </c>
      <c r="G271" s="2">
        <v>3.39</v>
      </c>
      <c r="H271" s="2">
        <v>17850</v>
      </c>
      <c r="I271" s="2" t="s">
        <v>10</v>
      </c>
      <c r="J271" s="2">
        <f>ABS(DF_2[[#This Row],[Quantity_BEFORE]])</f>
        <v>8</v>
      </c>
      <c r="K271" s="2">
        <f>DF_2[[#This Row],[QUANTITY]]*DF_2[[#This Row],[UnitPrice]]</f>
        <v>27.12</v>
      </c>
    </row>
    <row r="272" spans="2:11" x14ac:dyDescent="0.25">
      <c r="B272" s="2">
        <v>536365</v>
      </c>
      <c r="C272" s="2">
        <v>71053</v>
      </c>
      <c r="D272" s="2" t="s">
        <v>11</v>
      </c>
      <c r="E272" s="2">
        <v>6</v>
      </c>
      <c r="F272" s="8">
        <v>40513.351388888892</v>
      </c>
      <c r="G272" s="2">
        <v>3.39</v>
      </c>
      <c r="H272" s="2">
        <v>17850</v>
      </c>
      <c r="I272" s="2" t="s">
        <v>10</v>
      </c>
      <c r="J272" s="2">
        <f>ABS(DF_2[[#This Row],[Quantity_BEFORE]])</f>
        <v>6</v>
      </c>
      <c r="K272" s="2">
        <f>DF_2[[#This Row],[QUANTITY]]*DF_2[[#This Row],[UnitPrice]]</f>
        <v>20.34</v>
      </c>
    </row>
    <row r="273" spans="2:11" x14ac:dyDescent="0.25">
      <c r="B273" s="2">
        <v>536365</v>
      </c>
      <c r="C273" s="2" t="s">
        <v>14</v>
      </c>
      <c r="D273" s="2" t="s">
        <v>15</v>
      </c>
      <c r="E273" s="2">
        <v>6</v>
      </c>
      <c r="F273" s="8">
        <v>40513.351388888892</v>
      </c>
      <c r="G273" s="2">
        <v>3.39</v>
      </c>
      <c r="H273" s="2">
        <v>17850</v>
      </c>
      <c r="I273" s="2" t="s">
        <v>10</v>
      </c>
      <c r="J273" s="2">
        <f>ABS(DF_2[[#This Row],[Quantity_BEFORE]])</f>
        <v>6</v>
      </c>
      <c r="K273" s="2">
        <f>DF_2[[#This Row],[QUANTITY]]*DF_2[[#This Row],[UnitPrice]]</f>
        <v>20.34</v>
      </c>
    </row>
    <row r="274" spans="2:11" x14ac:dyDescent="0.25">
      <c r="B274" s="2">
        <v>536365</v>
      </c>
      <c r="C274" s="2" t="s">
        <v>16</v>
      </c>
      <c r="D274" s="2" t="s">
        <v>17</v>
      </c>
      <c r="E274" s="2">
        <v>6</v>
      </c>
      <c r="F274" s="8">
        <v>40513.351388888892</v>
      </c>
      <c r="G274" s="2">
        <v>3.39</v>
      </c>
      <c r="H274" s="2">
        <v>17850</v>
      </c>
      <c r="I274" s="2" t="s">
        <v>10</v>
      </c>
      <c r="J274" s="2">
        <f>ABS(DF_2[[#This Row],[Quantity_BEFORE]])</f>
        <v>6</v>
      </c>
      <c r="K274" s="2">
        <f>DF_2[[#This Row],[QUANTITY]]*DF_2[[#This Row],[UnitPrice]]</f>
        <v>20.34</v>
      </c>
    </row>
    <row r="275" spans="2:11" x14ac:dyDescent="0.25">
      <c r="B275" s="2">
        <v>536373</v>
      </c>
      <c r="C275" s="2">
        <v>71053</v>
      </c>
      <c r="D275" s="2" t="s">
        <v>11</v>
      </c>
      <c r="E275" s="2">
        <v>6</v>
      </c>
      <c r="F275" s="8">
        <v>40513.376388888886</v>
      </c>
      <c r="G275" s="2">
        <v>3.39</v>
      </c>
      <c r="H275" s="2">
        <v>17850</v>
      </c>
      <c r="I275" s="2" t="s">
        <v>10</v>
      </c>
      <c r="J275" s="2">
        <f>ABS(DF_2[[#This Row],[Quantity_BEFORE]])</f>
        <v>6</v>
      </c>
      <c r="K275" s="2">
        <f>DF_2[[#This Row],[QUANTITY]]*DF_2[[#This Row],[UnitPrice]]</f>
        <v>20.34</v>
      </c>
    </row>
    <row r="276" spans="2:11" x14ac:dyDescent="0.25">
      <c r="B276" s="2">
        <v>536373</v>
      </c>
      <c r="C276" s="2" t="s">
        <v>14</v>
      </c>
      <c r="D276" s="2" t="s">
        <v>15</v>
      </c>
      <c r="E276" s="2">
        <v>6</v>
      </c>
      <c r="F276" s="8">
        <v>40513.376388888886</v>
      </c>
      <c r="G276" s="2">
        <v>3.39</v>
      </c>
      <c r="H276" s="2">
        <v>17850</v>
      </c>
      <c r="I276" s="2" t="s">
        <v>10</v>
      </c>
      <c r="J276" s="2">
        <f>ABS(DF_2[[#This Row],[Quantity_BEFORE]])</f>
        <v>6</v>
      </c>
      <c r="K276" s="2">
        <f>DF_2[[#This Row],[QUANTITY]]*DF_2[[#This Row],[UnitPrice]]</f>
        <v>20.34</v>
      </c>
    </row>
    <row r="277" spans="2:11" x14ac:dyDescent="0.25">
      <c r="B277" s="2">
        <v>536373</v>
      </c>
      <c r="C277" s="2" t="s">
        <v>16</v>
      </c>
      <c r="D277" s="2" t="s">
        <v>17</v>
      </c>
      <c r="E277" s="2">
        <v>6</v>
      </c>
      <c r="F277" s="8">
        <v>40513.376388888886</v>
      </c>
      <c r="G277" s="2">
        <v>3.39</v>
      </c>
      <c r="H277" s="2">
        <v>17850</v>
      </c>
      <c r="I277" s="2" t="s">
        <v>10</v>
      </c>
      <c r="J277" s="2">
        <f>ABS(DF_2[[#This Row],[Quantity_BEFORE]])</f>
        <v>6</v>
      </c>
      <c r="K277" s="2">
        <f>DF_2[[#This Row],[QUANTITY]]*DF_2[[#This Row],[UnitPrice]]</f>
        <v>20.34</v>
      </c>
    </row>
    <row r="278" spans="2:11" x14ac:dyDescent="0.25">
      <c r="B278" s="2">
        <v>536375</v>
      </c>
      <c r="C278" s="2">
        <v>71053</v>
      </c>
      <c r="D278" s="2" t="s">
        <v>11</v>
      </c>
      <c r="E278" s="2">
        <v>6</v>
      </c>
      <c r="F278" s="8">
        <v>40513.397222222222</v>
      </c>
      <c r="G278" s="2">
        <v>3.39</v>
      </c>
      <c r="H278" s="2">
        <v>17850</v>
      </c>
      <c r="I278" s="2" t="s">
        <v>10</v>
      </c>
      <c r="J278" s="2">
        <f>ABS(DF_2[[#This Row],[Quantity_BEFORE]])</f>
        <v>6</v>
      </c>
      <c r="K278" s="2">
        <f>DF_2[[#This Row],[QUANTITY]]*DF_2[[#This Row],[UnitPrice]]</f>
        <v>20.34</v>
      </c>
    </row>
    <row r="279" spans="2:11" x14ac:dyDescent="0.25">
      <c r="B279" s="2">
        <v>536375</v>
      </c>
      <c r="C279" s="2" t="s">
        <v>14</v>
      </c>
      <c r="D279" s="2" t="s">
        <v>15</v>
      </c>
      <c r="E279" s="2">
        <v>6</v>
      </c>
      <c r="F279" s="8">
        <v>40513.397222222222</v>
      </c>
      <c r="G279" s="2">
        <v>3.39</v>
      </c>
      <c r="H279" s="2">
        <v>17850</v>
      </c>
      <c r="I279" s="2" t="s">
        <v>10</v>
      </c>
      <c r="J279" s="2">
        <f>ABS(DF_2[[#This Row],[Quantity_BEFORE]])</f>
        <v>6</v>
      </c>
      <c r="K279" s="2">
        <f>DF_2[[#This Row],[QUANTITY]]*DF_2[[#This Row],[UnitPrice]]</f>
        <v>20.34</v>
      </c>
    </row>
    <row r="280" spans="2:11" x14ac:dyDescent="0.25">
      <c r="B280" s="2">
        <v>536375</v>
      </c>
      <c r="C280" s="2" t="s">
        <v>16</v>
      </c>
      <c r="D280" s="2" t="s">
        <v>17</v>
      </c>
      <c r="E280" s="2">
        <v>6</v>
      </c>
      <c r="F280" s="8">
        <v>40513.397222222222</v>
      </c>
      <c r="G280" s="2">
        <v>3.39</v>
      </c>
      <c r="H280" s="2">
        <v>17850</v>
      </c>
      <c r="I280" s="2" t="s">
        <v>10</v>
      </c>
      <c r="J280" s="2">
        <f>ABS(DF_2[[#This Row],[Quantity_BEFORE]])</f>
        <v>6</v>
      </c>
      <c r="K280" s="2">
        <f>DF_2[[#This Row],[QUANTITY]]*DF_2[[#This Row],[UnitPrice]]</f>
        <v>20.34</v>
      </c>
    </row>
    <row r="281" spans="2:11" x14ac:dyDescent="0.25">
      <c r="B281" s="2">
        <v>536396</v>
      </c>
      <c r="C281" s="2">
        <v>71053</v>
      </c>
      <c r="D281" s="2" t="s">
        <v>11</v>
      </c>
      <c r="E281" s="2">
        <v>6</v>
      </c>
      <c r="F281" s="8">
        <v>40513.45208333333</v>
      </c>
      <c r="G281" s="2">
        <v>3.39</v>
      </c>
      <c r="H281" s="2">
        <v>17850</v>
      </c>
      <c r="I281" s="2" t="s">
        <v>10</v>
      </c>
      <c r="J281" s="2">
        <f>ABS(DF_2[[#This Row],[Quantity_BEFORE]])</f>
        <v>6</v>
      </c>
      <c r="K281" s="2">
        <f>DF_2[[#This Row],[QUANTITY]]*DF_2[[#This Row],[UnitPrice]]</f>
        <v>20.34</v>
      </c>
    </row>
    <row r="282" spans="2:11" x14ac:dyDescent="0.25">
      <c r="B282" s="2">
        <v>536396</v>
      </c>
      <c r="C282" s="2" t="s">
        <v>14</v>
      </c>
      <c r="D282" s="2" t="s">
        <v>15</v>
      </c>
      <c r="E282" s="2">
        <v>6</v>
      </c>
      <c r="F282" s="8">
        <v>40513.45208333333</v>
      </c>
      <c r="G282" s="2">
        <v>3.39</v>
      </c>
      <c r="H282" s="2">
        <v>17850</v>
      </c>
      <c r="I282" s="2" t="s">
        <v>10</v>
      </c>
      <c r="J282" s="2">
        <f>ABS(DF_2[[#This Row],[Quantity_BEFORE]])</f>
        <v>6</v>
      </c>
      <c r="K282" s="2">
        <f>DF_2[[#This Row],[QUANTITY]]*DF_2[[#This Row],[UnitPrice]]</f>
        <v>20.34</v>
      </c>
    </row>
    <row r="283" spans="2:11" x14ac:dyDescent="0.25">
      <c r="B283" s="2">
        <v>536396</v>
      </c>
      <c r="C283" s="2" t="s">
        <v>16</v>
      </c>
      <c r="D283" s="2" t="s">
        <v>17</v>
      </c>
      <c r="E283" s="2">
        <v>6</v>
      </c>
      <c r="F283" s="8">
        <v>40513.45208333333</v>
      </c>
      <c r="G283" s="2">
        <v>3.39</v>
      </c>
      <c r="H283" s="2">
        <v>17850</v>
      </c>
      <c r="I283" s="2" t="s">
        <v>10</v>
      </c>
      <c r="J283" s="2">
        <f>ABS(DF_2[[#This Row],[Quantity_BEFORE]])</f>
        <v>6</v>
      </c>
      <c r="K283" s="2">
        <f>DF_2[[#This Row],[QUANTITY]]*DF_2[[#This Row],[UnitPrice]]</f>
        <v>20.34</v>
      </c>
    </row>
    <row r="284" spans="2:11" x14ac:dyDescent="0.25">
      <c r="B284" s="2">
        <v>536406</v>
      </c>
      <c r="C284" s="2" t="s">
        <v>14</v>
      </c>
      <c r="D284" s="2" t="s">
        <v>15</v>
      </c>
      <c r="E284" s="2">
        <v>6</v>
      </c>
      <c r="F284" s="8">
        <v>40513.481249999997</v>
      </c>
      <c r="G284" s="2">
        <v>3.39</v>
      </c>
      <c r="H284" s="2">
        <v>17850</v>
      </c>
      <c r="I284" s="2" t="s">
        <v>10</v>
      </c>
      <c r="J284" s="2">
        <f>ABS(DF_2[[#This Row],[Quantity_BEFORE]])</f>
        <v>6</v>
      </c>
      <c r="K284" s="2">
        <f>DF_2[[#This Row],[QUANTITY]]*DF_2[[#This Row],[UnitPrice]]</f>
        <v>20.34</v>
      </c>
    </row>
    <row r="285" spans="2:11" x14ac:dyDescent="0.25">
      <c r="B285" s="2">
        <v>536406</v>
      </c>
      <c r="C285" s="2" t="s">
        <v>16</v>
      </c>
      <c r="D285" s="2" t="s">
        <v>17</v>
      </c>
      <c r="E285" s="2">
        <v>6</v>
      </c>
      <c r="F285" s="8">
        <v>40513.481249999997</v>
      </c>
      <c r="G285" s="2">
        <v>3.39</v>
      </c>
      <c r="H285" s="2">
        <v>17850</v>
      </c>
      <c r="I285" s="2" t="s">
        <v>10</v>
      </c>
      <c r="J285" s="2">
        <f>ABS(DF_2[[#This Row],[Quantity_BEFORE]])</f>
        <v>6</v>
      </c>
      <c r="K285" s="2">
        <f>DF_2[[#This Row],[QUANTITY]]*DF_2[[#This Row],[UnitPrice]]</f>
        <v>20.34</v>
      </c>
    </row>
    <row r="286" spans="2:11" x14ac:dyDescent="0.25">
      <c r="B286" s="2">
        <v>536387</v>
      </c>
      <c r="C286" s="2">
        <v>22780</v>
      </c>
      <c r="D286" s="2" t="s">
        <v>175</v>
      </c>
      <c r="E286" s="2">
        <v>192</v>
      </c>
      <c r="F286" s="8">
        <v>40513.415277777778</v>
      </c>
      <c r="G286" s="2">
        <v>3.37</v>
      </c>
      <c r="H286" s="2">
        <v>16029</v>
      </c>
      <c r="I286" s="2" t="s">
        <v>10</v>
      </c>
      <c r="J286" s="2">
        <f>ABS(DF_2[[#This Row],[Quantity_BEFORE]])</f>
        <v>192</v>
      </c>
      <c r="K286" s="2">
        <f>DF_2[[#This Row],[QUANTITY]]*DF_2[[#This Row],[UnitPrice]]</f>
        <v>647.04</v>
      </c>
    </row>
    <row r="287" spans="2:11" x14ac:dyDescent="0.25">
      <c r="B287" s="2">
        <v>536387</v>
      </c>
      <c r="C287" s="2">
        <v>22779</v>
      </c>
      <c r="D287" s="2" t="s">
        <v>176</v>
      </c>
      <c r="E287" s="2">
        <v>192</v>
      </c>
      <c r="F287" s="8">
        <v>40513.415277777778</v>
      </c>
      <c r="G287" s="2">
        <v>3.37</v>
      </c>
      <c r="H287" s="2">
        <v>16029</v>
      </c>
      <c r="I287" s="2" t="s">
        <v>10</v>
      </c>
      <c r="J287" s="2">
        <f>ABS(DF_2[[#This Row],[Quantity_BEFORE]])</f>
        <v>192</v>
      </c>
      <c r="K287" s="2">
        <f>DF_2[[#This Row],[QUANTITY]]*DF_2[[#This Row],[UnitPrice]]</f>
        <v>647.04</v>
      </c>
    </row>
    <row r="288" spans="2:11" x14ac:dyDescent="0.25">
      <c r="B288" s="2">
        <v>536398</v>
      </c>
      <c r="C288" s="2">
        <v>22449</v>
      </c>
      <c r="D288" s="2" t="s">
        <v>257</v>
      </c>
      <c r="E288" s="2">
        <v>6</v>
      </c>
      <c r="F288" s="8">
        <v>40513.452777777777</v>
      </c>
      <c r="G288" s="2">
        <v>3.35</v>
      </c>
      <c r="H288" s="2">
        <v>13448</v>
      </c>
      <c r="I288" s="2" t="s">
        <v>10</v>
      </c>
      <c r="J288" s="2">
        <f>ABS(DF_2[[#This Row],[Quantity_BEFORE]])</f>
        <v>6</v>
      </c>
      <c r="K288" s="2">
        <f>DF_2[[#This Row],[QUANTITY]]*DF_2[[#This Row],[UnitPrice]]</f>
        <v>20.100000000000001</v>
      </c>
    </row>
    <row r="289" spans="2:11" x14ac:dyDescent="0.25">
      <c r="B289" s="2">
        <v>536425</v>
      </c>
      <c r="C289" s="2">
        <v>22451</v>
      </c>
      <c r="D289" s="2" t="s">
        <v>266</v>
      </c>
      <c r="E289" s="2">
        <v>6</v>
      </c>
      <c r="F289" s="8">
        <v>40513.505555555559</v>
      </c>
      <c r="G289" s="2">
        <v>3.35</v>
      </c>
      <c r="H289" s="2">
        <v>13758</v>
      </c>
      <c r="I289" s="2" t="s">
        <v>10</v>
      </c>
      <c r="J289" s="2">
        <f>ABS(DF_2[[#This Row],[Quantity_BEFORE]])</f>
        <v>6</v>
      </c>
      <c r="K289" s="2">
        <f>DF_2[[#This Row],[QUANTITY]]*DF_2[[#This Row],[UnitPrice]]</f>
        <v>20.100000000000001</v>
      </c>
    </row>
    <row r="290" spans="2:11" x14ac:dyDescent="0.25">
      <c r="B290" s="2">
        <v>536425</v>
      </c>
      <c r="C290" s="2">
        <v>22449</v>
      </c>
      <c r="D290" s="2" t="s">
        <v>257</v>
      </c>
      <c r="E290" s="2">
        <v>6</v>
      </c>
      <c r="F290" s="8">
        <v>40513.505555555559</v>
      </c>
      <c r="G290" s="2">
        <v>3.35</v>
      </c>
      <c r="H290" s="2">
        <v>13758</v>
      </c>
      <c r="I290" s="2" t="s">
        <v>10</v>
      </c>
      <c r="J290" s="2">
        <f>ABS(DF_2[[#This Row],[Quantity_BEFORE]])</f>
        <v>6</v>
      </c>
      <c r="K290" s="2">
        <f>DF_2[[#This Row],[QUANTITY]]*DF_2[[#This Row],[UnitPrice]]</f>
        <v>20.100000000000001</v>
      </c>
    </row>
    <row r="291" spans="2:11" x14ac:dyDescent="0.25">
      <c r="B291" s="2">
        <v>536401</v>
      </c>
      <c r="C291" s="2">
        <v>22451</v>
      </c>
      <c r="D291" s="2" t="s">
        <v>266</v>
      </c>
      <c r="E291" s="2">
        <v>1</v>
      </c>
      <c r="F291" s="8">
        <v>40513.472916666666</v>
      </c>
      <c r="G291" s="2">
        <v>3.35</v>
      </c>
      <c r="H291" s="2">
        <v>15862</v>
      </c>
      <c r="I291" s="2" t="s">
        <v>10</v>
      </c>
      <c r="J291" s="2">
        <f>ABS(DF_2[[#This Row],[Quantity_BEFORE]])</f>
        <v>1</v>
      </c>
      <c r="K291" s="2">
        <f>DF_2[[#This Row],[QUANTITY]]*DF_2[[#This Row],[UnitPrice]]</f>
        <v>3.35</v>
      </c>
    </row>
    <row r="292" spans="2:11" x14ac:dyDescent="0.25">
      <c r="B292" s="2">
        <v>536464</v>
      </c>
      <c r="C292" s="2">
        <v>21260</v>
      </c>
      <c r="D292" s="2" t="s">
        <v>568</v>
      </c>
      <c r="E292" s="2">
        <v>1</v>
      </c>
      <c r="F292" s="8">
        <v>40513.515972222223</v>
      </c>
      <c r="G292" s="2">
        <v>3.25</v>
      </c>
      <c r="H292" s="2">
        <v>17968</v>
      </c>
      <c r="I292" s="2" t="s">
        <v>10</v>
      </c>
      <c r="J292" s="2">
        <f>ABS(DF_2[[#This Row],[Quantity_BEFORE]])</f>
        <v>1</v>
      </c>
      <c r="K292" s="2">
        <f>DF_2[[#This Row],[QUANTITY]]*DF_2[[#This Row],[UnitPrice]]</f>
        <v>3.25</v>
      </c>
    </row>
    <row r="293" spans="2:11" x14ac:dyDescent="0.25">
      <c r="B293" s="2">
        <v>536370</v>
      </c>
      <c r="C293" s="2">
        <v>22326</v>
      </c>
      <c r="D293" s="2" t="s">
        <v>48</v>
      </c>
      <c r="E293" s="2">
        <v>24</v>
      </c>
      <c r="F293" s="8">
        <v>40513.364583333336</v>
      </c>
      <c r="G293" s="2">
        <v>2.95</v>
      </c>
      <c r="H293" s="2">
        <v>12583</v>
      </c>
      <c r="I293" s="2" t="s">
        <v>40</v>
      </c>
      <c r="J293" s="2">
        <f>ABS(DF_2[[#This Row],[Quantity_BEFORE]])</f>
        <v>24</v>
      </c>
      <c r="K293" s="2">
        <f>DF_2[[#This Row],[QUANTITY]]*DF_2[[#This Row],[UnitPrice]]</f>
        <v>70.800000000000011</v>
      </c>
    </row>
    <row r="294" spans="2:11" x14ac:dyDescent="0.25">
      <c r="B294" s="2">
        <v>536370</v>
      </c>
      <c r="C294" s="2">
        <v>22900</v>
      </c>
      <c r="D294" s="2" t="s">
        <v>54</v>
      </c>
      <c r="E294" s="2">
        <v>24</v>
      </c>
      <c r="F294" s="8">
        <v>40513.364583333336</v>
      </c>
      <c r="G294" s="2">
        <v>2.95</v>
      </c>
      <c r="H294" s="2">
        <v>12583</v>
      </c>
      <c r="I294" s="2" t="s">
        <v>40</v>
      </c>
      <c r="J294" s="2">
        <f>ABS(DF_2[[#This Row],[Quantity_BEFORE]])</f>
        <v>24</v>
      </c>
      <c r="K294" s="2">
        <f>DF_2[[#This Row],[QUANTITY]]*DF_2[[#This Row],[UnitPrice]]</f>
        <v>70.800000000000011</v>
      </c>
    </row>
    <row r="295" spans="2:11" x14ac:dyDescent="0.25">
      <c r="B295" s="2">
        <v>536370</v>
      </c>
      <c r="C295" s="2">
        <v>21035</v>
      </c>
      <c r="D295" s="2" t="s">
        <v>47</v>
      </c>
      <c r="E295" s="2">
        <v>18</v>
      </c>
      <c r="F295" s="8">
        <v>40513.364583333336</v>
      </c>
      <c r="G295" s="2">
        <v>2.95</v>
      </c>
      <c r="H295" s="2">
        <v>12583</v>
      </c>
      <c r="I295" s="2" t="s">
        <v>40</v>
      </c>
      <c r="J295" s="2">
        <f>ABS(DF_2[[#This Row],[Quantity_BEFORE]])</f>
        <v>18</v>
      </c>
      <c r="K295" s="2">
        <f>DF_2[[#This Row],[QUANTITY]]*DF_2[[#This Row],[UnitPrice]]</f>
        <v>53.1</v>
      </c>
    </row>
    <row r="296" spans="2:11" x14ac:dyDescent="0.25">
      <c r="B296" s="2">
        <v>536384</v>
      </c>
      <c r="C296" s="2">
        <v>22457</v>
      </c>
      <c r="D296" s="2" t="s">
        <v>157</v>
      </c>
      <c r="E296" s="2">
        <v>12</v>
      </c>
      <c r="F296" s="8">
        <v>40513.411805555559</v>
      </c>
      <c r="G296" s="2">
        <v>2.95</v>
      </c>
      <c r="H296" s="2">
        <v>18074</v>
      </c>
      <c r="I296" s="2" t="s">
        <v>10</v>
      </c>
      <c r="J296" s="2">
        <f>ABS(DF_2[[#This Row],[Quantity_BEFORE]])</f>
        <v>12</v>
      </c>
      <c r="K296" s="2">
        <f>DF_2[[#This Row],[QUANTITY]]*DF_2[[#This Row],[UnitPrice]]</f>
        <v>35.400000000000006</v>
      </c>
    </row>
    <row r="297" spans="2:11" x14ac:dyDescent="0.25">
      <c r="B297" s="2">
        <v>536415</v>
      </c>
      <c r="C297" s="2">
        <v>22807</v>
      </c>
      <c r="D297" s="2" t="s">
        <v>498</v>
      </c>
      <c r="E297" s="2">
        <v>12</v>
      </c>
      <c r="F297" s="8">
        <v>40513.497916666667</v>
      </c>
      <c r="G297" s="2">
        <v>2.95</v>
      </c>
      <c r="H297" s="2">
        <v>12838</v>
      </c>
      <c r="I297" s="2" t="s">
        <v>10</v>
      </c>
      <c r="J297" s="2">
        <f>ABS(DF_2[[#This Row],[Quantity_BEFORE]])</f>
        <v>12</v>
      </c>
      <c r="K297" s="2">
        <f>DF_2[[#This Row],[QUANTITY]]*DF_2[[#This Row],[UnitPrice]]</f>
        <v>35.400000000000006</v>
      </c>
    </row>
    <row r="298" spans="2:11" x14ac:dyDescent="0.25">
      <c r="B298" s="2">
        <v>536378</v>
      </c>
      <c r="C298" s="2">
        <v>21033</v>
      </c>
      <c r="D298" s="2" t="s">
        <v>78</v>
      </c>
      <c r="E298" s="2">
        <v>10</v>
      </c>
      <c r="F298" s="8">
        <v>40513.400694444441</v>
      </c>
      <c r="G298" s="2">
        <v>2.95</v>
      </c>
      <c r="H298" s="2">
        <v>14688</v>
      </c>
      <c r="I298" s="2" t="s">
        <v>10</v>
      </c>
      <c r="J298" s="2">
        <f>ABS(DF_2[[#This Row],[Quantity_BEFORE]])</f>
        <v>10</v>
      </c>
      <c r="K298" s="2">
        <f>DF_2[[#This Row],[QUANTITY]]*DF_2[[#This Row],[UnitPrice]]</f>
        <v>29.5</v>
      </c>
    </row>
    <row r="299" spans="2:11" x14ac:dyDescent="0.25">
      <c r="B299" s="2">
        <v>536446</v>
      </c>
      <c r="C299" s="2" t="s">
        <v>315</v>
      </c>
      <c r="D299" s="2" t="s">
        <v>316</v>
      </c>
      <c r="E299" s="2">
        <v>10</v>
      </c>
      <c r="F299" s="8">
        <v>40513.510416666664</v>
      </c>
      <c r="G299" s="2">
        <v>2.95</v>
      </c>
      <c r="H299" s="2">
        <v>15983</v>
      </c>
      <c r="I299" s="2" t="s">
        <v>10</v>
      </c>
      <c r="J299" s="2">
        <f>ABS(DF_2[[#This Row],[Quantity_BEFORE]])</f>
        <v>10</v>
      </c>
      <c r="K299" s="2">
        <f>DF_2[[#This Row],[QUANTITY]]*DF_2[[#This Row],[UnitPrice]]</f>
        <v>29.5</v>
      </c>
    </row>
    <row r="300" spans="2:11" x14ac:dyDescent="0.25">
      <c r="B300" s="2">
        <v>536382</v>
      </c>
      <c r="C300" s="2">
        <v>22798</v>
      </c>
      <c r="D300" s="2" t="s">
        <v>145</v>
      </c>
      <c r="E300" s="2">
        <v>8</v>
      </c>
      <c r="F300" s="8">
        <v>40513.40625</v>
      </c>
      <c r="G300" s="2">
        <v>2.95</v>
      </c>
      <c r="H300" s="2">
        <v>16098</v>
      </c>
      <c r="I300" s="2" t="s">
        <v>10</v>
      </c>
      <c r="J300" s="2">
        <f>ABS(DF_2[[#This Row],[Quantity_BEFORE]])</f>
        <v>8</v>
      </c>
      <c r="K300" s="2">
        <f>DF_2[[#This Row],[QUANTITY]]*DF_2[[#This Row],[UnitPrice]]</f>
        <v>23.6</v>
      </c>
    </row>
    <row r="301" spans="2:11" x14ac:dyDescent="0.25">
      <c r="B301" s="2">
        <v>536408</v>
      </c>
      <c r="C301" s="2">
        <v>22766</v>
      </c>
      <c r="D301" s="2" t="s">
        <v>265</v>
      </c>
      <c r="E301" s="2">
        <v>8</v>
      </c>
      <c r="F301" s="8">
        <v>40513.486805555556</v>
      </c>
      <c r="G301" s="2">
        <v>2.95</v>
      </c>
      <c r="H301" s="2">
        <v>14307</v>
      </c>
      <c r="I301" s="2" t="s">
        <v>10</v>
      </c>
      <c r="J301" s="2">
        <f>ABS(DF_2[[#This Row],[Quantity_BEFORE]])</f>
        <v>8</v>
      </c>
      <c r="K301" s="2">
        <f>DF_2[[#This Row],[QUANTITY]]*DF_2[[#This Row],[UnitPrice]]</f>
        <v>23.6</v>
      </c>
    </row>
    <row r="302" spans="2:11" x14ac:dyDescent="0.25">
      <c r="B302" s="2">
        <v>536500</v>
      </c>
      <c r="C302" s="2">
        <v>22900</v>
      </c>
      <c r="D302" s="2" t="s">
        <v>54</v>
      </c>
      <c r="E302" s="2">
        <v>7</v>
      </c>
      <c r="F302" s="8">
        <v>40513.524305555555</v>
      </c>
      <c r="G302" s="2">
        <v>2.95</v>
      </c>
      <c r="H302" s="2">
        <v>17377</v>
      </c>
      <c r="I302" s="2" t="s">
        <v>10</v>
      </c>
      <c r="J302" s="2">
        <f>ABS(DF_2[[#This Row],[Quantity_BEFORE]])</f>
        <v>7</v>
      </c>
      <c r="K302" s="2">
        <f>DF_2[[#This Row],[QUANTITY]]*DF_2[[#This Row],[UnitPrice]]</f>
        <v>20.650000000000002</v>
      </c>
    </row>
    <row r="303" spans="2:11" x14ac:dyDescent="0.25">
      <c r="B303" s="2">
        <v>536378</v>
      </c>
      <c r="C303" s="2" t="s">
        <v>92</v>
      </c>
      <c r="D303" s="2" t="s">
        <v>93</v>
      </c>
      <c r="E303" s="2">
        <v>6</v>
      </c>
      <c r="F303" s="8">
        <v>40513.400694444441</v>
      </c>
      <c r="G303" s="2">
        <v>2.95</v>
      </c>
      <c r="H303" s="2">
        <v>14688</v>
      </c>
      <c r="I303" s="2" t="s">
        <v>10</v>
      </c>
      <c r="J303" s="2">
        <f>ABS(DF_2[[#This Row],[Quantity_BEFORE]])</f>
        <v>6</v>
      </c>
      <c r="K303" s="2">
        <f>DF_2[[#This Row],[QUANTITY]]*DF_2[[#This Row],[UnitPrice]]</f>
        <v>17.700000000000003</v>
      </c>
    </row>
    <row r="304" spans="2:11" x14ac:dyDescent="0.25">
      <c r="B304" s="2">
        <v>536384</v>
      </c>
      <c r="C304" s="2">
        <v>21324</v>
      </c>
      <c r="D304" s="2" t="s">
        <v>156</v>
      </c>
      <c r="E304" s="2">
        <v>6</v>
      </c>
      <c r="F304" s="8">
        <v>40513.411805555559</v>
      </c>
      <c r="G304" s="2">
        <v>2.95</v>
      </c>
      <c r="H304" s="2">
        <v>18074</v>
      </c>
      <c r="I304" s="2" t="s">
        <v>10</v>
      </c>
      <c r="J304" s="2">
        <f>ABS(DF_2[[#This Row],[Quantity_BEFORE]])</f>
        <v>6</v>
      </c>
      <c r="K304" s="2">
        <f>DF_2[[#This Row],[QUANTITY]]*DF_2[[#This Row],[UnitPrice]]</f>
        <v>17.700000000000003</v>
      </c>
    </row>
    <row r="305" spans="2:11" x14ac:dyDescent="0.25">
      <c r="B305" s="2">
        <v>536384</v>
      </c>
      <c r="C305" s="2">
        <v>22224</v>
      </c>
      <c r="D305" s="2" t="s">
        <v>160</v>
      </c>
      <c r="E305" s="2">
        <v>6</v>
      </c>
      <c r="F305" s="8">
        <v>40513.411805555559</v>
      </c>
      <c r="G305" s="2">
        <v>2.95</v>
      </c>
      <c r="H305" s="2">
        <v>18074</v>
      </c>
      <c r="I305" s="2" t="s">
        <v>10</v>
      </c>
      <c r="J305" s="2">
        <f>ABS(DF_2[[#This Row],[Quantity_BEFORE]])</f>
        <v>6</v>
      </c>
      <c r="K305" s="2">
        <f>DF_2[[#This Row],[QUANTITY]]*DF_2[[#This Row],[UnitPrice]]</f>
        <v>17.700000000000003</v>
      </c>
    </row>
    <row r="306" spans="2:11" x14ac:dyDescent="0.25">
      <c r="B306" s="2">
        <v>536388</v>
      </c>
      <c r="C306" s="2">
        <v>22318</v>
      </c>
      <c r="D306" s="2" t="s">
        <v>180</v>
      </c>
      <c r="E306" s="2">
        <v>6</v>
      </c>
      <c r="F306" s="8">
        <v>40513.415972222225</v>
      </c>
      <c r="G306" s="2">
        <v>2.95</v>
      </c>
      <c r="H306" s="2">
        <v>16250</v>
      </c>
      <c r="I306" s="2" t="s">
        <v>10</v>
      </c>
      <c r="J306" s="2">
        <f>ABS(DF_2[[#This Row],[Quantity_BEFORE]])</f>
        <v>6</v>
      </c>
      <c r="K306" s="2">
        <f>DF_2[[#This Row],[QUANTITY]]*DF_2[[#This Row],[UnitPrice]]</f>
        <v>17.700000000000003</v>
      </c>
    </row>
    <row r="307" spans="2:11" x14ac:dyDescent="0.25">
      <c r="B307" s="2">
        <v>536398</v>
      </c>
      <c r="C307" s="2">
        <v>21844</v>
      </c>
      <c r="D307" s="2" t="s">
        <v>252</v>
      </c>
      <c r="E307" s="2">
        <v>6</v>
      </c>
      <c r="F307" s="8">
        <v>40513.452777777777</v>
      </c>
      <c r="G307" s="2">
        <v>2.95</v>
      </c>
      <c r="H307" s="2">
        <v>13448</v>
      </c>
      <c r="I307" s="2" t="s">
        <v>10</v>
      </c>
      <c r="J307" s="2">
        <f>ABS(DF_2[[#This Row],[Quantity_BEFORE]])</f>
        <v>6</v>
      </c>
      <c r="K307" s="2">
        <f>DF_2[[#This Row],[QUANTITY]]*DF_2[[#This Row],[UnitPrice]]</f>
        <v>17.700000000000003</v>
      </c>
    </row>
    <row r="308" spans="2:11" x14ac:dyDescent="0.25">
      <c r="B308" s="2">
        <v>536408</v>
      </c>
      <c r="C308" s="2">
        <v>21733</v>
      </c>
      <c r="D308" s="2" t="s">
        <v>74</v>
      </c>
      <c r="E308" s="2">
        <v>6</v>
      </c>
      <c r="F308" s="8">
        <v>40513.486805555556</v>
      </c>
      <c r="G308" s="2">
        <v>2.95</v>
      </c>
      <c r="H308" s="2">
        <v>14307</v>
      </c>
      <c r="I308" s="2" t="s">
        <v>10</v>
      </c>
      <c r="J308" s="2">
        <f>ABS(DF_2[[#This Row],[Quantity_BEFORE]])</f>
        <v>6</v>
      </c>
      <c r="K308" s="2">
        <f>DF_2[[#This Row],[QUANTITY]]*DF_2[[#This Row],[UnitPrice]]</f>
        <v>17.700000000000003</v>
      </c>
    </row>
    <row r="309" spans="2:11" x14ac:dyDescent="0.25">
      <c r="B309" s="2">
        <v>536415</v>
      </c>
      <c r="C309" s="2">
        <v>22086</v>
      </c>
      <c r="D309" s="2" t="s">
        <v>61</v>
      </c>
      <c r="E309" s="2">
        <v>6</v>
      </c>
      <c r="F309" s="8">
        <v>40513.497916666667</v>
      </c>
      <c r="G309" s="2">
        <v>2.95</v>
      </c>
      <c r="H309" s="2">
        <v>12838</v>
      </c>
      <c r="I309" s="2" t="s">
        <v>10</v>
      </c>
      <c r="J309" s="2">
        <f>ABS(DF_2[[#This Row],[Quantity_BEFORE]])</f>
        <v>6</v>
      </c>
      <c r="K309" s="2">
        <f>DF_2[[#This Row],[QUANTITY]]*DF_2[[#This Row],[UnitPrice]]</f>
        <v>17.700000000000003</v>
      </c>
    </row>
    <row r="310" spans="2:11" x14ac:dyDescent="0.25">
      <c r="B310" s="2">
        <v>536416</v>
      </c>
      <c r="C310" s="2" t="s">
        <v>70</v>
      </c>
      <c r="D310" s="2" t="s">
        <v>71</v>
      </c>
      <c r="E310" s="2">
        <v>6</v>
      </c>
      <c r="F310" s="8">
        <v>40513.498611111114</v>
      </c>
      <c r="G310" s="2">
        <v>2.95</v>
      </c>
      <c r="H310" s="2">
        <v>13255</v>
      </c>
      <c r="I310" s="2" t="s">
        <v>10</v>
      </c>
      <c r="J310" s="2">
        <f>ABS(DF_2[[#This Row],[Quantity_BEFORE]])</f>
        <v>6</v>
      </c>
      <c r="K310" s="2">
        <f>DF_2[[#This Row],[QUANTITY]]*DF_2[[#This Row],[UnitPrice]]</f>
        <v>17.700000000000003</v>
      </c>
    </row>
    <row r="311" spans="2:11" x14ac:dyDescent="0.25">
      <c r="B311" s="2">
        <v>536420</v>
      </c>
      <c r="C311" s="2">
        <v>21890</v>
      </c>
      <c r="D311" s="2" t="s">
        <v>502</v>
      </c>
      <c r="E311" s="2">
        <v>6</v>
      </c>
      <c r="F311" s="8">
        <v>40513.502083333333</v>
      </c>
      <c r="G311" s="2">
        <v>2.95</v>
      </c>
      <c r="H311" s="2">
        <v>16583</v>
      </c>
      <c r="I311" s="2" t="s">
        <v>10</v>
      </c>
      <c r="J311" s="2">
        <f>ABS(DF_2[[#This Row],[Quantity_BEFORE]])</f>
        <v>6</v>
      </c>
      <c r="K311" s="2">
        <f>DF_2[[#This Row],[QUANTITY]]*DF_2[[#This Row],[UnitPrice]]</f>
        <v>17.700000000000003</v>
      </c>
    </row>
    <row r="312" spans="2:11" x14ac:dyDescent="0.25">
      <c r="B312" s="2">
        <v>536420</v>
      </c>
      <c r="C312" s="2">
        <v>22358</v>
      </c>
      <c r="D312" s="2" t="s">
        <v>507</v>
      </c>
      <c r="E312" s="2">
        <v>6</v>
      </c>
      <c r="F312" s="8">
        <v>40513.502083333333</v>
      </c>
      <c r="G312" s="2">
        <v>2.95</v>
      </c>
      <c r="H312" s="2">
        <v>16583</v>
      </c>
      <c r="I312" s="2" t="s">
        <v>10</v>
      </c>
      <c r="J312" s="2">
        <f>ABS(DF_2[[#This Row],[Quantity_BEFORE]])</f>
        <v>6</v>
      </c>
      <c r="K312" s="2">
        <f>DF_2[[#This Row],[QUANTITY]]*DF_2[[#This Row],[UnitPrice]]</f>
        <v>17.700000000000003</v>
      </c>
    </row>
    <row r="313" spans="2:11" x14ac:dyDescent="0.25">
      <c r="B313" s="2">
        <v>536420</v>
      </c>
      <c r="C313" s="2">
        <v>22115</v>
      </c>
      <c r="D313" s="2" t="s">
        <v>509</v>
      </c>
      <c r="E313" s="2">
        <v>6</v>
      </c>
      <c r="F313" s="8">
        <v>40513.502083333333</v>
      </c>
      <c r="G313" s="2">
        <v>2.95</v>
      </c>
      <c r="H313" s="2">
        <v>16583</v>
      </c>
      <c r="I313" s="2" t="s">
        <v>10</v>
      </c>
      <c r="J313" s="2">
        <f>ABS(DF_2[[#This Row],[Quantity_BEFORE]])</f>
        <v>6</v>
      </c>
      <c r="K313" s="2">
        <f>DF_2[[#This Row],[QUANTITY]]*DF_2[[#This Row],[UnitPrice]]</f>
        <v>17.700000000000003</v>
      </c>
    </row>
    <row r="314" spans="2:11" x14ac:dyDescent="0.25">
      <c r="B314" s="2">
        <v>536423</v>
      </c>
      <c r="C314" s="2">
        <v>21481</v>
      </c>
      <c r="D314" s="2" t="s">
        <v>510</v>
      </c>
      <c r="E314" s="2">
        <v>6</v>
      </c>
      <c r="F314" s="8">
        <v>40513.505555555559</v>
      </c>
      <c r="G314" s="2">
        <v>2.95</v>
      </c>
      <c r="H314" s="2">
        <v>18085</v>
      </c>
      <c r="I314" s="2" t="s">
        <v>10</v>
      </c>
      <c r="J314" s="2">
        <f>ABS(DF_2[[#This Row],[Quantity_BEFORE]])</f>
        <v>6</v>
      </c>
      <c r="K314" s="2">
        <f>DF_2[[#This Row],[QUANTITY]]*DF_2[[#This Row],[UnitPrice]]</f>
        <v>17.700000000000003</v>
      </c>
    </row>
    <row r="315" spans="2:11" x14ac:dyDescent="0.25">
      <c r="B315" s="2">
        <v>536502</v>
      </c>
      <c r="C315" s="2" t="s">
        <v>8</v>
      </c>
      <c r="D315" s="2" t="s">
        <v>9</v>
      </c>
      <c r="E315" s="2">
        <v>6</v>
      </c>
      <c r="F315" s="8">
        <v>40513.525000000001</v>
      </c>
      <c r="G315" s="2">
        <v>2.95</v>
      </c>
      <c r="H315" s="2">
        <v>16552</v>
      </c>
      <c r="I315" s="2" t="s">
        <v>10</v>
      </c>
      <c r="J315" s="2">
        <f>ABS(DF_2[[#This Row],[Quantity_BEFORE]])</f>
        <v>6</v>
      </c>
      <c r="K315" s="2">
        <f>DF_2[[#This Row],[QUANTITY]]*DF_2[[#This Row],[UnitPrice]]</f>
        <v>17.700000000000003</v>
      </c>
    </row>
    <row r="316" spans="2:11" x14ac:dyDescent="0.25">
      <c r="B316" s="2">
        <v>536514</v>
      </c>
      <c r="C316" s="2">
        <v>22807</v>
      </c>
      <c r="D316" s="2" t="s">
        <v>498</v>
      </c>
      <c r="E316" s="2">
        <v>6</v>
      </c>
      <c r="F316" s="8">
        <v>40513.527777777781</v>
      </c>
      <c r="G316" s="2">
        <v>2.95</v>
      </c>
      <c r="H316" s="2">
        <v>17951</v>
      </c>
      <c r="I316" s="2" t="s">
        <v>10</v>
      </c>
      <c r="J316" s="2">
        <f>ABS(DF_2[[#This Row],[Quantity_BEFORE]])</f>
        <v>6</v>
      </c>
      <c r="K316" s="2">
        <f>DF_2[[#This Row],[QUANTITY]]*DF_2[[#This Row],[UnitPrice]]</f>
        <v>17.700000000000003</v>
      </c>
    </row>
    <row r="317" spans="2:11" x14ac:dyDescent="0.25">
      <c r="B317" s="2">
        <v>536412</v>
      </c>
      <c r="C317" s="2">
        <v>21738</v>
      </c>
      <c r="D317" s="2" t="s">
        <v>433</v>
      </c>
      <c r="E317" s="2">
        <v>5</v>
      </c>
      <c r="F317" s="8">
        <v>40513.492361111108</v>
      </c>
      <c r="G317" s="2">
        <v>2.95</v>
      </c>
      <c r="H317" s="2">
        <v>17920</v>
      </c>
      <c r="I317" s="2" t="s">
        <v>10</v>
      </c>
      <c r="J317" s="2">
        <f>ABS(DF_2[[#This Row],[Quantity_BEFORE]])</f>
        <v>5</v>
      </c>
      <c r="K317" s="2">
        <f>DF_2[[#This Row],[QUANTITY]]*DF_2[[#This Row],[UnitPrice]]</f>
        <v>14.75</v>
      </c>
    </row>
    <row r="318" spans="2:11" x14ac:dyDescent="0.25">
      <c r="B318" s="2">
        <v>536415</v>
      </c>
      <c r="C318" s="2">
        <v>22910</v>
      </c>
      <c r="D318" s="2" t="s">
        <v>206</v>
      </c>
      <c r="E318" s="2">
        <v>5</v>
      </c>
      <c r="F318" s="8">
        <v>40513.497916666667</v>
      </c>
      <c r="G318" s="2">
        <v>2.95</v>
      </c>
      <c r="H318" s="2">
        <v>12838</v>
      </c>
      <c r="I318" s="2" t="s">
        <v>10</v>
      </c>
      <c r="J318" s="2">
        <f>ABS(DF_2[[#This Row],[Quantity_BEFORE]])</f>
        <v>5</v>
      </c>
      <c r="K318" s="2">
        <f>DF_2[[#This Row],[QUANTITY]]*DF_2[[#This Row],[UnitPrice]]</f>
        <v>14.75</v>
      </c>
    </row>
    <row r="319" spans="2:11" x14ac:dyDescent="0.25">
      <c r="B319" s="2">
        <v>536415</v>
      </c>
      <c r="C319" s="2">
        <v>22186</v>
      </c>
      <c r="D319" s="2" t="s">
        <v>462</v>
      </c>
      <c r="E319" s="2">
        <v>5</v>
      </c>
      <c r="F319" s="8">
        <v>40513.497916666667</v>
      </c>
      <c r="G319" s="2">
        <v>2.95</v>
      </c>
      <c r="H319" s="2">
        <v>12838</v>
      </c>
      <c r="I319" s="2" t="s">
        <v>10</v>
      </c>
      <c r="J319" s="2">
        <f>ABS(DF_2[[#This Row],[Quantity_BEFORE]])</f>
        <v>5</v>
      </c>
      <c r="K319" s="2">
        <f>DF_2[[#This Row],[QUANTITY]]*DF_2[[#This Row],[UnitPrice]]</f>
        <v>14.75</v>
      </c>
    </row>
    <row r="320" spans="2:11" x14ac:dyDescent="0.25">
      <c r="B320" s="2">
        <v>536381</v>
      </c>
      <c r="C320" s="2">
        <v>22086</v>
      </c>
      <c r="D320" s="2" t="s">
        <v>61</v>
      </c>
      <c r="E320" s="2">
        <v>4</v>
      </c>
      <c r="F320" s="8">
        <v>40513.40347222222</v>
      </c>
      <c r="G320" s="2">
        <v>2.95</v>
      </c>
      <c r="H320" s="2">
        <v>15311</v>
      </c>
      <c r="I320" s="2" t="s">
        <v>10</v>
      </c>
      <c r="J320" s="2">
        <f>ABS(DF_2[[#This Row],[Quantity_BEFORE]])</f>
        <v>4</v>
      </c>
      <c r="K320" s="2">
        <f>DF_2[[#This Row],[QUANTITY]]*DF_2[[#This Row],[UnitPrice]]</f>
        <v>11.8</v>
      </c>
    </row>
    <row r="321" spans="2:11" x14ac:dyDescent="0.25">
      <c r="B321" s="2">
        <v>536401</v>
      </c>
      <c r="C321" s="2">
        <v>22413</v>
      </c>
      <c r="D321" s="2" t="s">
        <v>290</v>
      </c>
      <c r="E321" s="2">
        <v>4</v>
      </c>
      <c r="F321" s="8">
        <v>40513.472916666666</v>
      </c>
      <c r="G321" s="2">
        <v>2.95</v>
      </c>
      <c r="H321" s="2">
        <v>15862</v>
      </c>
      <c r="I321" s="2" t="s">
        <v>10</v>
      </c>
      <c r="J321" s="2">
        <f>ABS(DF_2[[#This Row],[Quantity_BEFORE]])</f>
        <v>4</v>
      </c>
      <c r="K321" s="2">
        <f>DF_2[[#This Row],[QUANTITY]]*DF_2[[#This Row],[UnitPrice]]</f>
        <v>11.8</v>
      </c>
    </row>
    <row r="322" spans="2:11" x14ac:dyDescent="0.25">
      <c r="B322" s="2">
        <v>536401</v>
      </c>
      <c r="C322" s="2" t="s">
        <v>8</v>
      </c>
      <c r="D322" s="2" t="s">
        <v>9</v>
      </c>
      <c r="E322" s="2">
        <v>4</v>
      </c>
      <c r="F322" s="8">
        <v>40513.472916666666</v>
      </c>
      <c r="G322" s="2">
        <v>2.95</v>
      </c>
      <c r="H322" s="2">
        <v>15862</v>
      </c>
      <c r="I322" s="2" t="s">
        <v>10</v>
      </c>
      <c r="J322" s="2">
        <f>ABS(DF_2[[#This Row],[Quantity_BEFORE]])</f>
        <v>4</v>
      </c>
      <c r="K322" s="2">
        <f>DF_2[[#This Row],[QUANTITY]]*DF_2[[#This Row],[UnitPrice]]</f>
        <v>11.8</v>
      </c>
    </row>
    <row r="323" spans="2:11" x14ac:dyDescent="0.25">
      <c r="B323" s="2">
        <v>536401</v>
      </c>
      <c r="C323" s="2">
        <v>21033</v>
      </c>
      <c r="D323" s="2" t="s">
        <v>78</v>
      </c>
      <c r="E323" s="2">
        <v>4</v>
      </c>
      <c r="F323" s="8">
        <v>40513.472916666666</v>
      </c>
      <c r="G323" s="2">
        <v>2.95</v>
      </c>
      <c r="H323" s="2">
        <v>15862</v>
      </c>
      <c r="I323" s="2" t="s">
        <v>10</v>
      </c>
      <c r="J323" s="2">
        <f>ABS(DF_2[[#This Row],[Quantity_BEFORE]])</f>
        <v>4</v>
      </c>
      <c r="K323" s="2">
        <f>DF_2[[#This Row],[QUANTITY]]*DF_2[[#This Row],[UnitPrice]]</f>
        <v>11.8</v>
      </c>
    </row>
    <row r="324" spans="2:11" x14ac:dyDescent="0.25">
      <c r="B324" s="2">
        <v>536401</v>
      </c>
      <c r="C324" s="2">
        <v>22804</v>
      </c>
      <c r="D324" s="2" t="s">
        <v>309</v>
      </c>
      <c r="E324" s="2">
        <v>3</v>
      </c>
      <c r="F324" s="8">
        <v>40513.472916666666</v>
      </c>
      <c r="G324" s="2">
        <v>2.95</v>
      </c>
      <c r="H324" s="2">
        <v>15862</v>
      </c>
      <c r="I324" s="2" t="s">
        <v>10</v>
      </c>
      <c r="J324" s="2">
        <f>ABS(DF_2[[#This Row],[Quantity_BEFORE]])</f>
        <v>3</v>
      </c>
      <c r="K324" s="2">
        <f>DF_2[[#This Row],[QUANTITY]]*DF_2[[#This Row],[UnitPrice]]</f>
        <v>8.8500000000000014</v>
      </c>
    </row>
    <row r="325" spans="2:11" x14ac:dyDescent="0.25">
      <c r="B325" s="2">
        <v>536401</v>
      </c>
      <c r="C325" s="2" t="s">
        <v>315</v>
      </c>
      <c r="D325" s="2" t="s">
        <v>316</v>
      </c>
      <c r="E325" s="2">
        <v>3</v>
      </c>
      <c r="F325" s="8">
        <v>40513.472916666666</v>
      </c>
      <c r="G325" s="2">
        <v>2.95</v>
      </c>
      <c r="H325" s="2">
        <v>15862</v>
      </c>
      <c r="I325" s="2" t="s">
        <v>10</v>
      </c>
      <c r="J325" s="2">
        <f>ABS(DF_2[[#This Row],[Quantity_BEFORE]])</f>
        <v>3</v>
      </c>
      <c r="K325" s="2">
        <f>DF_2[[#This Row],[QUANTITY]]*DF_2[[#This Row],[UnitPrice]]</f>
        <v>8.8500000000000014</v>
      </c>
    </row>
    <row r="326" spans="2:11" x14ac:dyDescent="0.25">
      <c r="B326" s="2">
        <v>536401</v>
      </c>
      <c r="C326" s="2" t="s">
        <v>317</v>
      </c>
      <c r="D326" s="2" t="s">
        <v>318</v>
      </c>
      <c r="E326" s="2">
        <v>3</v>
      </c>
      <c r="F326" s="8">
        <v>40513.472916666666</v>
      </c>
      <c r="G326" s="2">
        <v>2.95</v>
      </c>
      <c r="H326" s="2">
        <v>15862</v>
      </c>
      <c r="I326" s="2" t="s">
        <v>10</v>
      </c>
      <c r="J326" s="2">
        <f>ABS(DF_2[[#This Row],[Quantity_BEFORE]])</f>
        <v>3</v>
      </c>
      <c r="K326" s="2">
        <f>DF_2[[#This Row],[QUANTITY]]*DF_2[[#This Row],[UnitPrice]]</f>
        <v>8.8500000000000014</v>
      </c>
    </row>
    <row r="327" spans="2:11" x14ac:dyDescent="0.25">
      <c r="B327" s="2">
        <v>536409</v>
      </c>
      <c r="C327" s="2" t="s">
        <v>315</v>
      </c>
      <c r="D327" s="2" t="s">
        <v>316</v>
      </c>
      <c r="E327" s="2">
        <v>3</v>
      </c>
      <c r="F327" s="8">
        <v>40513.489583333336</v>
      </c>
      <c r="G327" s="2">
        <v>2.95</v>
      </c>
      <c r="H327" s="2">
        <v>17908</v>
      </c>
      <c r="I327" s="2" t="s">
        <v>10</v>
      </c>
      <c r="J327" s="2">
        <f>ABS(DF_2[[#This Row],[Quantity_BEFORE]])</f>
        <v>3</v>
      </c>
      <c r="K327" s="2">
        <f>DF_2[[#This Row],[QUANTITY]]*DF_2[[#This Row],[UnitPrice]]</f>
        <v>8.8500000000000014</v>
      </c>
    </row>
    <row r="328" spans="2:11" x14ac:dyDescent="0.25">
      <c r="B328" s="2">
        <v>536415</v>
      </c>
      <c r="C328" s="2">
        <v>22900</v>
      </c>
      <c r="D328" s="2" t="s">
        <v>54</v>
      </c>
      <c r="E328" s="2">
        <v>3</v>
      </c>
      <c r="F328" s="8">
        <v>40513.497916666667</v>
      </c>
      <c r="G328" s="2">
        <v>2.95</v>
      </c>
      <c r="H328" s="2">
        <v>12838</v>
      </c>
      <c r="I328" s="2" t="s">
        <v>10</v>
      </c>
      <c r="J328" s="2">
        <f>ABS(DF_2[[#This Row],[Quantity_BEFORE]])</f>
        <v>3</v>
      </c>
      <c r="K328" s="2">
        <f>DF_2[[#This Row],[QUANTITY]]*DF_2[[#This Row],[UnitPrice]]</f>
        <v>8.8500000000000014</v>
      </c>
    </row>
    <row r="329" spans="2:11" x14ac:dyDescent="0.25">
      <c r="B329" s="2">
        <v>536415</v>
      </c>
      <c r="C329" s="2" t="s">
        <v>494</v>
      </c>
      <c r="D329" s="2" t="s">
        <v>495</v>
      </c>
      <c r="E329" s="2">
        <v>3</v>
      </c>
      <c r="F329" s="8">
        <v>40513.497916666667</v>
      </c>
      <c r="G329" s="2">
        <v>2.95</v>
      </c>
      <c r="H329" s="2">
        <v>12838</v>
      </c>
      <c r="I329" s="2" t="s">
        <v>10</v>
      </c>
      <c r="J329" s="2">
        <f>ABS(DF_2[[#This Row],[Quantity_BEFORE]])</f>
        <v>3</v>
      </c>
      <c r="K329" s="2">
        <f>DF_2[[#This Row],[QUANTITY]]*DF_2[[#This Row],[UnitPrice]]</f>
        <v>8.8500000000000014</v>
      </c>
    </row>
    <row r="330" spans="2:11" x14ac:dyDescent="0.25">
      <c r="B330" s="2">
        <v>536500</v>
      </c>
      <c r="C330" s="2">
        <v>22895</v>
      </c>
      <c r="D330" s="2" t="s">
        <v>635</v>
      </c>
      <c r="E330" s="2">
        <v>3</v>
      </c>
      <c r="F330" s="8">
        <v>40513.524305555555</v>
      </c>
      <c r="G330" s="2">
        <v>2.95</v>
      </c>
      <c r="H330" s="2">
        <v>17377</v>
      </c>
      <c r="I330" s="2" t="s">
        <v>10</v>
      </c>
      <c r="J330" s="2">
        <f>ABS(DF_2[[#This Row],[Quantity_BEFORE]])</f>
        <v>3</v>
      </c>
      <c r="K330" s="2">
        <f>DF_2[[#This Row],[QUANTITY]]*DF_2[[#This Row],[UnitPrice]]</f>
        <v>8.8500000000000014</v>
      </c>
    </row>
    <row r="331" spans="2:11" x14ac:dyDescent="0.25">
      <c r="B331" s="2">
        <v>536500</v>
      </c>
      <c r="C331" s="2">
        <v>21035</v>
      </c>
      <c r="D331" s="2" t="s">
        <v>47</v>
      </c>
      <c r="E331" s="2">
        <v>3</v>
      </c>
      <c r="F331" s="8">
        <v>40513.524305555555</v>
      </c>
      <c r="G331" s="2">
        <v>2.95</v>
      </c>
      <c r="H331" s="2">
        <v>17377</v>
      </c>
      <c r="I331" s="2" t="s">
        <v>10</v>
      </c>
      <c r="J331" s="2">
        <f>ABS(DF_2[[#This Row],[Quantity_BEFORE]])</f>
        <v>3</v>
      </c>
      <c r="K331" s="2">
        <f>DF_2[[#This Row],[QUANTITY]]*DF_2[[#This Row],[UnitPrice]]</f>
        <v>8.8500000000000014</v>
      </c>
    </row>
    <row r="332" spans="2:11" x14ac:dyDescent="0.25">
      <c r="B332" s="2">
        <v>536520</v>
      </c>
      <c r="C332" s="2" t="s">
        <v>8</v>
      </c>
      <c r="D332" s="2" t="s">
        <v>9</v>
      </c>
      <c r="E332" s="2">
        <v>3</v>
      </c>
      <c r="F332" s="8">
        <v>40513.529861111114</v>
      </c>
      <c r="G332" s="2">
        <v>2.95</v>
      </c>
      <c r="H332" s="2">
        <v>14729</v>
      </c>
      <c r="I332" s="2" t="s">
        <v>10</v>
      </c>
      <c r="J332" s="2">
        <f>ABS(DF_2[[#This Row],[Quantity_BEFORE]])</f>
        <v>3</v>
      </c>
      <c r="K332" s="2">
        <f>DF_2[[#This Row],[QUANTITY]]*DF_2[[#This Row],[UnitPrice]]</f>
        <v>8.8500000000000014</v>
      </c>
    </row>
    <row r="333" spans="2:11" x14ac:dyDescent="0.25">
      <c r="B333" s="2">
        <v>536520</v>
      </c>
      <c r="C333" s="2">
        <v>22904</v>
      </c>
      <c r="D333" s="2" t="s">
        <v>668</v>
      </c>
      <c r="E333" s="2">
        <v>3</v>
      </c>
      <c r="F333" s="8">
        <v>40513.529861111114</v>
      </c>
      <c r="G333" s="2">
        <v>2.95</v>
      </c>
      <c r="H333" s="2">
        <v>14729</v>
      </c>
      <c r="I333" s="2" t="s">
        <v>10</v>
      </c>
      <c r="J333" s="2">
        <f>ABS(DF_2[[#This Row],[Quantity_BEFORE]])</f>
        <v>3</v>
      </c>
      <c r="K333" s="2">
        <f>DF_2[[#This Row],[QUANTITY]]*DF_2[[#This Row],[UnitPrice]]</f>
        <v>8.8500000000000014</v>
      </c>
    </row>
    <row r="334" spans="2:11" x14ac:dyDescent="0.25">
      <c r="B334" s="2">
        <v>536381</v>
      </c>
      <c r="C334" s="2">
        <v>21557</v>
      </c>
      <c r="D334" s="2" t="s">
        <v>127</v>
      </c>
      <c r="E334" s="2">
        <v>2</v>
      </c>
      <c r="F334" s="8">
        <v>40513.40347222222</v>
      </c>
      <c r="G334" s="2">
        <v>2.95</v>
      </c>
      <c r="H334" s="2">
        <v>15311</v>
      </c>
      <c r="I334" s="2" t="s">
        <v>10</v>
      </c>
      <c r="J334" s="2">
        <f>ABS(DF_2[[#This Row],[Quantity_BEFORE]])</f>
        <v>2</v>
      </c>
      <c r="K334" s="2">
        <f>DF_2[[#This Row],[QUANTITY]]*DF_2[[#This Row],[UnitPrice]]</f>
        <v>5.9</v>
      </c>
    </row>
    <row r="335" spans="2:11" x14ac:dyDescent="0.25">
      <c r="B335" s="2">
        <v>536401</v>
      </c>
      <c r="C335" s="2">
        <v>21743</v>
      </c>
      <c r="D335" s="2" t="s">
        <v>302</v>
      </c>
      <c r="E335" s="2">
        <v>2</v>
      </c>
      <c r="F335" s="8">
        <v>40513.472916666666</v>
      </c>
      <c r="G335" s="2">
        <v>2.95</v>
      </c>
      <c r="H335" s="2">
        <v>15862</v>
      </c>
      <c r="I335" s="2" t="s">
        <v>10</v>
      </c>
      <c r="J335" s="2">
        <f>ABS(DF_2[[#This Row],[Quantity_BEFORE]])</f>
        <v>2</v>
      </c>
      <c r="K335" s="2">
        <f>DF_2[[#This Row],[QUANTITY]]*DF_2[[#This Row],[UnitPrice]]</f>
        <v>5.9</v>
      </c>
    </row>
    <row r="336" spans="2:11" x14ac:dyDescent="0.25">
      <c r="B336" s="2">
        <v>536401</v>
      </c>
      <c r="C336" s="2">
        <v>21744</v>
      </c>
      <c r="D336" s="2" t="s">
        <v>303</v>
      </c>
      <c r="E336" s="2">
        <v>2</v>
      </c>
      <c r="F336" s="8">
        <v>40513.472916666666</v>
      </c>
      <c r="G336" s="2">
        <v>2.95</v>
      </c>
      <c r="H336" s="2">
        <v>15862</v>
      </c>
      <c r="I336" s="2" t="s">
        <v>10</v>
      </c>
      <c r="J336" s="2">
        <f>ABS(DF_2[[#This Row],[Quantity_BEFORE]])</f>
        <v>2</v>
      </c>
      <c r="K336" s="2">
        <f>DF_2[[#This Row],[QUANTITY]]*DF_2[[#This Row],[UnitPrice]]</f>
        <v>5.9</v>
      </c>
    </row>
    <row r="337" spans="2:11" x14ac:dyDescent="0.25">
      <c r="B337" s="2">
        <v>536412</v>
      </c>
      <c r="C337" s="2">
        <v>21738</v>
      </c>
      <c r="D337" s="2" t="s">
        <v>433</v>
      </c>
      <c r="E337" s="2">
        <v>2</v>
      </c>
      <c r="F337" s="8">
        <v>40513.492361111108</v>
      </c>
      <c r="G337" s="2">
        <v>2.95</v>
      </c>
      <c r="H337" s="2">
        <v>17920</v>
      </c>
      <c r="I337" s="2" t="s">
        <v>10</v>
      </c>
      <c r="J337" s="2">
        <f>ABS(DF_2[[#This Row],[Quantity_BEFORE]])</f>
        <v>2</v>
      </c>
      <c r="K337" s="2">
        <f>DF_2[[#This Row],[QUANTITY]]*DF_2[[#This Row],[UnitPrice]]</f>
        <v>5.9</v>
      </c>
    </row>
    <row r="338" spans="2:11" x14ac:dyDescent="0.25">
      <c r="B338" s="2">
        <v>536412</v>
      </c>
      <c r="C338" s="2">
        <v>21739</v>
      </c>
      <c r="D338" s="2" t="s">
        <v>439</v>
      </c>
      <c r="E338" s="2">
        <v>2</v>
      </c>
      <c r="F338" s="8">
        <v>40513.492361111108</v>
      </c>
      <c r="G338" s="2">
        <v>2.95</v>
      </c>
      <c r="H338" s="2">
        <v>17920</v>
      </c>
      <c r="I338" s="2" t="s">
        <v>10</v>
      </c>
      <c r="J338" s="2">
        <f>ABS(DF_2[[#This Row],[Quantity_BEFORE]])</f>
        <v>2</v>
      </c>
      <c r="K338" s="2">
        <f>DF_2[[#This Row],[QUANTITY]]*DF_2[[#This Row],[UnitPrice]]</f>
        <v>5.9</v>
      </c>
    </row>
    <row r="339" spans="2:11" x14ac:dyDescent="0.25">
      <c r="B339" s="2">
        <v>536412</v>
      </c>
      <c r="C339" s="2">
        <v>22271</v>
      </c>
      <c r="D339" s="2" t="s">
        <v>440</v>
      </c>
      <c r="E339" s="2">
        <v>2</v>
      </c>
      <c r="F339" s="8">
        <v>40513.492361111108</v>
      </c>
      <c r="G339" s="2">
        <v>2.95</v>
      </c>
      <c r="H339" s="2">
        <v>17920</v>
      </c>
      <c r="I339" s="2" t="s">
        <v>10</v>
      </c>
      <c r="J339" s="2">
        <f>ABS(DF_2[[#This Row],[Quantity_BEFORE]])</f>
        <v>2</v>
      </c>
      <c r="K339" s="2">
        <f>DF_2[[#This Row],[QUANTITY]]*DF_2[[#This Row],[UnitPrice]]</f>
        <v>5.9</v>
      </c>
    </row>
    <row r="340" spans="2:11" x14ac:dyDescent="0.25">
      <c r="B340" s="2">
        <v>536412</v>
      </c>
      <c r="C340" s="2">
        <v>22274</v>
      </c>
      <c r="D340" s="2" t="s">
        <v>441</v>
      </c>
      <c r="E340" s="2">
        <v>2</v>
      </c>
      <c r="F340" s="8">
        <v>40513.492361111108</v>
      </c>
      <c r="G340" s="2">
        <v>2.95</v>
      </c>
      <c r="H340" s="2">
        <v>17920</v>
      </c>
      <c r="I340" s="2" t="s">
        <v>10</v>
      </c>
      <c r="J340" s="2">
        <f>ABS(DF_2[[#This Row],[Quantity_BEFORE]])</f>
        <v>2</v>
      </c>
      <c r="K340" s="2">
        <f>DF_2[[#This Row],[QUANTITY]]*DF_2[[#This Row],[UnitPrice]]</f>
        <v>5.9</v>
      </c>
    </row>
    <row r="341" spans="2:11" x14ac:dyDescent="0.25">
      <c r="B341" s="2">
        <v>536412</v>
      </c>
      <c r="C341" s="2">
        <v>22273</v>
      </c>
      <c r="D341" s="2" t="s">
        <v>429</v>
      </c>
      <c r="E341" s="2">
        <v>2</v>
      </c>
      <c r="F341" s="8">
        <v>40513.492361111108</v>
      </c>
      <c r="G341" s="2">
        <v>2.95</v>
      </c>
      <c r="H341" s="2">
        <v>17920</v>
      </c>
      <c r="I341" s="2" t="s">
        <v>10</v>
      </c>
      <c r="J341" s="2">
        <f>ABS(DF_2[[#This Row],[Quantity_BEFORE]])</f>
        <v>2</v>
      </c>
      <c r="K341" s="2">
        <f>DF_2[[#This Row],[QUANTITY]]*DF_2[[#This Row],[UnitPrice]]</f>
        <v>5.9</v>
      </c>
    </row>
    <row r="342" spans="2:11" x14ac:dyDescent="0.25">
      <c r="B342" s="2">
        <v>536412</v>
      </c>
      <c r="C342" s="2">
        <v>22900</v>
      </c>
      <c r="D342" s="2" t="s">
        <v>54</v>
      </c>
      <c r="E342" s="2">
        <v>2</v>
      </c>
      <c r="F342" s="8">
        <v>40513.492361111108</v>
      </c>
      <c r="G342" s="2">
        <v>2.95</v>
      </c>
      <c r="H342" s="2">
        <v>17920</v>
      </c>
      <c r="I342" s="2" t="s">
        <v>10</v>
      </c>
      <c r="J342" s="2">
        <f>ABS(DF_2[[#This Row],[Quantity_BEFORE]])</f>
        <v>2</v>
      </c>
      <c r="K342" s="2">
        <f>DF_2[[#This Row],[QUANTITY]]*DF_2[[#This Row],[UnitPrice]]</f>
        <v>5.9</v>
      </c>
    </row>
    <row r="343" spans="2:11" x14ac:dyDescent="0.25">
      <c r="B343" s="2">
        <v>536412</v>
      </c>
      <c r="C343" s="2">
        <v>22900</v>
      </c>
      <c r="D343" s="2" t="s">
        <v>54</v>
      </c>
      <c r="E343" s="2">
        <v>2</v>
      </c>
      <c r="F343" s="8">
        <v>40513.492361111108</v>
      </c>
      <c r="G343" s="2">
        <v>2.95</v>
      </c>
      <c r="H343" s="2">
        <v>17920</v>
      </c>
      <c r="I343" s="2" t="s">
        <v>10</v>
      </c>
      <c r="J343" s="2">
        <f>ABS(DF_2[[#This Row],[Quantity_BEFORE]])</f>
        <v>2</v>
      </c>
      <c r="K343" s="2">
        <f>DF_2[[#This Row],[QUANTITY]]*DF_2[[#This Row],[UnitPrice]]</f>
        <v>5.9</v>
      </c>
    </row>
    <row r="344" spans="2:11" x14ac:dyDescent="0.25">
      <c r="B344" s="2">
        <v>536446</v>
      </c>
      <c r="C344" s="2">
        <v>21890</v>
      </c>
      <c r="D344" s="2" t="s">
        <v>502</v>
      </c>
      <c r="E344" s="2">
        <v>2</v>
      </c>
      <c r="F344" s="8">
        <v>40513.510416666664</v>
      </c>
      <c r="G344" s="2">
        <v>2.95</v>
      </c>
      <c r="H344" s="2">
        <v>15983</v>
      </c>
      <c r="I344" s="2" t="s">
        <v>10</v>
      </c>
      <c r="J344" s="2">
        <f>ABS(DF_2[[#This Row],[Quantity_BEFORE]])</f>
        <v>2</v>
      </c>
      <c r="K344" s="2">
        <f>DF_2[[#This Row],[QUANTITY]]*DF_2[[#This Row],[UnitPrice]]</f>
        <v>5.9</v>
      </c>
    </row>
    <row r="345" spans="2:11" x14ac:dyDescent="0.25">
      <c r="B345" s="2">
        <v>536464</v>
      </c>
      <c r="C345" s="2">
        <v>22744</v>
      </c>
      <c r="D345" s="2" t="s">
        <v>569</v>
      </c>
      <c r="E345" s="2">
        <v>2</v>
      </c>
      <c r="F345" s="8">
        <v>40513.515972222223</v>
      </c>
      <c r="G345" s="2">
        <v>2.95</v>
      </c>
      <c r="H345" s="2">
        <v>17968</v>
      </c>
      <c r="I345" s="2" t="s">
        <v>10</v>
      </c>
      <c r="J345" s="2">
        <f>ABS(DF_2[[#This Row],[Quantity_BEFORE]])</f>
        <v>2</v>
      </c>
      <c r="K345" s="2">
        <f>DF_2[[#This Row],[QUANTITY]]*DF_2[[#This Row],[UnitPrice]]</f>
        <v>5.9</v>
      </c>
    </row>
    <row r="346" spans="2:11" x14ac:dyDescent="0.25">
      <c r="B346" s="2">
        <v>536520</v>
      </c>
      <c r="C346" s="2">
        <v>22905</v>
      </c>
      <c r="D346" s="2" t="s">
        <v>669</v>
      </c>
      <c r="E346" s="2">
        <v>2</v>
      </c>
      <c r="F346" s="8">
        <v>40513.529861111114</v>
      </c>
      <c r="G346" s="2">
        <v>2.95</v>
      </c>
      <c r="H346" s="2">
        <v>14729</v>
      </c>
      <c r="I346" s="2" t="s">
        <v>10</v>
      </c>
      <c r="J346" s="2">
        <f>ABS(DF_2[[#This Row],[Quantity_BEFORE]])</f>
        <v>2</v>
      </c>
      <c r="K346" s="2">
        <f>DF_2[[#This Row],[QUANTITY]]*DF_2[[#This Row],[UnitPrice]]</f>
        <v>5.9</v>
      </c>
    </row>
    <row r="347" spans="2:11" x14ac:dyDescent="0.25">
      <c r="B347" s="2">
        <v>536381</v>
      </c>
      <c r="C347" s="2" t="s">
        <v>115</v>
      </c>
      <c r="D347" s="2" t="s">
        <v>116</v>
      </c>
      <c r="E347" s="2">
        <v>1</v>
      </c>
      <c r="F347" s="8">
        <v>40513.40347222222</v>
      </c>
      <c r="G347" s="2">
        <v>2.95</v>
      </c>
      <c r="H347" s="2">
        <v>15311</v>
      </c>
      <c r="I347" s="2" t="s">
        <v>10</v>
      </c>
      <c r="J347" s="2">
        <f>ABS(DF_2[[#This Row],[Quantity_BEFORE]])</f>
        <v>1</v>
      </c>
      <c r="K347" s="2">
        <f>DF_2[[#This Row],[QUANTITY]]*DF_2[[#This Row],[UnitPrice]]</f>
        <v>2.95</v>
      </c>
    </row>
    <row r="348" spans="2:11" x14ac:dyDescent="0.25">
      <c r="B348" s="2">
        <v>536381</v>
      </c>
      <c r="C348" s="2" t="s">
        <v>117</v>
      </c>
      <c r="D348" s="2" t="s">
        <v>118</v>
      </c>
      <c r="E348" s="2">
        <v>1</v>
      </c>
      <c r="F348" s="8">
        <v>40513.40347222222</v>
      </c>
      <c r="G348" s="2">
        <v>2.95</v>
      </c>
      <c r="H348" s="2">
        <v>15311</v>
      </c>
      <c r="I348" s="2" t="s">
        <v>10</v>
      </c>
      <c r="J348" s="2">
        <f>ABS(DF_2[[#This Row],[Quantity_BEFORE]])</f>
        <v>1</v>
      </c>
      <c r="K348" s="2">
        <f>DF_2[[#This Row],[QUANTITY]]*DF_2[[#This Row],[UnitPrice]]</f>
        <v>2.95</v>
      </c>
    </row>
    <row r="349" spans="2:11" x14ac:dyDescent="0.25">
      <c r="B349" s="2">
        <v>536381</v>
      </c>
      <c r="C349" s="2">
        <v>22083</v>
      </c>
      <c r="D349" s="2" t="s">
        <v>119</v>
      </c>
      <c r="E349" s="2">
        <v>1</v>
      </c>
      <c r="F349" s="8">
        <v>40513.40347222222</v>
      </c>
      <c r="G349" s="2">
        <v>2.95</v>
      </c>
      <c r="H349" s="2">
        <v>15311</v>
      </c>
      <c r="I349" s="2" t="s">
        <v>10</v>
      </c>
      <c r="J349" s="2">
        <f>ABS(DF_2[[#This Row],[Quantity_BEFORE]])</f>
        <v>1</v>
      </c>
      <c r="K349" s="2">
        <f>DF_2[[#This Row],[QUANTITY]]*DF_2[[#This Row],[UnitPrice]]</f>
        <v>2.95</v>
      </c>
    </row>
    <row r="350" spans="2:11" x14ac:dyDescent="0.25">
      <c r="B350" s="2">
        <v>536381</v>
      </c>
      <c r="C350" s="2">
        <v>22176</v>
      </c>
      <c r="D350" s="2" t="s">
        <v>133</v>
      </c>
      <c r="E350" s="2">
        <v>1</v>
      </c>
      <c r="F350" s="8">
        <v>40513.40347222222</v>
      </c>
      <c r="G350" s="2">
        <v>2.95</v>
      </c>
      <c r="H350" s="2">
        <v>15311</v>
      </c>
      <c r="I350" s="2" t="s">
        <v>10</v>
      </c>
      <c r="J350" s="2">
        <f>ABS(DF_2[[#This Row],[Quantity_BEFORE]])</f>
        <v>1</v>
      </c>
      <c r="K350" s="2">
        <f>DF_2[[#This Row],[QUANTITY]]*DF_2[[#This Row],[UnitPrice]]</f>
        <v>2.95</v>
      </c>
    </row>
    <row r="351" spans="2:11" x14ac:dyDescent="0.25">
      <c r="B351" s="2">
        <v>536401</v>
      </c>
      <c r="C351" s="2">
        <v>22766</v>
      </c>
      <c r="D351" s="2" t="s">
        <v>265</v>
      </c>
      <c r="E351" s="2">
        <v>1</v>
      </c>
      <c r="F351" s="8">
        <v>40513.472916666666</v>
      </c>
      <c r="G351" s="2">
        <v>2.95</v>
      </c>
      <c r="H351" s="2">
        <v>15862</v>
      </c>
      <c r="I351" s="2" t="s">
        <v>10</v>
      </c>
      <c r="J351" s="2">
        <f>ABS(DF_2[[#This Row],[Quantity_BEFORE]])</f>
        <v>1</v>
      </c>
      <c r="K351" s="2">
        <f>DF_2[[#This Row],[QUANTITY]]*DF_2[[#This Row],[UnitPrice]]</f>
        <v>2.95</v>
      </c>
    </row>
    <row r="352" spans="2:11" x14ac:dyDescent="0.25">
      <c r="B352" s="2">
        <v>536401</v>
      </c>
      <c r="C352" s="2">
        <v>22117</v>
      </c>
      <c r="D352" s="2" t="s">
        <v>285</v>
      </c>
      <c r="E352" s="2">
        <v>1</v>
      </c>
      <c r="F352" s="8">
        <v>40513.472916666666</v>
      </c>
      <c r="G352" s="2">
        <v>2.95</v>
      </c>
      <c r="H352" s="2">
        <v>15862</v>
      </c>
      <c r="I352" s="2" t="s">
        <v>10</v>
      </c>
      <c r="J352" s="2">
        <f>ABS(DF_2[[#This Row],[Quantity_BEFORE]])</f>
        <v>1</v>
      </c>
      <c r="K352" s="2">
        <f>DF_2[[#This Row],[QUANTITY]]*DF_2[[#This Row],[UnitPrice]]</f>
        <v>2.95</v>
      </c>
    </row>
    <row r="353" spans="2:11" x14ac:dyDescent="0.25">
      <c r="B353" s="2">
        <v>536401</v>
      </c>
      <c r="C353" s="2">
        <v>22810</v>
      </c>
      <c r="D353" s="2" t="s">
        <v>295</v>
      </c>
      <c r="E353" s="2">
        <v>1</v>
      </c>
      <c r="F353" s="8">
        <v>40513.472916666666</v>
      </c>
      <c r="G353" s="2">
        <v>2.95</v>
      </c>
      <c r="H353" s="2">
        <v>15862</v>
      </c>
      <c r="I353" s="2" t="s">
        <v>10</v>
      </c>
      <c r="J353" s="2">
        <f>ABS(DF_2[[#This Row],[Quantity_BEFORE]])</f>
        <v>1</v>
      </c>
      <c r="K353" s="2">
        <f>DF_2[[#This Row],[QUANTITY]]*DF_2[[#This Row],[UnitPrice]]</f>
        <v>2.95</v>
      </c>
    </row>
    <row r="354" spans="2:11" x14ac:dyDescent="0.25">
      <c r="B354" s="2">
        <v>536401</v>
      </c>
      <c r="C354" s="2">
        <v>22809</v>
      </c>
      <c r="D354" s="2" t="s">
        <v>296</v>
      </c>
      <c r="E354" s="2">
        <v>1</v>
      </c>
      <c r="F354" s="8">
        <v>40513.472916666666</v>
      </c>
      <c r="G354" s="2">
        <v>2.95</v>
      </c>
      <c r="H354" s="2">
        <v>15862</v>
      </c>
      <c r="I354" s="2" t="s">
        <v>10</v>
      </c>
      <c r="J354" s="2">
        <f>ABS(DF_2[[#This Row],[Quantity_BEFORE]])</f>
        <v>1</v>
      </c>
      <c r="K354" s="2">
        <f>DF_2[[#This Row],[QUANTITY]]*DF_2[[#This Row],[UnitPrice]]</f>
        <v>2.95</v>
      </c>
    </row>
    <row r="355" spans="2:11" x14ac:dyDescent="0.25">
      <c r="B355" s="2">
        <v>536409</v>
      </c>
      <c r="C355" s="2">
        <v>21609</v>
      </c>
      <c r="D355" s="2" t="s">
        <v>389</v>
      </c>
      <c r="E355" s="2">
        <v>1</v>
      </c>
      <c r="F355" s="8">
        <v>40513.489583333336</v>
      </c>
      <c r="G355" s="2">
        <v>2.95</v>
      </c>
      <c r="H355" s="2">
        <v>17908</v>
      </c>
      <c r="I355" s="2" t="s">
        <v>10</v>
      </c>
      <c r="J355" s="2">
        <f>ABS(DF_2[[#This Row],[Quantity_BEFORE]])</f>
        <v>1</v>
      </c>
      <c r="K355" s="2">
        <f>DF_2[[#This Row],[QUANTITY]]*DF_2[[#This Row],[UnitPrice]]</f>
        <v>2.95</v>
      </c>
    </row>
    <row r="356" spans="2:11" x14ac:dyDescent="0.25">
      <c r="B356" s="2">
        <v>536409</v>
      </c>
      <c r="C356" s="2" t="s">
        <v>392</v>
      </c>
      <c r="D356" s="2" t="s">
        <v>393</v>
      </c>
      <c r="E356" s="2">
        <v>1</v>
      </c>
      <c r="F356" s="8">
        <v>40513.489583333336</v>
      </c>
      <c r="G356" s="2">
        <v>2.95</v>
      </c>
      <c r="H356" s="2">
        <v>17908</v>
      </c>
      <c r="I356" s="2" t="s">
        <v>10</v>
      </c>
      <c r="J356" s="2">
        <f>ABS(DF_2[[#This Row],[Quantity_BEFORE]])</f>
        <v>1</v>
      </c>
      <c r="K356" s="2">
        <f>DF_2[[#This Row],[QUANTITY]]*DF_2[[#This Row],[UnitPrice]]</f>
        <v>2.95</v>
      </c>
    </row>
    <row r="357" spans="2:11" x14ac:dyDescent="0.25">
      <c r="B357" s="2">
        <v>536409</v>
      </c>
      <c r="C357" s="2" t="s">
        <v>394</v>
      </c>
      <c r="D357" s="2" t="s">
        <v>395</v>
      </c>
      <c r="E357" s="2">
        <v>1</v>
      </c>
      <c r="F357" s="8">
        <v>40513.489583333336</v>
      </c>
      <c r="G357" s="2">
        <v>2.95</v>
      </c>
      <c r="H357" s="2">
        <v>17908</v>
      </c>
      <c r="I357" s="2" t="s">
        <v>10</v>
      </c>
      <c r="J357" s="2">
        <f>ABS(DF_2[[#This Row],[Quantity_BEFORE]])</f>
        <v>1</v>
      </c>
      <c r="K357" s="2">
        <f>DF_2[[#This Row],[QUANTITY]]*DF_2[[#This Row],[UnitPrice]]</f>
        <v>2.95</v>
      </c>
    </row>
    <row r="358" spans="2:11" x14ac:dyDescent="0.25">
      <c r="B358" s="2">
        <v>536409</v>
      </c>
      <c r="C358" s="2" t="s">
        <v>317</v>
      </c>
      <c r="D358" s="2" t="s">
        <v>318</v>
      </c>
      <c r="E358" s="2">
        <v>1</v>
      </c>
      <c r="F358" s="8">
        <v>40513.489583333336</v>
      </c>
      <c r="G358" s="2">
        <v>2.95</v>
      </c>
      <c r="H358" s="2">
        <v>17908</v>
      </c>
      <c r="I358" s="2" t="s">
        <v>10</v>
      </c>
      <c r="J358" s="2">
        <f>ABS(DF_2[[#This Row],[Quantity_BEFORE]])</f>
        <v>1</v>
      </c>
      <c r="K358" s="2">
        <f>DF_2[[#This Row],[QUANTITY]]*DF_2[[#This Row],[UnitPrice]]</f>
        <v>2.95</v>
      </c>
    </row>
    <row r="359" spans="2:11" x14ac:dyDescent="0.25">
      <c r="B359" s="2">
        <v>536409</v>
      </c>
      <c r="C359" s="2">
        <v>22900</v>
      </c>
      <c r="D359" s="2" t="s">
        <v>54</v>
      </c>
      <c r="E359" s="2">
        <v>1</v>
      </c>
      <c r="F359" s="8">
        <v>40513.489583333336</v>
      </c>
      <c r="G359" s="2">
        <v>2.95</v>
      </c>
      <c r="H359" s="2">
        <v>17908</v>
      </c>
      <c r="I359" s="2" t="s">
        <v>10</v>
      </c>
      <c r="J359" s="2">
        <f>ABS(DF_2[[#This Row],[Quantity_BEFORE]])</f>
        <v>1</v>
      </c>
      <c r="K359" s="2">
        <f>DF_2[[#This Row],[QUANTITY]]*DF_2[[#This Row],[UnitPrice]]</f>
        <v>2.95</v>
      </c>
    </row>
    <row r="360" spans="2:11" x14ac:dyDescent="0.25">
      <c r="B360" s="2">
        <v>536409</v>
      </c>
      <c r="C360" s="2">
        <v>22900</v>
      </c>
      <c r="D360" s="2" t="s">
        <v>54</v>
      </c>
      <c r="E360" s="2">
        <v>1</v>
      </c>
      <c r="F360" s="8">
        <v>40513.489583333336</v>
      </c>
      <c r="G360" s="2">
        <v>2.95</v>
      </c>
      <c r="H360" s="2">
        <v>17908</v>
      </c>
      <c r="I360" s="2" t="s">
        <v>10</v>
      </c>
      <c r="J360" s="2">
        <f>ABS(DF_2[[#This Row],[Quantity_BEFORE]])</f>
        <v>1</v>
      </c>
      <c r="K360" s="2">
        <f>DF_2[[#This Row],[QUANTITY]]*DF_2[[#This Row],[UnitPrice]]</f>
        <v>2.95</v>
      </c>
    </row>
    <row r="361" spans="2:11" x14ac:dyDescent="0.25">
      <c r="B361" s="2">
        <v>536412</v>
      </c>
      <c r="C361" s="2">
        <v>22326</v>
      </c>
      <c r="D361" s="2" t="s">
        <v>48</v>
      </c>
      <c r="E361" s="2">
        <v>1</v>
      </c>
      <c r="F361" s="8">
        <v>40513.492361111108</v>
      </c>
      <c r="G361" s="2">
        <v>2.95</v>
      </c>
      <c r="H361" s="2">
        <v>17920</v>
      </c>
      <c r="I361" s="2" t="s">
        <v>10</v>
      </c>
      <c r="J361" s="2">
        <f>ABS(DF_2[[#This Row],[Quantity_BEFORE]])</f>
        <v>1</v>
      </c>
      <c r="K361" s="2">
        <f>DF_2[[#This Row],[QUANTITY]]*DF_2[[#This Row],[UnitPrice]]</f>
        <v>2.95</v>
      </c>
    </row>
    <row r="362" spans="2:11" x14ac:dyDescent="0.25">
      <c r="B362" s="2">
        <v>536412</v>
      </c>
      <c r="C362" s="2">
        <v>22328</v>
      </c>
      <c r="D362" s="2" t="s">
        <v>422</v>
      </c>
      <c r="E362" s="2">
        <v>1</v>
      </c>
      <c r="F362" s="8">
        <v>40513.492361111108</v>
      </c>
      <c r="G362" s="2">
        <v>2.95</v>
      </c>
      <c r="H362" s="2">
        <v>17920</v>
      </c>
      <c r="I362" s="2" t="s">
        <v>10</v>
      </c>
      <c r="J362" s="2">
        <f>ABS(DF_2[[#This Row],[Quantity_BEFORE]])</f>
        <v>1</v>
      </c>
      <c r="K362" s="2">
        <f>DF_2[[#This Row],[QUANTITY]]*DF_2[[#This Row],[UnitPrice]]</f>
        <v>2.95</v>
      </c>
    </row>
    <row r="363" spans="2:11" x14ac:dyDescent="0.25">
      <c r="B363" s="2">
        <v>536412</v>
      </c>
      <c r="C363" s="2">
        <v>22327</v>
      </c>
      <c r="D363" s="2" t="s">
        <v>423</v>
      </c>
      <c r="E363" s="2">
        <v>1</v>
      </c>
      <c r="F363" s="8">
        <v>40513.492361111108</v>
      </c>
      <c r="G363" s="2">
        <v>2.95</v>
      </c>
      <c r="H363" s="2">
        <v>17920</v>
      </c>
      <c r="I363" s="2" t="s">
        <v>10</v>
      </c>
      <c r="J363" s="2">
        <f>ABS(DF_2[[#This Row],[Quantity_BEFORE]])</f>
        <v>1</v>
      </c>
      <c r="K363" s="2">
        <f>DF_2[[#This Row],[QUANTITY]]*DF_2[[#This Row],[UnitPrice]]</f>
        <v>2.95</v>
      </c>
    </row>
    <row r="364" spans="2:11" x14ac:dyDescent="0.25">
      <c r="B364" s="2">
        <v>536412</v>
      </c>
      <c r="C364" s="2">
        <v>22327</v>
      </c>
      <c r="D364" s="2" t="s">
        <v>423</v>
      </c>
      <c r="E364" s="2">
        <v>1</v>
      </c>
      <c r="F364" s="8">
        <v>40513.492361111108</v>
      </c>
      <c r="G364" s="2">
        <v>2.95</v>
      </c>
      <c r="H364" s="2">
        <v>17920</v>
      </c>
      <c r="I364" s="2" t="s">
        <v>10</v>
      </c>
      <c r="J364" s="2">
        <f>ABS(DF_2[[#This Row],[Quantity_BEFORE]])</f>
        <v>1</v>
      </c>
      <c r="K364" s="2">
        <f>DF_2[[#This Row],[QUANTITY]]*DF_2[[#This Row],[UnitPrice]]</f>
        <v>2.95</v>
      </c>
    </row>
    <row r="365" spans="2:11" x14ac:dyDescent="0.25">
      <c r="B365" s="2">
        <v>536412</v>
      </c>
      <c r="C365" s="2">
        <v>22273</v>
      </c>
      <c r="D365" s="2" t="s">
        <v>429</v>
      </c>
      <c r="E365" s="2">
        <v>1</v>
      </c>
      <c r="F365" s="8">
        <v>40513.492361111108</v>
      </c>
      <c r="G365" s="2">
        <v>2.95</v>
      </c>
      <c r="H365" s="2">
        <v>17920</v>
      </c>
      <c r="I365" s="2" t="s">
        <v>10</v>
      </c>
      <c r="J365" s="2">
        <f>ABS(DF_2[[#This Row],[Quantity_BEFORE]])</f>
        <v>1</v>
      </c>
      <c r="K365" s="2">
        <f>DF_2[[#This Row],[QUANTITY]]*DF_2[[#This Row],[UnitPrice]]</f>
        <v>2.95</v>
      </c>
    </row>
    <row r="366" spans="2:11" x14ac:dyDescent="0.25">
      <c r="B366" s="2">
        <v>536412</v>
      </c>
      <c r="C366" s="2">
        <v>21738</v>
      </c>
      <c r="D366" s="2" t="s">
        <v>433</v>
      </c>
      <c r="E366" s="2">
        <v>1</v>
      </c>
      <c r="F366" s="8">
        <v>40513.492361111108</v>
      </c>
      <c r="G366" s="2">
        <v>2.95</v>
      </c>
      <c r="H366" s="2">
        <v>17920</v>
      </c>
      <c r="I366" s="2" t="s">
        <v>10</v>
      </c>
      <c r="J366" s="2">
        <f>ABS(DF_2[[#This Row],[Quantity_BEFORE]])</f>
        <v>1</v>
      </c>
      <c r="K366" s="2">
        <f>DF_2[[#This Row],[QUANTITY]]*DF_2[[#This Row],[UnitPrice]]</f>
        <v>2.95</v>
      </c>
    </row>
    <row r="367" spans="2:11" x14ac:dyDescent="0.25">
      <c r="B367" s="2">
        <v>536412</v>
      </c>
      <c r="C367" s="2">
        <v>22273</v>
      </c>
      <c r="D367" s="2" t="s">
        <v>429</v>
      </c>
      <c r="E367" s="2">
        <v>1</v>
      </c>
      <c r="F367" s="8">
        <v>40513.492361111108</v>
      </c>
      <c r="G367" s="2">
        <v>2.95</v>
      </c>
      <c r="H367" s="2">
        <v>17920</v>
      </c>
      <c r="I367" s="2" t="s">
        <v>10</v>
      </c>
      <c r="J367" s="2">
        <f>ABS(DF_2[[#This Row],[Quantity_BEFORE]])</f>
        <v>1</v>
      </c>
      <c r="K367" s="2">
        <f>DF_2[[#This Row],[QUANTITY]]*DF_2[[#This Row],[UnitPrice]]</f>
        <v>2.95</v>
      </c>
    </row>
    <row r="368" spans="2:11" x14ac:dyDescent="0.25">
      <c r="B368" s="2">
        <v>536412</v>
      </c>
      <c r="C368" s="2">
        <v>22086</v>
      </c>
      <c r="D368" s="2" t="s">
        <v>61</v>
      </c>
      <c r="E368" s="2">
        <v>1</v>
      </c>
      <c r="F368" s="8">
        <v>40513.492361111108</v>
      </c>
      <c r="G368" s="2">
        <v>2.95</v>
      </c>
      <c r="H368" s="2">
        <v>17920</v>
      </c>
      <c r="I368" s="2" t="s">
        <v>10</v>
      </c>
      <c r="J368" s="2">
        <f>ABS(DF_2[[#This Row],[Quantity_BEFORE]])</f>
        <v>1</v>
      </c>
      <c r="K368" s="2">
        <f>DF_2[[#This Row],[QUANTITY]]*DF_2[[#This Row],[UnitPrice]]</f>
        <v>2.95</v>
      </c>
    </row>
    <row r="369" spans="2:11" x14ac:dyDescent="0.25">
      <c r="B369" s="2">
        <v>536412</v>
      </c>
      <c r="C369" s="2" t="s">
        <v>452</v>
      </c>
      <c r="D369" s="2" t="s">
        <v>453</v>
      </c>
      <c r="E369" s="2">
        <v>1</v>
      </c>
      <c r="F369" s="8">
        <v>40513.492361111108</v>
      </c>
      <c r="G369" s="2">
        <v>2.95</v>
      </c>
      <c r="H369" s="2">
        <v>17920</v>
      </c>
      <c r="I369" s="2" t="s">
        <v>10</v>
      </c>
      <c r="J369" s="2">
        <f>ABS(DF_2[[#This Row],[Quantity_BEFORE]])</f>
        <v>1</v>
      </c>
      <c r="K369" s="2">
        <f>DF_2[[#This Row],[QUANTITY]]*DF_2[[#This Row],[UnitPrice]]</f>
        <v>2.95</v>
      </c>
    </row>
    <row r="370" spans="2:11" x14ac:dyDescent="0.25">
      <c r="B370" s="2">
        <v>536412</v>
      </c>
      <c r="C370" s="2" t="s">
        <v>452</v>
      </c>
      <c r="D370" s="2" t="s">
        <v>453</v>
      </c>
      <c r="E370" s="2">
        <v>1</v>
      </c>
      <c r="F370" s="8">
        <v>40513.492361111108</v>
      </c>
      <c r="G370" s="2">
        <v>2.95</v>
      </c>
      <c r="H370" s="2">
        <v>17920</v>
      </c>
      <c r="I370" s="2" t="s">
        <v>10</v>
      </c>
      <c r="J370" s="2">
        <f>ABS(DF_2[[#This Row],[Quantity_BEFORE]])</f>
        <v>1</v>
      </c>
      <c r="K370" s="2">
        <f>DF_2[[#This Row],[QUANTITY]]*DF_2[[#This Row],[UnitPrice]]</f>
        <v>2.95</v>
      </c>
    </row>
    <row r="371" spans="2:11" x14ac:dyDescent="0.25">
      <c r="B371" s="2">
        <v>536415</v>
      </c>
      <c r="C371" s="2">
        <v>22470</v>
      </c>
      <c r="D371" s="2" t="s">
        <v>159</v>
      </c>
      <c r="E371" s="2">
        <v>1</v>
      </c>
      <c r="F371" s="8">
        <v>40513.497916666667</v>
      </c>
      <c r="G371" s="2">
        <v>2.95</v>
      </c>
      <c r="H371" s="2">
        <v>12838</v>
      </c>
      <c r="I371" s="2" t="s">
        <v>10</v>
      </c>
      <c r="J371" s="2">
        <f>ABS(DF_2[[#This Row],[Quantity_BEFORE]])</f>
        <v>1</v>
      </c>
      <c r="K371" s="2">
        <f>DF_2[[#This Row],[QUANTITY]]*DF_2[[#This Row],[UnitPrice]]</f>
        <v>2.95</v>
      </c>
    </row>
    <row r="372" spans="2:11" x14ac:dyDescent="0.25">
      <c r="B372" s="2">
        <v>536464</v>
      </c>
      <c r="C372" s="2">
        <v>22086</v>
      </c>
      <c r="D372" s="2" t="s">
        <v>61</v>
      </c>
      <c r="E372" s="2">
        <v>1</v>
      </c>
      <c r="F372" s="8">
        <v>40513.515972222223</v>
      </c>
      <c r="G372" s="2">
        <v>2.95</v>
      </c>
      <c r="H372" s="2">
        <v>17968</v>
      </c>
      <c r="I372" s="2" t="s">
        <v>10</v>
      </c>
      <c r="J372" s="2">
        <f>ABS(DF_2[[#This Row],[Quantity_BEFORE]])</f>
        <v>1</v>
      </c>
      <c r="K372" s="2">
        <f>DF_2[[#This Row],[QUANTITY]]*DF_2[[#This Row],[UnitPrice]]</f>
        <v>2.95</v>
      </c>
    </row>
    <row r="373" spans="2:11" x14ac:dyDescent="0.25">
      <c r="B373" s="2">
        <v>536464</v>
      </c>
      <c r="C373" s="2">
        <v>21992</v>
      </c>
      <c r="D373" s="2" t="s">
        <v>574</v>
      </c>
      <c r="E373" s="2">
        <v>1</v>
      </c>
      <c r="F373" s="8">
        <v>40513.515972222223</v>
      </c>
      <c r="G373" s="2">
        <v>2.95</v>
      </c>
      <c r="H373" s="2">
        <v>17968</v>
      </c>
      <c r="I373" s="2" t="s">
        <v>10</v>
      </c>
      <c r="J373" s="2">
        <f>ABS(DF_2[[#This Row],[Quantity_BEFORE]])</f>
        <v>1</v>
      </c>
      <c r="K373" s="2">
        <f>DF_2[[#This Row],[QUANTITY]]*DF_2[[#This Row],[UnitPrice]]</f>
        <v>2.95</v>
      </c>
    </row>
    <row r="374" spans="2:11" x14ac:dyDescent="0.25">
      <c r="B374" s="2">
        <v>536464</v>
      </c>
      <c r="C374" s="2">
        <v>22910</v>
      </c>
      <c r="D374" s="2" t="s">
        <v>206</v>
      </c>
      <c r="E374" s="2">
        <v>1</v>
      </c>
      <c r="F374" s="8">
        <v>40513.515972222223</v>
      </c>
      <c r="G374" s="2">
        <v>2.95</v>
      </c>
      <c r="H374" s="2">
        <v>17968</v>
      </c>
      <c r="I374" s="2" t="s">
        <v>10</v>
      </c>
      <c r="J374" s="2">
        <f>ABS(DF_2[[#This Row],[Quantity_BEFORE]])</f>
        <v>1</v>
      </c>
      <c r="K374" s="2">
        <f>DF_2[[#This Row],[QUANTITY]]*DF_2[[#This Row],[UnitPrice]]</f>
        <v>2.95</v>
      </c>
    </row>
    <row r="375" spans="2:11" x14ac:dyDescent="0.25">
      <c r="B375" s="2">
        <v>536464</v>
      </c>
      <c r="C375" s="2">
        <v>22810</v>
      </c>
      <c r="D375" s="2" t="s">
        <v>295</v>
      </c>
      <c r="E375" s="2">
        <v>1</v>
      </c>
      <c r="F375" s="8">
        <v>40513.515972222223</v>
      </c>
      <c r="G375" s="2">
        <v>2.95</v>
      </c>
      <c r="H375" s="2">
        <v>17968</v>
      </c>
      <c r="I375" s="2" t="s">
        <v>10</v>
      </c>
      <c r="J375" s="2">
        <f>ABS(DF_2[[#This Row],[Quantity_BEFORE]])</f>
        <v>1</v>
      </c>
      <c r="K375" s="2">
        <f>DF_2[[#This Row],[QUANTITY]]*DF_2[[#This Row],[UnitPrice]]</f>
        <v>2.95</v>
      </c>
    </row>
    <row r="376" spans="2:11" x14ac:dyDescent="0.25">
      <c r="B376" s="2">
        <v>536464</v>
      </c>
      <c r="C376" s="2">
        <v>22809</v>
      </c>
      <c r="D376" s="2" t="s">
        <v>296</v>
      </c>
      <c r="E376" s="2">
        <v>1</v>
      </c>
      <c r="F376" s="8">
        <v>40513.515972222223</v>
      </c>
      <c r="G376" s="2">
        <v>2.95</v>
      </c>
      <c r="H376" s="2">
        <v>17968</v>
      </c>
      <c r="I376" s="2" t="s">
        <v>10</v>
      </c>
      <c r="J376" s="2">
        <f>ABS(DF_2[[#This Row],[Quantity_BEFORE]])</f>
        <v>1</v>
      </c>
      <c r="K376" s="2">
        <f>DF_2[[#This Row],[QUANTITY]]*DF_2[[#This Row],[UnitPrice]]</f>
        <v>2.95</v>
      </c>
    </row>
    <row r="377" spans="2:11" x14ac:dyDescent="0.25">
      <c r="B377" s="2">
        <v>536464</v>
      </c>
      <c r="C377" s="2">
        <v>22742</v>
      </c>
      <c r="D377" s="2" t="s">
        <v>599</v>
      </c>
      <c r="E377" s="2">
        <v>1</v>
      </c>
      <c r="F377" s="8">
        <v>40513.515972222223</v>
      </c>
      <c r="G377" s="2">
        <v>2.95</v>
      </c>
      <c r="H377" s="2">
        <v>17968</v>
      </c>
      <c r="I377" s="2" t="s">
        <v>10</v>
      </c>
      <c r="J377" s="2">
        <f>ABS(DF_2[[#This Row],[Quantity_BEFORE]])</f>
        <v>1</v>
      </c>
      <c r="K377" s="2">
        <f>DF_2[[#This Row],[QUANTITY]]*DF_2[[#This Row],[UnitPrice]]</f>
        <v>2.95</v>
      </c>
    </row>
    <row r="378" spans="2:11" x14ac:dyDescent="0.25">
      <c r="B378" s="2">
        <v>536464</v>
      </c>
      <c r="C378" s="2">
        <v>21992</v>
      </c>
      <c r="D378" s="2" t="s">
        <v>574</v>
      </c>
      <c r="E378" s="2">
        <v>1</v>
      </c>
      <c r="F378" s="8">
        <v>40513.515972222223</v>
      </c>
      <c r="G378" s="2">
        <v>2.95</v>
      </c>
      <c r="H378" s="2">
        <v>17968</v>
      </c>
      <c r="I378" s="2" t="s">
        <v>10</v>
      </c>
      <c r="J378" s="2">
        <f>ABS(DF_2[[#This Row],[Quantity_BEFORE]])</f>
        <v>1</v>
      </c>
      <c r="K378" s="2">
        <f>DF_2[[#This Row],[QUANTITY]]*DF_2[[#This Row],[UnitPrice]]</f>
        <v>2.95</v>
      </c>
    </row>
    <row r="379" spans="2:11" x14ac:dyDescent="0.25">
      <c r="B379" s="2">
        <v>536464</v>
      </c>
      <c r="C379" s="2">
        <v>21738</v>
      </c>
      <c r="D379" s="2" t="s">
        <v>433</v>
      </c>
      <c r="E379" s="2">
        <v>1</v>
      </c>
      <c r="F379" s="8">
        <v>40513.515972222223</v>
      </c>
      <c r="G379" s="2">
        <v>2.95</v>
      </c>
      <c r="H379" s="2">
        <v>17968</v>
      </c>
      <c r="I379" s="2" t="s">
        <v>10</v>
      </c>
      <c r="J379" s="2">
        <f>ABS(DF_2[[#This Row],[Quantity_BEFORE]])</f>
        <v>1</v>
      </c>
      <c r="K379" s="2">
        <f>DF_2[[#This Row],[QUANTITY]]*DF_2[[#This Row],[UnitPrice]]</f>
        <v>2.95</v>
      </c>
    </row>
    <row r="380" spans="2:11" x14ac:dyDescent="0.25">
      <c r="B380" s="2">
        <v>536464</v>
      </c>
      <c r="C380" s="2">
        <v>22312</v>
      </c>
      <c r="D380" s="2" t="s">
        <v>605</v>
      </c>
      <c r="E380" s="2">
        <v>1</v>
      </c>
      <c r="F380" s="8">
        <v>40513.515972222223</v>
      </c>
      <c r="G380" s="2">
        <v>2.95</v>
      </c>
      <c r="H380" s="2">
        <v>17968</v>
      </c>
      <c r="I380" s="2" t="s">
        <v>10</v>
      </c>
      <c r="J380" s="2">
        <f>ABS(DF_2[[#This Row],[Quantity_BEFORE]])</f>
        <v>1</v>
      </c>
      <c r="K380" s="2">
        <f>DF_2[[#This Row],[QUANTITY]]*DF_2[[#This Row],[UnitPrice]]</f>
        <v>2.95</v>
      </c>
    </row>
    <row r="381" spans="2:11" x14ac:dyDescent="0.25">
      <c r="B381" s="2">
        <v>536488</v>
      </c>
      <c r="C381" s="2" t="s">
        <v>615</v>
      </c>
      <c r="D381" s="2" t="s">
        <v>616</v>
      </c>
      <c r="E381" s="2">
        <v>1</v>
      </c>
      <c r="F381" s="8">
        <v>40513.521527777775</v>
      </c>
      <c r="G381" s="2">
        <v>2.95</v>
      </c>
      <c r="H381" s="2">
        <v>17897</v>
      </c>
      <c r="I381" s="2" t="s">
        <v>10</v>
      </c>
      <c r="J381" s="2">
        <f>ABS(DF_2[[#This Row],[Quantity_BEFORE]])</f>
        <v>1</v>
      </c>
      <c r="K381" s="2">
        <f>DF_2[[#This Row],[QUANTITY]]*DF_2[[#This Row],[UnitPrice]]</f>
        <v>2.95</v>
      </c>
    </row>
    <row r="382" spans="2:11" x14ac:dyDescent="0.25">
      <c r="B382" s="2">
        <v>536488</v>
      </c>
      <c r="C382" s="2">
        <v>22087</v>
      </c>
      <c r="D382" s="2" t="s">
        <v>618</v>
      </c>
      <c r="E382" s="2">
        <v>1</v>
      </c>
      <c r="F382" s="8">
        <v>40513.521527777775</v>
      </c>
      <c r="G382" s="2">
        <v>2.95</v>
      </c>
      <c r="H382" s="2">
        <v>17897</v>
      </c>
      <c r="I382" s="2" t="s">
        <v>10</v>
      </c>
      <c r="J382" s="2">
        <f>ABS(DF_2[[#This Row],[Quantity_BEFORE]])</f>
        <v>1</v>
      </c>
      <c r="K382" s="2">
        <f>DF_2[[#This Row],[QUANTITY]]*DF_2[[#This Row],[UnitPrice]]</f>
        <v>2.95</v>
      </c>
    </row>
    <row r="383" spans="2:11" x14ac:dyDescent="0.25">
      <c r="B383" s="2">
        <v>536488</v>
      </c>
      <c r="C383" s="2">
        <v>22910</v>
      </c>
      <c r="D383" s="2" t="s">
        <v>206</v>
      </c>
      <c r="E383" s="2">
        <v>1</v>
      </c>
      <c r="F383" s="8">
        <v>40513.521527777775</v>
      </c>
      <c r="G383" s="2">
        <v>2.95</v>
      </c>
      <c r="H383" s="2">
        <v>17897</v>
      </c>
      <c r="I383" s="2" t="s">
        <v>10</v>
      </c>
      <c r="J383" s="2">
        <f>ABS(DF_2[[#This Row],[Quantity_BEFORE]])</f>
        <v>1</v>
      </c>
      <c r="K383" s="2">
        <f>DF_2[[#This Row],[QUANTITY]]*DF_2[[#This Row],[UnitPrice]]</f>
        <v>2.95</v>
      </c>
    </row>
    <row r="384" spans="2:11" x14ac:dyDescent="0.25">
      <c r="B384" s="2">
        <v>536520</v>
      </c>
      <c r="C384" s="2">
        <v>21890</v>
      </c>
      <c r="D384" s="2" t="s">
        <v>502</v>
      </c>
      <c r="E384" s="2">
        <v>1</v>
      </c>
      <c r="F384" s="8">
        <v>40513.529861111114</v>
      </c>
      <c r="G384" s="2">
        <v>2.95</v>
      </c>
      <c r="H384" s="2">
        <v>14729</v>
      </c>
      <c r="I384" s="2" t="s">
        <v>10</v>
      </c>
      <c r="J384" s="2">
        <f>ABS(DF_2[[#This Row],[Quantity_BEFORE]])</f>
        <v>1</v>
      </c>
      <c r="K384" s="2">
        <f>DF_2[[#This Row],[QUANTITY]]*DF_2[[#This Row],[UnitPrice]]</f>
        <v>2.95</v>
      </c>
    </row>
    <row r="385" spans="2:11" x14ac:dyDescent="0.25">
      <c r="B385" s="2">
        <v>536520</v>
      </c>
      <c r="C385" s="2">
        <v>22470</v>
      </c>
      <c r="D385" s="2" t="s">
        <v>159</v>
      </c>
      <c r="E385" s="2">
        <v>1</v>
      </c>
      <c r="F385" s="8">
        <v>40513.529861111114</v>
      </c>
      <c r="G385" s="2">
        <v>2.95</v>
      </c>
      <c r="H385" s="2">
        <v>14729</v>
      </c>
      <c r="I385" s="2" t="s">
        <v>10</v>
      </c>
      <c r="J385" s="2">
        <f>ABS(DF_2[[#This Row],[Quantity_BEFORE]])</f>
        <v>1</v>
      </c>
      <c r="K385" s="2">
        <f>DF_2[[#This Row],[QUANTITY]]*DF_2[[#This Row],[UnitPrice]]</f>
        <v>2.95</v>
      </c>
    </row>
    <row r="386" spans="2:11" x14ac:dyDescent="0.25">
      <c r="B386" s="2">
        <v>536520</v>
      </c>
      <c r="C386" s="2">
        <v>21111</v>
      </c>
      <c r="D386" s="2" t="s">
        <v>684</v>
      </c>
      <c r="E386" s="2">
        <v>1</v>
      </c>
      <c r="F386" s="8">
        <v>40513.529861111114</v>
      </c>
      <c r="G386" s="2">
        <v>2.95</v>
      </c>
      <c r="H386" s="2">
        <v>14729</v>
      </c>
      <c r="I386" s="2" t="s">
        <v>10</v>
      </c>
      <c r="J386" s="2">
        <f>ABS(DF_2[[#This Row],[Quantity_BEFORE]])</f>
        <v>1</v>
      </c>
      <c r="K386" s="2">
        <f>DF_2[[#This Row],[QUANTITY]]*DF_2[[#This Row],[UnitPrice]]</f>
        <v>2.95</v>
      </c>
    </row>
    <row r="387" spans="2:11" x14ac:dyDescent="0.25">
      <c r="B387" s="2">
        <v>536365</v>
      </c>
      <c r="C387" s="2" t="s">
        <v>12</v>
      </c>
      <c r="D387" s="2" t="s">
        <v>13</v>
      </c>
      <c r="E387" s="2">
        <v>8</v>
      </c>
      <c r="F387" s="8">
        <v>40513.351388888892</v>
      </c>
      <c r="G387" s="2">
        <v>2.75</v>
      </c>
      <c r="H387" s="2">
        <v>17850</v>
      </c>
      <c r="I387" s="2" t="s">
        <v>10</v>
      </c>
      <c r="J387" s="2">
        <f>ABS(DF_2[[#This Row],[Quantity_BEFORE]])</f>
        <v>8</v>
      </c>
      <c r="K387" s="2">
        <f>DF_2[[#This Row],[QUANTITY]]*DF_2[[#This Row],[UnitPrice]]</f>
        <v>22</v>
      </c>
    </row>
    <row r="388" spans="2:11" x14ac:dyDescent="0.25">
      <c r="B388" s="2">
        <v>536373</v>
      </c>
      <c r="C388" s="2" t="s">
        <v>12</v>
      </c>
      <c r="D388" s="2" t="s">
        <v>13</v>
      </c>
      <c r="E388" s="2">
        <v>8</v>
      </c>
      <c r="F388" s="8">
        <v>40513.376388888886</v>
      </c>
      <c r="G388" s="2">
        <v>2.75</v>
      </c>
      <c r="H388" s="2">
        <v>17850</v>
      </c>
      <c r="I388" s="2" t="s">
        <v>10</v>
      </c>
      <c r="J388" s="2">
        <f>ABS(DF_2[[#This Row],[Quantity_BEFORE]])</f>
        <v>8</v>
      </c>
      <c r="K388" s="2">
        <f>DF_2[[#This Row],[QUANTITY]]*DF_2[[#This Row],[UnitPrice]]</f>
        <v>22</v>
      </c>
    </row>
    <row r="389" spans="2:11" x14ac:dyDescent="0.25">
      <c r="B389" s="2">
        <v>536375</v>
      </c>
      <c r="C389" s="2" t="s">
        <v>12</v>
      </c>
      <c r="D389" s="2" t="s">
        <v>13</v>
      </c>
      <c r="E389" s="2">
        <v>8</v>
      </c>
      <c r="F389" s="8">
        <v>40513.397222222222</v>
      </c>
      <c r="G389" s="2">
        <v>2.75</v>
      </c>
      <c r="H389" s="2">
        <v>17850</v>
      </c>
      <c r="I389" s="2" t="s">
        <v>10</v>
      </c>
      <c r="J389" s="2">
        <f>ABS(DF_2[[#This Row],[Quantity_BEFORE]])</f>
        <v>8</v>
      </c>
      <c r="K389" s="2">
        <f>DF_2[[#This Row],[QUANTITY]]*DF_2[[#This Row],[UnitPrice]]</f>
        <v>22</v>
      </c>
    </row>
    <row r="390" spans="2:11" x14ac:dyDescent="0.25">
      <c r="B390" s="2">
        <v>536396</v>
      </c>
      <c r="C390" s="2" t="s">
        <v>12</v>
      </c>
      <c r="D390" s="2" t="s">
        <v>13</v>
      </c>
      <c r="E390" s="2">
        <v>8</v>
      </c>
      <c r="F390" s="8">
        <v>40513.45208333333</v>
      </c>
      <c r="G390" s="2">
        <v>2.75</v>
      </c>
      <c r="H390" s="2">
        <v>17850</v>
      </c>
      <c r="I390" s="2" t="s">
        <v>10</v>
      </c>
      <c r="J390" s="2">
        <f>ABS(DF_2[[#This Row],[Quantity_BEFORE]])</f>
        <v>8</v>
      </c>
      <c r="K390" s="2">
        <f>DF_2[[#This Row],[QUANTITY]]*DF_2[[#This Row],[UnitPrice]]</f>
        <v>22</v>
      </c>
    </row>
    <row r="391" spans="2:11" x14ac:dyDescent="0.25">
      <c r="B391" s="2">
        <v>536406</v>
      </c>
      <c r="C391" s="2" t="s">
        <v>12</v>
      </c>
      <c r="D391" s="2" t="s">
        <v>13</v>
      </c>
      <c r="E391" s="2">
        <v>8</v>
      </c>
      <c r="F391" s="8">
        <v>40513.481249999997</v>
      </c>
      <c r="G391" s="2">
        <v>2.75</v>
      </c>
      <c r="H391" s="2">
        <v>17850</v>
      </c>
      <c r="I391" s="2" t="s">
        <v>10</v>
      </c>
      <c r="J391" s="2">
        <f>ABS(DF_2[[#This Row],[Quantity_BEFORE]])</f>
        <v>8</v>
      </c>
      <c r="K391" s="2">
        <f>DF_2[[#This Row],[QUANTITY]]*DF_2[[#This Row],[UnitPrice]]</f>
        <v>22</v>
      </c>
    </row>
    <row r="392" spans="2:11" x14ac:dyDescent="0.25">
      <c r="B392" s="2">
        <v>536405</v>
      </c>
      <c r="C392" s="2">
        <v>20914</v>
      </c>
      <c r="D392" s="2" t="s">
        <v>350</v>
      </c>
      <c r="E392" s="2">
        <v>128</v>
      </c>
      <c r="F392" s="8">
        <v>40513.480555555558</v>
      </c>
      <c r="G392" s="2">
        <v>2.5499999999999998</v>
      </c>
      <c r="H392" s="2">
        <v>14045</v>
      </c>
      <c r="I392" s="2" t="s">
        <v>10</v>
      </c>
      <c r="J392" s="2">
        <f>ABS(DF_2[[#This Row],[Quantity_BEFORE]])</f>
        <v>128</v>
      </c>
      <c r="K392" s="2">
        <f>DF_2[[#This Row],[QUANTITY]]*DF_2[[#This Row],[UnitPrice]]</f>
        <v>326.39999999999998</v>
      </c>
    </row>
    <row r="393" spans="2:11" x14ac:dyDescent="0.25">
      <c r="B393" s="2">
        <v>536371</v>
      </c>
      <c r="C393" s="2">
        <v>22086</v>
      </c>
      <c r="D393" s="2" t="s">
        <v>61</v>
      </c>
      <c r="E393" s="2">
        <v>80</v>
      </c>
      <c r="F393" s="8">
        <v>40513.375</v>
      </c>
      <c r="G393" s="2">
        <v>2.5499999999999998</v>
      </c>
      <c r="H393" s="2">
        <v>13748</v>
      </c>
      <c r="I393" s="2" t="s">
        <v>10</v>
      </c>
      <c r="J393" s="2">
        <f>ABS(DF_2[[#This Row],[Quantity_BEFORE]])</f>
        <v>80</v>
      </c>
      <c r="K393" s="2">
        <f>DF_2[[#This Row],[QUANTITY]]*DF_2[[#This Row],[UnitPrice]]</f>
        <v>204</v>
      </c>
    </row>
    <row r="394" spans="2:11" x14ac:dyDescent="0.25">
      <c r="B394" s="2">
        <v>536376</v>
      </c>
      <c r="C394" s="2">
        <v>21733</v>
      </c>
      <c r="D394" s="2" t="s">
        <v>74</v>
      </c>
      <c r="E394" s="2">
        <v>64</v>
      </c>
      <c r="F394" s="8">
        <v>40513.397222222222</v>
      </c>
      <c r="G394" s="2">
        <v>2.5499999999999998</v>
      </c>
      <c r="H394" s="2">
        <v>15291</v>
      </c>
      <c r="I394" s="2" t="s">
        <v>10</v>
      </c>
      <c r="J394" s="2">
        <f>ABS(DF_2[[#This Row],[Quantity_BEFORE]])</f>
        <v>64</v>
      </c>
      <c r="K394" s="2">
        <f>DF_2[[#This Row],[QUANTITY]]*DF_2[[#This Row],[UnitPrice]]</f>
        <v>163.19999999999999</v>
      </c>
    </row>
    <row r="395" spans="2:11" x14ac:dyDescent="0.25">
      <c r="B395" s="2">
        <v>536390</v>
      </c>
      <c r="C395" s="2" t="s">
        <v>8</v>
      </c>
      <c r="D395" s="2" t="s">
        <v>9</v>
      </c>
      <c r="E395" s="2">
        <v>64</v>
      </c>
      <c r="F395" s="8">
        <v>40513.429861111108</v>
      </c>
      <c r="G395" s="2">
        <v>2.5499999999999998</v>
      </c>
      <c r="H395" s="2">
        <v>17511</v>
      </c>
      <c r="I395" s="2" t="s">
        <v>10</v>
      </c>
      <c r="J395" s="2">
        <f>ABS(DF_2[[#This Row],[Quantity_BEFORE]])</f>
        <v>64</v>
      </c>
      <c r="K395" s="2">
        <f>DF_2[[#This Row],[QUANTITY]]*DF_2[[#This Row],[UnitPrice]]</f>
        <v>163.19999999999999</v>
      </c>
    </row>
    <row r="396" spans="2:11" x14ac:dyDescent="0.25">
      <c r="B396" s="2">
        <v>536384</v>
      </c>
      <c r="C396" s="2">
        <v>22470</v>
      </c>
      <c r="D396" s="2" t="s">
        <v>159</v>
      </c>
      <c r="E396" s="2">
        <v>40</v>
      </c>
      <c r="F396" s="8">
        <v>40513.411805555559</v>
      </c>
      <c r="G396" s="2">
        <v>2.5499999999999998</v>
      </c>
      <c r="H396" s="2">
        <v>18074</v>
      </c>
      <c r="I396" s="2" t="s">
        <v>10</v>
      </c>
      <c r="J396" s="2">
        <f>ABS(DF_2[[#This Row],[Quantity_BEFORE]])</f>
        <v>40</v>
      </c>
      <c r="K396" s="2">
        <f>DF_2[[#This Row],[QUANTITY]]*DF_2[[#This Row],[UnitPrice]]</f>
        <v>102</v>
      </c>
    </row>
    <row r="397" spans="2:11" x14ac:dyDescent="0.25">
      <c r="B397" s="2">
        <v>536390</v>
      </c>
      <c r="C397" s="2">
        <v>22910</v>
      </c>
      <c r="D397" s="2" t="s">
        <v>206</v>
      </c>
      <c r="E397" s="2">
        <v>40</v>
      </c>
      <c r="F397" s="8">
        <v>40513.429861111108</v>
      </c>
      <c r="G397" s="2">
        <v>2.5499999999999998</v>
      </c>
      <c r="H397" s="2">
        <v>17511</v>
      </c>
      <c r="I397" s="2" t="s">
        <v>10</v>
      </c>
      <c r="J397" s="2">
        <f>ABS(DF_2[[#This Row],[Quantity_BEFORE]])</f>
        <v>40</v>
      </c>
      <c r="K397" s="2">
        <f>DF_2[[#This Row],[QUANTITY]]*DF_2[[#This Row],[UnitPrice]]</f>
        <v>102</v>
      </c>
    </row>
    <row r="398" spans="2:11" x14ac:dyDescent="0.25">
      <c r="B398" s="2">
        <v>536402</v>
      </c>
      <c r="C398" s="2">
        <v>22086</v>
      </c>
      <c r="D398" s="2" t="s">
        <v>61</v>
      </c>
      <c r="E398" s="2">
        <v>40</v>
      </c>
      <c r="F398" s="8">
        <v>40513.473611111112</v>
      </c>
      <c r="G398" s="2">
        <v>2.5499999999999998</v>
      </c>
      <c r="H398" s="2">
        <v>15513</v>
      </c>
      <c r="I398" s="2" t="s">
        <v>10</v>
      </c>
      <c r="J398" s="2">
        <f>ABS(DF_2[[#This Row],[Quantity_BEFORE]])</f>
        <v>40</v>
      </c>
      <c r="K398" s="2">
        <f>DF_2[[#This Row],[QUANTITY]]*DF_2[[#This Row],[UnitPrice]]</f>
        <v>102</v>
      </c>
    </row>
    <row r="399" spans="2:11" x14ac:dyDescent="0.25">
      <c r="B399" s="2">
        <v>536402</v>
      </c>
      <c r="C399" s="2">
        <v>22910</v>
      </c>
      <c r="D399" s="2" t="s">
        <v>206</v>
      </c>
      <c r="E399" s="2">
        <v>40</v>
      </c>
      <c r="F399" s="8">
        <v>40513.473611111112</v>
      </c>
      <c r="G399" s="2">
        <v>2.5499999999999998</v>
      </c>
      <c r="H399" s="2">
        <v>15513</v>
      </c>
      <c r="I399" s="2" t="s">
        <v>10</v>
      </c>
      <c r="J399" s="2">
        <f>ABS(DF_2[[#This Row],[Quantity_BEFORE]])</f>
        <v>40</v>
      </c>
      <c r="K399" s="2">
        <f>DF_2[[#This Row],[QUANTITY]]*DF_2[[#This Row],[UnitPrice]]</f>
        <v>102</v>
      </c>
    </row>
    <row r="400" spans="2:11" x14ac:dyDescent="0.25">
      <c r="B400" s="2">
        <v>536394</v>
      </c>
      <c r="C400" s="2" t="s">
        <v>8</v>
      </c>
      <c r="D400" s="2" t="s">
        <v>9</v>
      </c>
      <c r="E400" s="2">
        <v>32</v>
      </c>
      <c r="F400" s="8">
        <v>40513.443749999999</v>
      </c>
      <c r="G400" s="2">
        <v>2.5499999999999998</v>
      </c>
      <c r="H400" s="2">
        <v>13408</v>
      </c>
      <c r="I400" s="2" t="s">
        <v>10</v>
      </c>
      <c r="J400" s="2">
        <f>ABS(DF_2[[#This Row],[Quantity_BEFORE]])</f>
        <v>32</v>
      </c>
      <c r="K400" s="2">
        <f>DF_2[[#This Row],[QUANTITY]]*DF_2[[#This Row],[UnitPrice]]</f>
        <v>81.599999999999994</v>
      </c>
    </row>
    <row r="401" spans="2:11" x14ac:dyDescent="0.25">
      <c r="B401" s="2">
        <v>536396</v>
      </c>
      <c r="C401" s="2" t="s">
        <v>70</v>
      </c>
      <c r="D401" s="2" t="s">
        <v>71</v>
      </c>
      <c r="E401" s="2">
        <v>12</v>
      </c>
      <c r="F401" s="8">
        <v>40513.45208333333</v>
      </c>
      <c r="G401" s="2">
        <v>2.5499999999999998</v>
      </c>
      <c r="H401" s="2">
        <v>17850</v>
      </c>
      <c r="I401" s="2" t="s">
        <v>10</v>
      </c>
      <c r="J401" s="2">
        <f>ABS(DF_2[[#This Row],[Quantity_BEFORE]])</f>
        <v>12</v>
      </c>
      <c r="K401" s="2">
        <f>DF_2[[#This Row],[QUANTITY]]*DF_2[[#This Row],[UnitPrice]]</f>
        <v>30.599999999999998</v>
      </c>
    </row>
    <row r="402" spans="2:11" x14ac:dyDescent="0.25">
      <c r="B402" s="2">
        <v>536408</v>
      </c>
      <c r="C402" s="2">
        <v>21587</v>
      </c>
      <c r="D402" s="2" t="s">
        <v>307</v>
      </c>
      <c r="E402" s="2">
        <v>12</v>
      </c>
      <c r="F402" s="8">
        <v>40513.486805555556</v>
      </c>
      <c r="G402" s="2">
        <v>2.5499999999999998</v>
      </c>
      <c r="H402" s="2">
        <v>14307</v>
      </c>
      <c r="I402" s="2" t="s">
        <v>10</v>
      </c>
      <c r="J402" s="2">
        <f>ABS(DF_2[[#This Row],[Quantity_BEFORE]])</f>
        <v>12</v>
      </c>
      <c r="K402" s="2">
        <f>DF_2[[#This Row],[QUANTITY]]*DF_2[[#This Row],[UnitPrice]]</f>
        <v>30.599999999999998</v>
      </c>
    </row>
    <row r="403" spans="2:11" x14ac:dyDescent="0.25">
      <c r="B403" s="2">
        <v>536425</v>
      </c>
      <c r="C403" s="2">
        <v>22637</v>
      </c>
      <c r="D403" s="2" t="s">
        <v>110</v>
      </c>
      <c r="E403" s="2">
        <v>12</v>
      </c>
      <c r="F403" s="8">
        <v>40513.505555555559</v>
      </c>
      <c r="G403" s="2">
        <v>2.5499999999999998</v>
      </c>
      <c r="H403" s="2">
        <v>13758</v>
      </c>
      <c r="I403" s="2" t="s">
        <v>10</v>
      </c>
      <c r="J403" s="2">
        <f>ABS(DF_2[[#This Row],[Quantity_BEFORE]])</f>
        <v>12</v>
      </c>
      <c r="K403" s="2">
        <f>DF_2[[#This Row],[QUANTITY]]*DF_2[[#This Row],[UnitPrice]]</f>
        <v>30.599999999999998</v>
      </c>
    </row>
    <row r="404" spans="2:11" x14ac:dyDescent="0.25">
      <c r="B404" s="2">
        <v>536446</v>
      </c>
      <c r="C404" s="2">
        <v>84347</v>
      </c>
      <c r="D404" s="2" t="s">
        <v>377</v>
      </c>
      <c r="E404" s="2">
        <v>12</v>
      </c>
      <c r="F404" s="8">
        <v>40513.510416666664</v>
      </c>
      <c r="G404" s="2">
        <v>2.5499999999999998</v>
      </c>
      <c r="H404" s="2">
        <v>15983</v>
      </c>
      <c r="I404" s="2" t="s">
        <v>10</v>
      </c>
      <c r="J404" s="2">
        <f>ABS(DF_2[[#This Row],[Quantity_BEFORE]])</f>
        <v>12</v>
      </c>
      <c r="K404" s="2">
        <f>DF_2[[#This Row],[QUANTITY]]*DF_2[[#This Row],[UnitPrice]]</f>
        <v>30.599999999999998</v>
      </c>
    </row>
    <row r="405" spans="2:11" x14ac:dyDescent="0.25">
      <c r="B405" s="2">
        <v>536460</v>
      </c>
      <c r="C405" s="2">
        <v>21586</v>
      </c>
      <c r="D405" s="2" t="s">
        <v>539</v>
      </c>
      <c r="E405" s="2">
        <v>12</v>
      </c>
      <c r="F405" s="8">
        <v>40513.515277777777</v>
      </c>
      <c r="G405" s="2">
        <v>2.5499999999999998</v>
      </c>
      <c r="H405" s="2">
        <v>14849</v>
      </c>
      <c r="I405" s="2" t="s">
        <v>10</v>
      </c>
      <c r="J405" s="2">
        <f>ABS(DF_2[[#This Row],[Quantity_BEFORE]])</f>
        <v>12</v>
      </c>
      <c r="K405" s="2">
        <f>DF_2[[#This Row],[QUANTITY]]*DF_2[[#This Row],[UnitPrice]]</f>
        <v>30.599999999999998</v>
      </c>
    </row>
    <row r="406" spans="2:11" x14ac:dyDescent="0.25">
      <c r="B406" s="2">
        <v>536401</v>
      </c>
      <c r="C406" s="2">
        <v>21108</v>
      </c>
      <c r="D406" s="2" t="s">
        <v>319</v>
      </c>
      <c r="E406" s="2">
        <v>9</v>
      </c>
      <c r="F406" s="8">
        <v>40513.472916666666</v>
      </c>
      <c r="G406" s="2">
        <v>2.5499999999999998</v>
      </c>
      <c r="H406" s="2">
        <v>15862</v>
      </c>
      <c r="I406" s="2" t="s">
        <v>10</v>
      </c>
      <c r="J406" s="2">
        <f>ABS(DF_2[[#This Row],[Quantity_BEFORE]])</f>
        <v>9</v>
      </c>
      <c r="K406" s="2">
        <f>DF_2[[#This Row],[QUANTITY]]*DF_2[[#This Row],[UnitPrice]]</f>
        <v>22.95</v>
      </c>
    </row>
    <row r="407" spans="2:11" x14ac:dyDescent="0.25">
      <c r="B407" s="2">
        <v>536398</v>
      </c>
      <c r="C407" s="2">
        <v>22637</v>
      </c>
      <c r="D407" s="2" t="s">
        <v>110</v>
      </c>
      <c r="E407" s="2">
        <v>8</v>
      </c>
      <c r="F407" s="8">
        <v>40513.452777777777</v>
      </c>
      <c r="G407" s="2">
        <v>2.5499999999999998</v>
      </c>
      <c r="H407" s="2">
        <v>13448</v>
      </c>
      <c r="I407" s="2" t="s">
        <v>10</v>
      </c>
      <c r="J407" s="2">
        <f>ABS(DF_2[[#This Row],[Quantity_BEFORE]])</f>
        <v>8</v>
      </c>
      <c r="K407" s="2">
        <f>DF_2[[#This Row],[QUANTITY]]*DF_2[[#This Row],[UnitPrice]]</f>
        <v>20.399999999999999</v>
      </c>
    </row>
    <row r="408" spans="2:11" x14ac:dyDescent="0.25">
      <c r="B408" s="2">
        <v>536406</v>
      </c>
      <c r="C408" s="2" t="s">
        <v>8</v>
      </c>
      <c r="D408" s="2" t="s">
        <v>9</v>
      </c>
      <c r="E408" s="2">
        <v>8</v>
      </c>
      <c r="F408" s="8">
        <v>40513.481249999997</v>
      </c>
      <c r="G408" s="2">
        <v>2.5499999999999998</v>
      </c>
      <c r="H408" s="2">
        <v>17850</v>
      </c>
      <c r="I408" s="2" t="s">
        <v>10</v>
      </c>
      <c r="J408" s="2">
        <f>ABS(DF_2[[#This Row],[Quantity_BEFORE]])</f>
        <v>8</v>
      </c>
      <c r="K408" s="2">
        <f>DF_2[[#This Row],[QUANTITY]]*DF_2[[#This Row],[UnitPrice]]</f>
        <v>20.399999999999999</v>
      </c>
    </row>
    <row r="409" spans="2:11" x14ac:dyDescent="0.25">
      <c r="B409" s="2">
        <v>536420</v>
      </c>
      <c r="C409" s="2">
        <v>21716</v>
      </c>
      <c r="D409" s="2" t="s">
        <v>504</v>
      </c>
      <c r="E409" s="2">
        <v>8</v>
      </c>
      <c r="F409" s="8">
        <v>40513.502083333333</v>
      </c>
      <c r="G409" s="2">
        <v>2.5499999999999998</v>
      </c>
      <c r="H409" s="2">
        <v>16583</v>
      </c>
      <c r="I409" s="2" t="s">
        <v>10</v>
      </c>
      <c r="J409" s="2">
        <f>ABS(DF_2[[#This Row],[Quantity_BEFORE]])</f>
        <v>8</v>
      </c>
      <c r="K409" s="2">
        <f>DF_2[[#This Row],[QUANTITY]]*DF_2[[#This Row],[UnitPrice]]</f>
        <v>20.399999999999999</v>
      </c>
    </row>
    <row r="410" spans="2:11" x14ac:dyDescent="0.25">
      <c r="B410" s="2">
        <v>536420</v>
      </c>
      <c r="C410" s="2">
        <v>21715</v>
      </c>
      <c r="D410" s="2" t="s">
        <v>505</v>
      </c>
      <c r="E410" s="2">
        <v>8</v>
      </c>
      <c r="F410" s="8">
        <v>40513.502083333333</v>
      </c>
      <c r="G410" s="2">
        <v>2.5499999999999998</v>
      </c>
      <c r="H410" s="2">
        <v>16583</v>
      </c>
      <c r="I410" s="2" t="s">
        <v>10</v>
      </c>
      <c r="J410" s="2">
        <f>ABS(DF_2[[#This Row],[Quantity_BEFORE]])</f>
        <v>8</v>
      </c>
      <c r="K410" s="2">
        <f>DF_2[[#This Row],[QUANTITY]]*DF_2[[#This Row],[UnitPrice]]</f>
        <v>20.399999999999999</v>
      </c>
    </row>
    <row r="411" spans="2:11" x14ac:dyDescent="0.25">
      <c r="B411" s="2">
        <v>536365</v>
      </c>
      <c r="C411" s="2" t="s">
        <v>8</v>
      </c>
      <c r="D411" s="2" t="s">
        <v>9</v>
      </c>
      <c r="E411" s="2">
        <v>6</v>
      </c>
      <c r="F411" s="8">
        <v>40513.351388888892</v>
      </c>
      <c r="G411" s="2">
        <v>2.5499999999999998</v>
      </c>
      <c r="H411" s="2">
        <v>17850</v>
      </c>
      <c r="I411" s="2" t="s">
        <v>10</v>
      </c>
      <c r="J411" s="2">
        <f>ABS(DF_2[[#This Row],[Quantity_BEFORE]])</f>
        <v>6</v>
      </c>
      <c r="K411" s="2">
        <f>DF_2[[#This Row],[QUANTITY]]*DF_2[[#This Row],[UnitPrice]]</f>
        <v>15.299999999999999</v>
      </c>
    </row>
    <row r="412" spans="2:11" x14ac:dyDescent="0.25">
      <c r="B412" s="2">
        <v>536373</v>
      </c>
      <c r="C412" s="2" t="s">
        <v>8</v>
      </c>
      <c r="D412" s="2" t="s">
        <v>9</v>
      </c>
      <c r="E412" s="2">
        <v>6</v>
      </c>
      <c r="F412" s="8">
        <v>40513.376388888886</v>
      </c>
      <c r="G412" s="2">
        <v>2.5499999999999998</v>
      </c>
      <c r="H412" s="2">
        <v>17850</v>
      </c>
      <c r="I412" s="2" t="s">
        <v>10</v>
      </c>
      <c r="J412" s="2">
        <f>ABS(DF_2[[#This Row],[Quantity_BEFORE]])</f>
        <v>6</v>
      </c>
      <c r="K412" s="2">
        <f>DF_2[[#This Row],[QUANTITY]]*DF_2[[#This Row],[UnitPrice]]</f>
        <v>15.299999999999999</v>
      </c>
    </row>
    <row r="413" spans="2:11" x14ac:dyDescent="0.25">
      <c r="B413" s="2">
        <v>536373</v>
      </c>
      <c r="C413" s="2" t="s">
        <v>70</v>
      </c>
      <c r="D413" s="2" t="s">
        <v>71</v>
      </c>
      <c r="E413" s="2">
        <v>6</v>
      </c>
      <c r="F413" s="8">
        <v>40513.376388888886</v>
      </c>
      <c r="G413" s="2">
        <v>2.5499999999999998</v>
      </c>
      <c r="H413" s="2">
        <v>17850</v>
      </c>
      <c r="I413" s="2" t="s">
        <v>10</v>
      </c>
      <c r="J413" s="2">
        <f>ABS(DF_2[[#This Row],[Quantity_BEFORE]])</f>
        <v>6</v>
      </c>
      <c r="K413" s="2">
        <f>DF_2[[#This Row],[QUANTITY]]*DF_2[[#This Row],[UnitPrice]]</f>
        <v>15.299999999999999</v>
      </c>
    </row>
    <row r="414" spans="2:11" x14ac:dyDescent="0.25">
      <c r="B414" s="2">
        <v>536375</v>
      </c>
      <c r="C414" s="2" t="s">
        <v>8</v>
      </c>
      <c r="D414" s="2" t="s">
        <v>9</v>
      </c>
      <c r="E414" s="2">
        <v>6</v>
      </c>
      <c r="F414" s="8">
        <v>40513.397222222222</v>
      </c>
      <c r="G414" s="2">
        <v>2.5499999999999998</v>
      </c>
      <c r="H414" s="2">
        <v>17850</v>
      </c>
      <c r="I414" s="2" t="s">
        <v>10</v>
      </c>
      <c r="J414" s="2">
        <f>ABS(DF_2[[#This Row],[Quantity_BEFORE]])</f>
        <v>6</v>
      </c>
      <c r="K414" s="2">
        <f>DF_2[[#This Row],[QUANTITY]]*DF_2[[#This Row],[UnitPrice]]</f>
        <v>15.299999999999999</v>
      </c>
    </row>
    <row r="415" spans="2:11" x14ac:dyDescent="0.25">
      <c r="B415" s="2">
        <v>536375</v>
      </c>
      <c r="C415" s="2" t="s">
        <v>70</v>
      </c>
      <c r="D415" s="2" t="s">
        <v>71</v>
      </c>
      <c r="E415" s="2">
        <v>6</v>
      </c>
      <c r="F415" s="8">
        <v>40513.397222222222</v>
      </c>
      <c r="G415" s="2">
        <v>2.5499999999999998</v>
      </c>
      <c r="H415" s="2">
        <v>17850</v>
      </c>
      <c r="I415" s="2" t="s">
        <v>10</v>
      </c>
      <c r="J415" s="2">
        <f>ABS(DF_2[[#This Row],[Quantity_BEFORE]])</f>
        <v>6</v>
      </c>
      <c r="K415" s="2">
        <f>DF_2[[#This Row],[QUANTITY]]*DF_2[[#This Row],[UnitPrice]]</f>
        <v>15.299999999999999</v>
      </c>
    </row>
    <row r="416" spans="2:11" x14ac:dyDescent="0.25">
      <c r="B416" s="2">
        <v>536378</v>
      </c>
      <c r="C416" s="2">
        <v>21559</v>
      </c>
      <c r="D416" s="2" t="s">
        <v>86</v>
      </c>
      <c r="E416" s="2">
        <v>6</v>
      </c>
      <c r="F416" s="8">
        <v>40513.400694444441</v>
      </c>
      <c r="G416" s="2">
        <v>2.5499999999999998</v>
      </c>
      <c r="H416" s="2">
        <v>14688</v>
      </c>
      <c r="I416" s="2" t="s">
        <v>10</v>
      </c>
      <c r="J416" s="2">
        <f>ABS(DF_2[[#This Row],[Quantity_BEFORE]])</f>
        <v>6</v>
      </c>
      <c r="K416" s="2">
        <f>DF_2[[#This Row],[QUANTITY]]*DF_2[[#This Row],[UnitPrice]]</f>
        <v>15.299999999999999</v>
      </c>
    </row>
    <row r="417" spans="2:11" x14ac:dyDescent="0.25">
      <c r="B417" s="2">
        <v>536378</v>
      </c>
      <c r="C417" s="2">
        <v>22352</v>
      </c>
      <c r="D417" s="2" t="s">
        <v>87</v>
      </c>
      <c r="E417" s="2">
        <v>6</v>
      </c>
      <c r="F417" s="8">
        <v>40513.400694444441</v>
      </c>
      <c r="G417" s="2">
        <v>2.5499999999999998</v>
      </c>
      <c r="H417" s="2">
        <v>14688</v>
      </c>
      <c r="I417" s="2" t="s">
        <v>10</v>
      </c>
      <c r="J417" s="2">
        <f>ABS(DF_2[[#This Row],[Quantity_BEFORE]])</f>
        <v>6</v>
      </c>
      <c r="K417" s="2">
        <f>DF_2[[#This Row],[QUANTITY]]*DF_2[[#This Row],[UnitPrice]]</f>
        <v>15.299999999999999</v>
      </c>
    </row>
    <row r="418" spans="2:11" x14ac:dyDescent="0.25">
      <c r="B418" s="2">
        <v>536396</v>
      </c>
      <c r="C418" s="2" t="s">
        <v>8</v>
      </c>
      <c r="D418" s="2" t="s">
        <v>9</v>
      </c>
      <c r="E418" s="2">
        <v>6</v>
      </c>
      <c r="F418" s="8">
        <v>40513.45208333333</v>
      </c>
      <c r="G418" s="2">
        <v>2.5499999999999998</v>
      </c>
      <c r="H418" s="2">
        <v>17850</v>
      </c>
      <c r="I418" s="2" t="s">
        <v>10</v>
      </c>
      <c r="J418" s="2">
        <f>ABS(DF_2[[#This Row],[Quantity_BEFORE]])</f>
        <v>6</v>
      </c>
      <c r="K418" s="2">
        <f>DF_2[[#This Row],[QUANTITY]]*DF_2[[#This Row],[UnitPrice]]</f>
        <v>15.299999999999999</v>
      </c>
    </row>
    <row r="419" spans="2:11" x14ac:dyDescent="0.25">
      <c r="B419" s="2">
        <v>536406</v>
      </c>
      <c r="C419" s="2" t="s">
        <v>70</v>
      </c>
      <c r="D419" s="2" t="s">
        <v>71</v>
      </c>
      <c r="E419" s="2">
        <v>6</v>
      </c>
      <c r="F419" s="8">
        <v>40513.481249999997</v>
      </c>
      <c r="G419" s="2">
        <v>2.5499999999999998</v>
      </c>
      <c r="H419" s="2">
        <v>17850</v>
      </c>
      <c r="I419" s="2" t="s">
        <v>10</v>
      </c>
      <c r="J419" s="2">
        <f>ABS(DF_2[[#This Row],[Quantity_BEFORE]])</f>
        <v>6</v>
      </c>
      <c r="K419" s="2">
        <f>DF_2[[#This Row],[QUANTITY]]*DF_2[[#This Row],[UnitPrice]]</f>
        <v>15.299999999999999</v>
      </c>
    </row>
    <row r="420" spans="2:11" x14ac:dyDescent="0.25">
      <c r="B420" s="2">
        <v>536408</v>
      </c>
      <c r="C420" s="2">
        <v>84347</v>
      </c>
      <c r="D420" s="2" t="s">
        <v>377</v>
      </c>
      <c r="E420" s="2">
        <v>6</v>
      </c>
      <c r="F420" s="8">
        <v>40513.486805555556</v>
      </c>
      <c r="G420" s="2">
        <v>2.5499999999999998</v>
      </c>
      <c r="H420" s="2">
        <v>14307</v>
      </c>
      <c r="I420" s="2" t="s">
        <v>10</v>
      </c>
      <c r="J420" s="2">
        <f>ABS(DF_2[[#This Row],[Quantity_BEFORE]])</f>
        <v>6</v>
      </c>
      <c r="K420" s="2">
        <f>DF_2[[#This Row],[QUANTITY]]*DF_2[[#This Row],[UnitPrice]]</f>
        <v>15.299999999999999</v>
      </c>
    </row>
    <row r="421" spans="2:11" x14ac:dyDescent="0.25">
      <c r="B421" s="2">
        <v>536420</v>
      </c>
      <c r="C421" s="2">
        <v>22110</v>
      </c>
      <c r="D421" s="2" t="s">
        <v>262</v>
      </c>
      <c r="E421" s="2">
        <v>6</v>
      </c>
      <c r="F421" s="8">
        <v>40513.502083333333</v>
      </c>
      <c r="G421" s="2">
        <v>2.5499999999999998</v>
      </c>
      <c r="H421" s="2">
        <v>16583</v>
      </c>
      <c r="I421" s="2" t="s">
        <v>10</v>
      </c>
      <c r="J421" s="2">
        <f>ABS(DF_2[[#This Row],[Quantity_BEFORE]])</f>
        <v>6</v>
      </c>
      <c r="K421" s="2">
        <f>DF_2[[#This Row],[QUANTITY]]*DF_2[[#This Row],[UnitPrice]]</f>
        <v>15.299999999999999</v>
      </c>
    </row>
    <row r="422" spans="2:11" x14ac:dyDescent="0.25">
      <c r="B422" s="2">
        <v>536425</v>
      </c>
      <c r="C422" s="2">
        <v>21556</v>
      </c>
      <c r="D422" s="2" t="s">
        <v>512</v>
      </c>
      <c r="E422" s="2">
        <v>6</v>
      </c>
      <c r="F422" s="8">
        <v>40513.505555555559</v>
      </c>
      <c r="G422" s="2">
        <v>2.5499999999999998</v>
      </c>
      <c r="H422" s="2">
        <v>13758</v>
      </c>
      <c r="I422" s="2" t="s">
        <v>10</v>
      </c>
      <c r="J422" s="2">
        <f>ABS(DF_2[[#This Row],[Quantity_BEFORE]])</f>
        <v>6</v>
      </c>
      <c r="K422" s="2">
        <f>DF_2[[#This Row],[QUANTITY]]*DF_2[[#This Row],[UnitPrice]]</f>
        <v>15.299999999999999</v>
      </c>
    </row>
    <row r="423" spans="2:11" x14ac:dyDescent="0.25">
      <c r="B423" s="2">
        <v>536446</v>
      </c>
      <c r="C423" s="2" t="s">
        <v>529</v>
      </c>
      <c r="D423" s="2" t="s">
        <v>530</v>
      </c>
      <c r="E423" s="2">
        <v>6</v>
      </c>
      <c r="F423" s="8">
        <v>40513.510416666664</v>
      </c>
      <c r="G423" s="2">
        <v>2.5499999999999998</v>
      </c>
      <c r="H423" s="2">
        <v>15983</v>
      </c>
      <c r="I423" s="2" t="s">
        <v>10</v>
      </c>
      <c r="J423" s="2">
        <f>ABS(DF_2[[#This Row],[Quantity_BEFORE]])</f>
        <v>6</v>
      </c>
      <c r="K423" s="2">
        <f>DF_2[[#This Row],[QUANTITY]]*DF_2[[#This Row],[UnitPrice]]</f>
        <v>15.299999999999999</v>
      </c>
    </row>
    <row r="424" spans="2:11" x14ac:dyDescent="0.25">
      <c r="B424" s="2">
        <v>536401</v>
      </c>
      <c r="C424" s="2">
        <v>22467</v>
      </c>
      <c r="D424" s="2" t="s">
        <v>314</v>
      </c>
      <c r="E424" s="2">
        <v>5</v>
      </c>
      <c r="F424" s="8">
        <v>40513.472916666666</v>
      </c>
      <c r="G424" s="2">
        <v>2.5499999999999998</v>
      </c>
      <c r="H424" s="2">
        <v>15862</v>
      </c>
      <c r="I424" s="2" t="s">
        <v>10</v>
      </c>
      <c r="J424" s="2">
        <f>ABS(DF_2[[#This Row],[Quantity_BEFORE]])</f>
        <v>5</v>
      </c>
      <c r="K424" s="2">
        <f>DF_2[[#This Row],[QUANTITY]]*DF_2[[#This Row],[UnitPrice]]</f>
        <v>12.75</v>
      </c>
    </row>
    <row r="425" spans="2:11" x14ac:dyDescent="0.25">
      <c r="B425" s="2">
        <v>536446</v>
      </c>
      <c r="C425" s="2">
        <v>21586</v>
      </c>
      <c r="D425" s="2" t="s">
        <v>539</v>
      </c>
      <c r="E425" s="2">
        <v>4</v>
      </c>
      <c r="F425" s="8">
        <v>40513.510416666664</v>
      </c>
      <c r="G425" s="2">
        <v>2.5499999999999998</v>
      </c>
      <c r="H425" s="2">
        <v>15983</v>
      </c>
      <c r="I425" s="2" t="s">
        <v>10</v>
      </c>
      <c r="J425" s="2">
        <f>ABS(DF_2[[#This Row],[Quantity_BEFORE]])</f>
        <v>4</v>
      </c>
      <c r="K425" s="2">
        <f>DF_2[[#This Row],[QUANTITY]]*DF_2[[#This Row],[UnitPrice]]</f>
        <v>10.199999999999999</v>
      </c>
    </row>
    <row r="426" spans="2:11" x14ac:dyDescent="0.25">
      <c r="B426" s="2">
        <v>536446</v>
      </c>
      <c r="C426" s="2">
        <v>21587</v>
      </c>
      <c r="D426" s="2" t="s">
        <v>307</v>
      </c>
      <c r="E426" s="2">
        <v>4</v>
      </c>
      <c r="F426" s="8">
        <v>40513.510416666664</v>
      </c>
      <c r="G426" s="2">
        <v>2.5499999999999998</v>
      </c>
      <c r="H426" s="2">
        <v>15983</v>
      </c>
      <c r="I426" s="2" t="s">
        <v>10</v>
      </c>
      <c r="J426" s="2">
        <f>ABS(DF_2[[#This Row],[Quantity_BEFORE]])</f>
        <v>4</v>
      </c>
      <c r="K426" s="2">
        <f>DF_2[[#This Row],[QUANTITY]]*DF_2[[#This Row],[UnitPrice]]</f>
        <v>10.199999999999999</v>
      </c>
    </row>
    <row r="427" spans="2:11" x14ac:dyDescent="0.25">
      <c r="B427" s="2">
        <v>536520</v>
      </c>
      <c r="C427" s="2">
        <v>22643</v>
      </c>
      <c r="D427" s="2" t="s">
        <v>649</v>
      </c>
      <c r="E427" s="2">
        <v>4</v>
      </c>
      <c r="F427" s="8">
        <v>40513.529861111114</v>
      </c>
      <c r="G427" s="2">
        <v>2.5499999999999998</v>
      </c>
      <c r="H427" s="2">
        <v>14729</v>
      </c>
      <c r="I427" s="2" t="s">
        <v>10</v>
      </c>
      <c r="J427" s="2">
        <f>ABS(DF_2[[#This Row],[Quantity_BEFORE]])</f>
        <v>4</v>
      </c>
      <c r="K427" s="2">
        <f>DF_2[[#This Row],[QUANTITY]]*DF_2[[#This Row],[UnitPrice]]</f>
        <v>10.199999999999999</v>
      </c>
    </row>
    <row r="428" spans="2:11" x14ac:dyDescent="0.25">
      <c r="B428" s="2">
        <v>536520</v>
      </c>
      <c r="C428" s="2">
        <v>22642</v>
      </c>
      <c r="D428" s="2" t="s">
        <v>650</v>
      </c>
      <c r="E428" s="2">
        <v>4</v>
      </c>
      <c r="F428" s="8">
        <v>40513.529861111114</v>
      </c>
      <c r="G428" s="2">
        <v>2.5499999999999998</v>
      </c>
      <c r="H428" s="2">
        <v>14729</v>
      </c>
      <c r="I428" s="2" t="s">
        <v>10</v>
      </c>
      <c r="J428" s="2">
        <f>ABS(DF_2[[#This Row],[Quantity_BEFORE]])</f>
        <v>4</v>
      </c>
      <c r="K428" s="2">
        <f>DF_2[[#This Row],[QUANTITY]]*DF_2[[#This Row],[UnitPrice]]</f>
        <v>10.199999999999999</v>
      </c>
    </row>
    <row r="429" spans="2:11" x14ac:dyDescent="0.25">
      <c r="B429" s="2">
        <v>536488</v>
      </c>
      <c r="C429" s="2">
        <v>84347</v>
      </c>
      <c r="D429" s="2" t="s">
        <v>377</v>
      </c>
      <c r="E429" s="2">
        <v>3</v>
      </c>
      <c r="F429" s="8">
        <v>40513.521527777775</v>
      </c>
      <c r="G429" s="2">
        <v>2.5499999999999998</v>
      </c>
      <c r="H429" s="2">
        <v>17897</v>
      </c>
      <c r="I429" s="2" t="s">
        <v>10</v>
      </c>
      <c r="J429" s="2">
        <f>ABS(DF_2[[#This Row],[Quantity_BEFORE]])</f>
        <v>3</v>
      </c>
      <c r="K429" s="2">
        <f>DF_2[[#This Row],[QUANTITY]]*DF_2[[#This Row],[UnitPrice]]</f>
        <v>7.6499999999999995</v>
      </c>
    </row>
    <row r="430" spans="2:11" x14ac:dyDescent="0.25">
      <c r="B430" s="2">
        <v>536520</v>
      </c>
      <c r="C430" s="2">
        <v>22604</v>
      </c>
      <c r="D430" s="2" t="s">
        <v>651</v>
      </c>
      <c r="E430" s="2">
        <v>3</v>
      </c>
      <c r="F430" s="8">
        <v>40513.529861111114</v>
      </c>
      <c r="G430" s="2">
        <v>2.5499999999999998</v>
      </c>
      <c r="H430" s="2">
        <v>14729</v>
      </c>
      <c r="I430" s="2" t="s">
        <v>10</v>
      </c>
      <c r="J430" s="2">
        <f>ABS(DF_2[[#This Row],[Quantity_BEFORE]])</f>
        <v>3</v>
      </c>
      <c r="K430" s="2">
        <f>DF_2[[#This Row],[QUANTITY]]*DF_2[[#This Row],[UnitPrice]]</f>
        <v>7.6499999999999995</v>
      </c>
    </row>
    <row r="431" spans="2:11" x14ac:dyDescent="0.25">
      <c r="B431" s="2">
        <v>536520</v>
      </c>
      <c r="C431" s="2">
        <v>21588</v>
      </c>
      <c r="D431" s="2" t="s">
        <v>664</v>
      </c>
      <c r="E431" s="2">
        <v>3</v>
      </c>
      <c r="F431" s="8">
        <v>40513.529861111114</v>
      </c>
      <c r="G431" s="2">
        <v>2.5499999999999998</v>
      </c>
      <c r="H431" s="2">
        <v>14729</v>
      </c>
      <c r="I431" s="2" t="s">
        <v>10</v>
      </c>
      <c r="J431" s="2">
        <f>ABS(DF_2[[#This Row],[Quantity_BEFORE]])</f>
        <v>3</v>
      </c>
      <c r="K431" s="2">
        <f>DF_2[[#This Row],[QUANTITY]]*DF_2[[#This Row],[UnitPrice]]</f>
        <v>7.6499999999999995</v>
      </c>
    </row>
    <row r="432" spans="2:11" x14ac:dyDescent="0.25">
      <c r="B432" s="2">
        <v>536520</v>
      </c>
      <c r="C432" s="2">
        <v>22583</v>
      </c>
      <c r="D432" s="2" t="s">
        <v>666</v>
      </c>
      <c r="E432" s="2">
        <v>3</v>
      </c>
      <c r="F432" s="8">
        <v>40513.529861111114</v>
      </c>
      <c r="G432" s="2">
        <v>2.5499999999999998</v>
      </c>
      <c r="H432" s="2">
        <v>14729</v>
      </c>
      <c r="I432" s="2" t="s">
        <v>10</v>
      </c>
      <c r="J432" s="2">
        <f>ABS(DF_2[[#This Row],[Quantity_BEFORE]])</f>
        <v>3</v>
      </c>
      <c r="K432" s="2">
        <f>DF_2[[#This Row],[QUANTITY]]*DF_2[[#This Row],[UnitPrice]]</f>
        <v>7.6499999999999995</v>
      </c>
    </row>
    <row r="433" spans="2:11" x14ac:dyDescent="0.25">
      <c r="B433" s="2">
        <v>536381</v>
      </c>
      <c r="C433" s="2">
        <v>47580</v>
      </c>
      <c r="D433" s="2" t="s">
        <v>122</v>
      </c>
      <c r="E433" s="2">
        <v>2</v>
      </c>
      <c r="F433" s="8">
        <v>40513.40347222222</v>
      </c>
      <c r="G433" s="2">
        <v>2.5499999999999998</v>
      </c>
      <c r="H433" s="2">
        <v>15311</v>
      </c>
      <c r="I433" s="2" t="s">
        <v>10</v>
      </c>
      <c r="J433" s="2">
        <f>ABS(DF_2[[#This Row],[Quantity_BEFORE]])</f>
        <v>2</v>
      </c>
      <c r="K433" s="2">
        <f>DF_2[[#This Row],[QUANTITY]]*DF_2[[#This Row],[UnitPrice]]</f>
        <v>5.0999999999999996</v>
      </c>
    </row>
    <row r="434" spans="2:11" x14ac:dyDescent="0.25">
      <c r="B434" s="2">
        <v>536401</v>
      </c>
      <c r="C434" s="2">
        <v>21587</v>
      </c>
      <c r="D434" s="2" t="s">
        <v>307</v>
      </c>
      <c r="E434" s="2">
        <v>2</v>
      </c>
      <c r="F434" s="8">
        <v>40513.472916666666</v>
      </c>
      <c r="G434" s="2">
        <v>2.5499999999999998</v>
      </c>
      <c r="H434" s="2">
        <v>15862</v>
      </c>
      <c r="I434" s="2" t="s">
        <v>10</v>
      </c>
      <c r="J434" s="2">
        <f>ABS(DF_2[[#This Row],[Quantity_BEFORE]])</f>
        <v>2</v>
      </c>
      <c r="K434" s="2">
        <f>DF_2[[#This Row],[QUANTITY]]*DF_2[[#This Row],[UnitPrice]]</f>
        <v>5.0999999999999996</v>
      </c>
    </row>
    <row r="435" spans="2:11" x14ac:dyDescent="0.25">
      <c r="B435" s="2">
        <v>536520</v>
      </c>
      <c r="C435" s="2">
        <v>22588</v>
      </c>
      <c r="D435" s="2" t="s">
        <v>643</v>
      </c>
      <c r="E435" s="2">
        <v>2</v>
      </c>
      <c r="F435" s="8">
        <v>40513.529861111114</v>
      </c>
      <c r="G435" s="2">
        <v>2.5499999999999998</v>
      </c>
      <c r="H435" s="2">
        <v>14729</v>
      </c>
      <c r="I435" s="2" t="s">
        <v>10</v>
      </c>
      <c r="J435" s="2">
        <f>ABS(DF_2[[#This Row],[Quantity_BEFORE]])</f>
        <v>2</v>
      </c>
      <c r="K435" s="2">
        <f>DF_2[[#This Row],[QUANTITY]]*DF_2[[#This Row],[UnitPrice]]</f>
        <v>5.0999999999999996</v>
      </c>
    </row>
    <row r="436" spans="2:11" x14ac:dyDescent="0.25">
      <c r="B436" s="2">
        <v>536520</v>
      </c>
      <c r="C436" s="2">
        <v>22582</v>
      </c>
      <c r="D436" s="2" t="s">
        <v>592</v>
      </c>
      <c r="E436" s="2">
        <v>2</v>
      </c>
      <c r="F436" s="8">
        <v>40513.529861111114</v>
      </c>
      <c r="G436" s="2">
        <v>2.5499999999999998</v>
      </c>
      <c r="H436" s="2">
        <v>14729</v>
      </c>
      <c r="I436" s="2" t="s">
        <v>10</v>
      </c>
      <c r="J436" s="2">
        <f>ABS(DF_2[[#This Row],[Quantity_BEFORE]])</f>
        <v>2</v>
      </c>
      <c r="K436" s="2">
        <f>DF_2[[#This Row],[QUANTITY]]*DF_2[[#This Row],[UnitPrice]]</f>
        <v>5.0999999999999996</v>
      </c>
    </row>
    <row r="437" spans="2:11" x14ac:dyDescent="0.25">
      <c r="B437" s="2">
        <v>536381</v>
      </c>
      <c r="C437" s="2">
        <v>22637</v>
      </c>
      <c r="D437" s="2" t="s">
        <v>110</v>
      </c>
      <c r="E437" s="2">
        <v>1</v>
      </c>
      <c r="F437" s="8">
        <v>40513.40347222222</v>
      </c>
      <c r="G437" s="2">
        <v>2.5499999999999998</v>
      </c>
      <c r="H437" s="2">
        <v>15311</v>
      </c>
      <c r="I437" s="2" t="s">
        <v>10</v>
      </c>
      <c r="J437" s="2">
        <f>ABS(DF_2[[#This Row],[Quantity_BEFORE]])</f>
        <v>1</v>
      </c>
      <c r="K437" s="2">
        <f>DF_2[[#This Row],[QUANTITY]]*DF_2[[#This Row],[UnitPrice]]</f>
        <v>2.5499999999999998</v>
      </c>
    </row>
    <row r="438" spans="2:11" x14ac:dyDescent="0.25">
      <c r="B438" s="2">
        <v>536401</v>
      </c>
      <c r="C438" s="2">
        <v>22110</v>
      </c>
      <c r="D438" s="2" t="s">
        <v>262</v>
      </c>
      <c r="E438" s="2">
        <v>1</v>
      </c>
      <c r="F438" s="8">
        <v>40513.472916666666</v>
      </c>
      <c r="G438" s="2">
        <v>2.5499999999999998</v>
      </c>
      <c r="H438" s="2">
        <v>15862</v>
      </c>
      <c r="I438" s="2" t="s">
        <v>10</v>
      </c>
      <c r="J438" s="2">
        <f>ABS(DF_2[[#This Row],[Quantity_BEFORE]])</f>
        <v>1</v>
      </c>
      <c r="K438" s="2">
        <f>DF_2[[#This Row],[QUANTITY]]*DF_2[[#This Row],[UnitPrice]]</f>
        <v>2.5499999999999998</v>
      </c>
    </row>
    <row r="439" spans="2:11" x14ac:dyDescent="0.25">
      <c r="B439" s="2">
        <v>536401</v>
      </c>
      <c r="C439" s="2">
        <v>85150</v>
      </c>
      <c r="D439" s="2" t="s">
        <v>284</v>
      </c>
      <c r="E439" s="2">
        <v>1</v>
      </c>
      <c r="F439" s="8">
        <v>40513.472916666666</v>
      </c>
      <c r="G439" s="2">
        <v>2.5499999999999998</v>
      </c>
      <c r="H439" s="2">
        <v>15862</v>
      </c>
      <c r="I439" s="2" t="s">
        <v>10</v>
      </c>
      <c r="J439" s="2">
        <f>ABS(DF_2[[#This Row],[Quantity_BEFORE]])</f>
        <v>1</v>
      </c>
      <c r="K439" s="2">
        <f>DF_2[[#This Row],[QUANTITY]]*DF_2[[#This Row],[UnitPrice]]</f>
        <v>2.5499999999999998</v>
      </c>
    </row>
    <row r="440" spans="2:11" x14ac:dyDescent="0.25">
      <c r="B440" s="2">
        <v>536464</v>
      </c>
      <c r="C440" s="2">
        <v>22582</v>
      </c>
      <c r="D440" s="2" t="s">
        <v>592</v>
      </c>
      <c r="E440" s="2">
        <v>1</v>
      </c>
      <c r="F440" s="8">
        <v>40513.515972222223</v>
      </c>
      <c r="G440" s="2">
        <v>2.5499999999999998</v>
      </c>
      <c r="H440" s="2">
        <v>17968</v>
      </c>
      <c r="I440" s="2" t="s">
        <v>10</v>
      </c>
      <c r="J440" s="2">
        <f>ABS(DF_2[[#This Row],[Quantity_BEFORE]])</f>
        <v>1</v>
      </c>
      <c r="K440" s="2">
        <f>DF_2[[#This Row],[QUANTITY]]*DF_2[[#This Row],[UnitPrice]]</f>
        <v>2.5499999999999998</v>
      </c>
    </row>
    <row r="441" spans="2:11" x14ac:dyDescent="0.25">
      <c r="B441" s="2">
        <v>536488</v>
      </c>
      <c r="C441" s="2">
        <v>84347</v>
      </c>
      <c r="D441" s="2" t="s">
        <v>377</v>
      </c>
      <c r="E441" s="2">
        <v>1</v>
      </c>
      <c r="F441" s="8">
        <v>40513.521527777775</v>
      </c>
      <c r="G441" s="2">
        <v>2.5499999999999998</v>
      </c>
      <c r="H441" s="2">
        <v>17897</v>
      </c>
      <c r="I441" s="2" t="s">
        <v>10</v>
      </c>
      <c r="J441" s="2">
        <f>ABS(DF_2[[#This Row],[Quantity_BEFORE]])</f>
        <v>1</v>
      </c>
      <c r="K441" s="2">
        <f>DF_2[[#This Row],[QUANTITY]]*DF_2[[#This Row],[UnitPrice]]</f>
        <v>2.5499999999999998</v>
      </c>
    </row>
    <row r="442" spans="2:11" x14ac:dyDescent="0.25">
      <c r="B442" s="2">
        <v>536488</v>
      </c>
      <c r="C442" s="2">
        <v>84347</v>
      </c>
      <c r="D442" s="2" t="s">
        <v>377</v>
      </c>
      <c r="E442" s="2">
        <v>1</v>
      </c>
      <c r="F442" s="8">
        <v>40513.521527777775</v>
      </c>
      <c r="G442" s="2">
        <v>2.5499999999999998</v>
      </c>
      <c r="H442" s="2">
        <v>17897</v>
      </c>
      <c r="I442" s="2" t="s">
        <v>10</v>
      </c>
      <c r="J442" s="2">
        <f>ABS(DF_2[[#This Row],[Quantity_BEFORE]])</f>
        <v>1</v>
      </c>
      <c r="K442" s="2">
        <f>DF_2[[#This Row],[QUANTITY]]*DF_2[[#This Row],[UnitPrice]]</f>
        <v>2.5499999999999998</v>
      </c>
    </row>
    <row r="443" spans="2:11" x14ac:dyDescent="0.25">
      <c r="B443" s="2">
        <v>536488</v>
      </c>
      <c r="C443" s="2">
        <v>21367</v>
      </c>
      <c r="D443" s="2" t="s">
        <v>622</v>
      </c>
      <c r="E443" s="2">
        <v>1</v>
      </c>
      <c r="F443" s="8">
        <v>40513.521527777775</v>
      </c>
      <c r="G443" s="2">
        <v>2.5499999999999998</v>
      </c>
      <c r="H443" s="2">
        <v>17897</v>
      </c>
      <c r="I443" s="2" t="s">
        <v>10</v>
      </c>
      <c r="J443" s="2">
        <f>ABS(DF_2[[#This Row],[Quantity_BEFORE]])</f>
        <v>1</v>
      </c>
      <c r="K443" s="2">
        <f>DF_2[[#This Row],[QUANTITY]]*DF_2[[#This Row],[UnitPrice]]</f>
        <v>2.5499999999999998</v>
      </c>
    </row>
    <row r="444" spans="2:11" x14ac:dyDescent="0.25">
      <c r="B444" s="2">
        <v>536520</v>
      </c>
      <c r="C444" s="2">
        <v>22583</v>
      </c>
      <c r="D444" s="2" t="s">
        <v>666</v>
      </c>
      <c r="E444" s="2">
        <v>1</v>
      </c>
      <c r="F444" s="8">
        <v>40513.529861111114</v>
      </c>
      <c r="G444" s="2">
        <v>2.5499999999999998</v>
      </c>
      <c r="H444" s="2">
        <v>14729</v>
      </c>
      <c r="I444" s="2" t="s">
        <v>10</v>
      </c>
      <c r="J444" s="2">
        <f>ABS(DF_2[[#This Row],[Quantity_BEFORE]])</f>
        <v>1</v>
      </c>
      <c r="K444" s="2">
        <f>DF_2[[#This Row],[QUANTITY]]*DF_2[[#This Row],[UnitPrice]]</f>
        <v>2.5499999999999998</v>
      </c>
    </row>
    <row r="445" spans="2:11" x14ac:dyDescent="0.25">
      <c r="B445" s="2">
        <v>536520</v>
      </c>
      <c r="C445" s="2">
        <v>20772</v>
      </c>
      <c r="D445" s="2" t="s">
        <v>676</v>
      </c>
      <c r="E445" s="2">
        <v>1</v>
      </c>
      <c r="F445" s="8">
        <v>40513.529861111114</v>
      </c>
      <c r="G445" s="2">
        <v>2.5499999999999998</v>
      </c>
      <c r="H445" s="2">
        <v>14729</v>
      </c>
      <c r="I445" s="2" t="s">
        <v>10</v>
      </c>
      <c r="J445" s="2">
        <f>ABS(DF_2[[#This Row],[Quantity_BEFORE]])</f>
        <v>1</v>
      </c>
      <c r="K445" s="2">
        <f>DF_2[[#This Row],[QUANTITY]]*DF_2[[#This Row],[UnitPrice]]</f>
        <v>2.5499999999999998</v>
      </c>
    </row>
    <row r="446" spans="2:11" x14ac:dyDescent="0.25">
      <c r="B446" s="2">
        <v>536488</v>
      </c>
      <c r="C446" s="2">
        <v>21577</v>
      </c>
      <c r="D446" s="2" t="s">
        <v>617</v>
      </c>
      <c r="E446" s="2">
        <v>1</v>
      </c>
      <c r="F446" s="8">
        <v>40513.521527777775</v>
      </c>
      <c r="G446" s="2">
        <v>2.25</v>
      </c>
      <c r="H446" s="2">
        <v>17897</v>
      </c>
      <c r="I446" s="2" t="s">
        <v>10</v>
      </c>
      <c r="J446" s="2">
        <f>ABS(DF_2[[#This Row],[Quantity_BEFORE]])</f>
        <v>1</v>
      </c>
      <c r="K446" s="2">
        <f>DF_2[[#This Row],[QUANTITY]]*DF_2[[#This Row],[UnitPrice]]</f>
        <v>2.25</v>
      </c>
    </row>
    <row r="447" spans="2:11" x14ac:dyDescent="0.25">
      <c r="B447" s="2">
        <v>536395</v>
      </c>
      <c r="C447" s="2">
        <v>22867</v>
      </c>
      <c r="D447" s="2" t="s">
        <v>248</v>
      </c>
      <c r="E447" s="2">
        <v>48</v>
      </c>
      <c r="F447" s="8">
        <v>40513.449305555558</v>
      </c>
      <c r="G447" s="2">
        <v>2.1</v>
      </c>
      <c r="H447" s="2">
        <v>13767</v>
      </c>
      <c r="I447" s="2" t="s">
        <v>10</v>
      </c>
      <c r="J447" s="2">
        <f>ABS(DF_2[[#This Row],[Quantity_BEFORE]])</f>
        <v>48</v>
      </c>
      <c r="K447" s="2">
        <f>DF_2[[#This Row],[QUANTITY]]*DF_2[[#This Row],[UnitPrice]]</f>
        <v>100.80000000000001</v>
      </c>
    </row>
    <row r="448" spans="2:11" x14ac:dyDescent="0.25">
      <c r="B448" s="2">
        <v>536395</v>
      </c>
      <c r="C448" s="2">
        <v>22866</v>
      </c>
      <c r="D448" s="2" t="s">
        <v>237</v>
      </c>
      <c r="E448" s="2">
        <v>48</v>
      </c>
      <c r="F448" s="8">
        <v>40513.449305555558</v>
      </c>
      <c r="G448" s="2">
        <v>2.1</v>
      </c>
      <c r="H448" s="2">
        <v>13767</v>
      </c>
      <c r="I448" s="2" t="s">
        <v>10</v>
      </c>
      <c r="J448" s="2">
        <f>ABS(DF_2[[#This Row],[Quantity_BEFORE]])</f>
        <v>48</v>
      </c>
      <c r="K448" s="2">
        <f>DF_2[[#This Row],[QUANTITY]]*DF_2[[#This Row],[UnitPrice]]</f>
        <v>100.80000000000001</v>
      </c>
    </row>
    <row r="449" spans="2:11" x14ac:dyDescent="0.25">
      <c r="B449" s="2">
        <v>536477</v>
      </c>
      <c r="C449" s="2">
        <v>22041</v>
      </c>
      <c r="D449" s="2" t="s">
        <v>607</v>
      </c>
      <c r="E449" s="2">
        <v>48</v>
      </c>
      <c r="F449" s="8">
        <v>40513.518750000003</v>
      </c>
      <c r="G449" s="2">
        <v>2.1</v>
      </c>
      <c r="H449" s="2">
        <v>16210</v>
      </c>
      <c r="I449" s="2" t="s">
        <v>10</v>
      </c>
      <c r="J449" s="2">
        <f>ABS(DF_2[[#This Row],[Quantity_BEFORE]])</f>
        <v>48</v>
      </c>
      <c r="K449" s="2">
        <f>DF_2[[#This Row],[QUANTITY]]*DF_2[[#This Row],[UnitPrice]]</f>
        <v>100.80000000000001</v>
      </c>
    </row>
    <row r="450" spans="2:11" x14ac:dyDescent="0.25">
      <c r="B450" s="2">
        <v>536514</v>
      </c>
      <c r="C450" s="2">
        <v>22865</v>
      </c>
      <c r="D450" s="2" t="s">
        <v>238</v>
      </c>
      <c r="E450" s="2">
        <v>36</v>
      </c>
      <c r="F450" s="8">
        <v>40513.527777777781</v>
      </c>
      <c r="G450" s="2">
        <v>2.1</v>
      </c>
      <c r="H450" s="2">
        <v>17951</v>
      </c>
      <c r="I450" s="2" t="s">
        <v>10</v>
      </c>
      <c r="J450" s="2">
        <f>ABS(DF_2[[#This Row],[Quantity_BEFORE]])</f>
        <v>36</v>
      </c>
      <c r="K450" s="2">
        <f>DF_2[[#This Row],[QUANTITY]]*DF_2[[#This Row],[UnitPrice]]</f>
        <v>75.600000000000009</v>
      </c>
    </row>
    <row r="451" spans="2:11" x14ac:dyDescent="0.25">
      <c r="B451" s="2">
        <v>536514</v>
      </c>
      <c r="C451" s="2">
        <v>22633</v>
      </c>
      <c r="D451" s="2" t="s">
        <v>20</v>
      </c>
      <c r="E451" s="2">
        <v>36</v>
      </c>
      <c r="F451" s="8">
        <v>40513.527777777781</v>
      </c>
      <c r="G451" s="2">
        <v>2.1</v>
      </c>
      <c r="H451" s="2">
        <v>17951</v>
      </c>
      <c r="I451" s="2" t="s">
        <v>10</v>
      </c>
      <c r="J451" s="2">
        <f>ABS(DF_2[[#This Row],[Quantity_BEFORE]])</f>
        <v>36</v>
      </c>
      <c r="K451" s="2">
        <f>DF_2[[#This Row],[QUANTITY]]*DF_2[[#This Row],[UnitPrice]]</f>
        <v>75.600000000000009</v>
      </c>
    </row>
    <row r="452" spans="2:11" x14ac:dyDescent="0.25">
      <c r="B452" s="2">
        <v>536514</v>
      </c>
      <c r="C452" s="2">
        <v>22866</v>
      </c>
      <c r="D452" s="2" t="s">
        <v>237</v>
      </c>
      <c r="E452" s="2">
        <v>36</v>
      </c>
      <c r="F452" s="8">
        <v>40513.527777777781</v>
      </c>
      <c r="G452" s="2">
        <v>2.1</v>
      </c>
      <c r="H452" s="2">
        <v>17951</v>
      </c>
      <c r="I452" s="2" t="s">
        <v>10</v>
      </c>
      <c r="J452" s="2">
        <f>ABS(DF_2[[#This Row],[Quantity_BEFORE]])</f>
        <v>36</v>
      </c>
      <c r="K452" s="2">
        <f>DF_2[[#This Row],[QUANTITY]]*DF_2[[#This Row],[UnitPrice]]</f>
        <v>75.600000000000009</v>
      </c>
    </row>
    <row r="453" spans="2:11" x14ac:dyDescent="0.25">
      <c r="B453" s="2">
        <v>536394</v>
      </c>
      <c r="C453" s="2">
        <v>85152</v>
      </c>
      <c r="D453" s="2" t="s">
        <v>242</v>
      </c>
      <c r="E453" s="2">
        <v>12</v>
      </c>
      <c r="F453" s="8">
        <v>40513.443749999999</v>
      </c>
      <c r="G453" s="2">
        <v>2.1</v>
      </c>
      <c r="H453" s="2">
        <v>13408</v>
      </c>
      <c r="I453" s="2" t="s">
        <v>10</v>
      </c>
      <c r="J453" s="2">
        <f>ABS(DF_2[[#This Row],[Quantity_BEFORE]])</f>
        <v>12</v>
      </c>
      <c r="K453" s="2">
        <f>DF_2[[#This Row],[QUANTITY]]*DF_2[[#This Row],[UnitPrice]]</f>
        <v>25.200000000000003</v>
      </c>
    </row>
    <row r="454" spans="2:11" x14ac:dyDescent="0.25">
      <c r="B454" s="2">
        <v>536398</v>
      </c>
      <c r="C454" s="2">
        <v>22632</v>
      </c>
      <c r="D454" s="2" t="s">
        <v>239</v>
      </c>
      <c r="E454" s="2">
        <v>12</v>
      </c>
      <c r="F454" s="8">
        <v>40513.452777777777</v>
      </c>
      <c r="G454" s="2">
        <v>2.1</v>
      </c>
      <c r="H454" s="2">
        <v>13448</v>
      </c>
      <c r="I454" s="2" t="s">
        <v>10</v>
      </c>
      <c r="J454" s="2">
        <f>ABS(DF_2[[#This Row],[Quantity_BEFORE]])</f>
        <v>12</v>
      </c>
      <c r="K454" s="2">
        <f>DF_2[[#This Row],[QUANTITY]]*DF_2[[#This Row],[UnitPrice]]</f>
        <v>25.200000000000003</v>
      </c>
    </row>
    <row r="455" spans="2:11" x14ac:dyDescent="0.25">
      <c r="B455" s="2">
        <v>536398</v>
      </c>
      <c r="C455" s="2">
        <v>22866</v>
      </c>
      <c r="D455" s="2" t="s">
        <v>237</v>
      </c>
      <c r="E455" s="2">
        <v>12</v>
      </c>
      <c r="F455" s="8">
        <v>40513.452777777777</v>
      </c>
      <c r="G455" s="2">
        <v>2.1</v>
      </c>
      <c r="H455" s="2">
        <v>13448</v>
      </c>
      <c r="I455" s="2" t="s">
        <v>10</v>
      </c>
      <c r="J455" s="2">
        <f>ABS(DF_2[[#This Row],[Quantity_BEFORE]])</f>
        <v>12</v>
      </c>
      <c r="K455" s="2">
        <f>DF_2[[#This Row],[QUANTITY]]*DF_2[[#This Row],[UnitPrice]]</f>
        <v>25.200000000000003</v>
      </c>
    </row>
    <row r="456" spans="2:11" x14ac:dyDescent="0.25">
      <c r="B456" s="2">
        <v>536398</v>
      </c>
      <c r="C456" s="2">
        <v>22865</v>
      </c>
      <c r="D456" s="2" t="s">
        <v>238</v>
      </c>
      <c r="E456" s="2">
        <v>12</v>
      </c>
      <c r="F456" s="8">
        <v>40513.452777777777</v>
      </c>
      <c r="G456" s="2">
        <v>2.1</v>
      </c>
      <c r="H456" s="2">
        <v>13448</v>
      </c>
      <c r="I456" s="2" t="s">
        <v>10</v>
      </c>
      <c r="J456" s="2">
        <f>ABS(DF_2[[#This Row],[Quantity_BEFORE]])</f>
        <v>12</v>
      </c>
      <c r="K456" s="2">
        <f>DF_2[[#This Row],[QUANTITY]]*DF_2[[#This Row],[UnitPrice]]</f>
        <v>25.200000000000003</v>
      </c>
    </row>
    <row r="457" spans="2:11" x14ac:dyDescent="0.25">
      <c r="B457" s="2">
        <v>536404</v>
      </c>
      <c r="C457" s="2">
        <v>22964</v>
      </c>
      <c r="D457" s="2" t="s">
        <v>342</v>
      </c>
      <c r="E457" s="2">
        <v>12</v>
      </c>
      <c r="F457" s="8">
        <v>40513.478472222225</v>
      </c>
      <c r="G457" s="2">
        <v>2.1</v>
      </c>
      <c r="H457" s="2">
        <v>16218</v>
      </c>
      <c r="I457" s="2" t="s">
        <v>10</v>
      </c>
      <c r="J457" s="2">
        <f>ABS(DF_2[[#This Row],[Quantity_BEFORE]])</f>
        <v>12</v>
      </c>
      <c r="K457" s="2">
        <f>DF_2[[#This Row],[QUANTITY]]*DF_2[[#This Row],[UnitPrice]]</f>
        <v>25.200000000000003</v>
      </c>
    </row>
    <row r="458" spans="2:11" x14ac:dyDescent="0.25">
      <c r="B458" s="2">
        <v>536408</v>
      </c>
      <c r="C458" s="2">
        <v>84375</v>
      </c>
      <c r="D458" s="2" t="s">
        <v>358</v>
      </c>
      <c r="E458" s="2">
        <v>12</v>
      </c>
      <c r="F458" s="8">
        <v>40513.486805555556</v>
      </c>
      <c r="G458" s="2">
        <v>2.1</v>
      </c>
      <c r="H458" s="2">
        <v>14307</v>
      </c>
      <c r="I458" s="2" t="s">
        <v>10</v>
      </c>
      <c r="J458" s="2">
        <f>ABS(DF_2[[#This Row],[Quantity_BEFORE]])</f>
        <v>12</v>
      </c>
      <c r="K458" s="2">
        <f>DF_2[[#This Row],[QUANTITY]]*DF_2[[#This Row],[UnitPrice]]</f>
        <v>25.200000000000003</v>
      </c>
    </row>
    <row r="459" spans="2:11" x14ac:dyDescent="0.25">
      <c r="B459" s="2">
        <v>536423</v>
      </c>
      <c r="C459" s="2">
        <v>22632</v>
      </c>
      <c r="D459" s="2" t="s">
        <v>239</v>
      </c>
      <c r="E459" s="2">
        <v>12</v>
      </c>
      <c r="F459" s="8">
        <v>40513.505555555559</v>
      </c>
      <c r="G459" s="2">
        <v>2.1</v>
      </c>
      <c r="H459" s="2">
        <v>18085</v>
      </c>
      <c r="I459" s="2" t="s">
        <v>10</v>
      </c>
      <c r="J459" s="2">
        <f>ABS(DF_2[[#This Row],[Quantity_BEFORE]])</f>
        <v>12</v>
      </c>
      <c r="K459" s="2">
        <f>DF_2[[#This Row],[QUANTITY]]*DF_2[[#This Row],[UnitPrice]]</f>
        <v>25.200000000000003</v>
      </c>
    </row>
    <row r="460" spans="2:11" x14ac:dyDescent="0.25">
      <c r="B460" s="2">
        <v>536477</v>
      </c>
      <c r="C460" s="2">
        <v>22633</v>
      </c>
      <c r="D460" s="2" t="s">
        <v>20</v>
      </c>
      <c r="E460" s="2">
        <v>12</v>
      </c>
      <c r="F460" s="8">
        <v>40513.518750000003</v>
      </c>
      <c r="G460" s="2">
        <v>2.1</v>
      </c>
      <c r="H460" s="2">
        <v>16210</v>
      </c>
      <c r="I460" s="2" t="s">
        <v>10</v>
      </c>
      <c r="J460" s="2">
        <f>ABS(DF_2[[#This Row],[Quantity_BEFORE]])</f>
        <v>12</v>
      </c>
      <c r="K460" s="2">
        <f>DF_2[[#This Row],[QUANTITY]]*DF_2[[#This Row],[UnitPrice]]</f>
        <v>25.200000000000003</v>
      </c>
    </row>
    <row r="461" spans="2:11" x14ac:dyDescent="0.25">
      <c r="B461" s="2">
        <v>536477</v>
      </c>
      <c r="C461" s="2">
        <v>22632</v>
      </c>
      <c r="D461" s="2" t="s">
        <v>239</v>
      </c>
      <c r="E461" s="2">
        <v>12</v>
      </c>
      <c r="F461" s="8">
        <v>40513.518750000003</v>
      </c>
      <c r="G461" s="2">
        <v>2.1</v>
      </c>
      <c r="H461" s="2">
        <v>16210</v>
      </c>
      <c r="I461" s="2" t="s">
        <v>10</v>
      </c>
      <c r="J461" s="2">
        <f>ABS(DF_2[[#This Row],[Quantity_BEFORE]])</f>
        <v>12</v>
      </c>
      <c r="K461" s="2">
        <f>DF_2[[#This Row],[QUANTITY]]*DF_2[[#This Row],[UnitPrice]]</f>
        <v>25.200000000000003</v>
      </c>
    </row>
    <row r="462" spans="2:11" x14ac:dyDescent="0.25">
      <c r="B462" s="2">
        <v>536382</v>
      </c>
      <c r="C462" s="2">
        <v>22379</v>
      </c>
      <c r="D462" s="2" t="s">
        <v>143</v>
      </c>
      <c r="E462" s="2">
        <v>10</v>
      </c>
      <c r="F462" s="8">
        <v>40513.40625</v>
      </c>
      <c r="G462" s="2">
        <v>2.1</v>
      </c>
      <c r="H462" s="2">
        <v>16098</v>
      </c>
      <c r="I462" s="2" t="s">
        <v>10</v>
      </c>
      <c r="J462" s="2">
        <f>ABS(DF_2[[#This Row],[Quantity_BEFORE]])</f>
        <v>10</v>
      </c>
      <c r="K462" s="2">
        <f>DF_2[[#This Row],[QUANTITY]]*DF_2[[#This Row],[UnitPrice]]</f>
        <v>21</v>
      </c>
    </row>
    <row r="463" spans="2:11" x14ac:dyDescent="0.25">
      <c r="B463" s="2">
        <v>536395</v>
      </c>
      <c r="C463" s="2">
        <v>21314</v>
      </c>
      <c r="D463" s="2" t="s">
        <v>245</v>
      </c>
      <c r="E463" s="2">
        <v>8</v>
      </c>
      <c r="F463" s="8">
        <v>40513.449305555558</v>
      </c>
      <c r="G463" s="2">
        <v>2.1</v>
      </c>
      <c r="H463" s="2">
        <v>13767</v>
      </c>
      <c r="I463" s="2" t="s">
        <v>10</v>
      </c>
      <c r="J463" s="2">
        <f>ABS(DF_2[[#This Row],[Quantity_BEFORE]])</f>
        <v>8</v>
      </c>
      <c r="K463" s="2">
        <f>DF_2[[#This Row],[QUANTITY]]*DF_2[[#This Row],[UnitPrice]]</f>
        <v>16.8</v>
      </c>
    </row>
    <row r="464" spans="2:11" x14ac:dyDescent="0.25">
      <c r="B464" s="2">
        <v>536412</v>
      </c>
      <c r="C464" s="2">
        <v>22902</v>
      </c>
      <c r="D464" s="2" t="s">
        <v>446</v>
      </c>
      <c r="E464" s="2">
        <v>7</v>
      </c>
      <c r="F464" s="8">
        <v>40513.492361111108</v>
      </c>
      <c r="G464" s="2">
        <v>2.1</v>
      </c>
      <c r="H464" s="2">
        <v>17920</v>
      </c>
      <c r="I464" s="2" t="s">
        <v>10</v>
      </c>
      <c r="J464" s="2">
        <f>ABS(DF_2[[#This Row],[Quantity_BEFORE]])</f>
        <v>7</v>
      </c>
      <c r="K464" s="2">
        <f>DF_2[[#This Row],[QUANTITY]]*DF_2[[#This Row],[UnitPrice]]</f>
        <v>14.700000000000001</v>
      </c>
    </row>
    <row r="465" spans="2:11" x14ac:dyDescent="0.25">
      <c r="B465" s="2">
        <v>536412</v>
      </c>
      <c r="C465" s="2">
        <v>22902</v>
      </c>
      <c r="D465" s="2" t="s">
        <v>446</v>
      </c>
      <c r="E465" s="2">
        <v>7</v>
      </c>
      <c r="F465" s="8">
        <v>40513.492361111108</v>
      </c>
      <c r="G465" s="2">
        <v>2.1</v>
      </c>
      <c r="H465" s="2">
        <v>17920</v>
      </c>
      <c r="I465" s="2" t="s">
        <v>10</v>
      </c>
      <c r="J465" s="2">
        <f>ABS(DF_2[[#This Row],[Quantity_BEFORE]])</f>
        <v>7</v>
      </c>
      <c r="K465" s="2">
        <f>DF_2[[#This Row],[QUANTITY]]*DF_2[[#This Row],[UnitPrice]]</f>
        <v>14.700000000000001</v>
      </c>
    </row>
    <row r="466" spans="2:11" x14ac:dyDescent="0.25">
      <c r="B466" s="2">
        <v>536367</v>
      </c>
      <c r="C466" s="2">
        <v>22745</v>
      </c>
      <c r="D466" s="2" t="s">
        <v>23</v>
      </c>
      <c r="E466" s="2">
        <v>6</v>
      </c>
      <c r="F466" s="8">
        <v>40513.356944444444</v>
      </c>
      <c r="G466" s="2">
        <v>2.1</v>
      </c>
      <c r="H466" s="2">
        <v>13047</v>
      </c>
      <c r="I466" s="2" t="s">
        <v>10</v>
      </c>
      <c r="J466" s="2">
        <f>ABS(DF_2[[#This Row],[Quantity_BEFORE]])</f>
        <v>6</v>
      </c>
      <c r="K466" s="2">
        <f>DF_2[[#This Row],[QUANTITY]]*DF_2[[#This Row],[UnitPrice]]</f>
        <v>12.600000000000001</v>
      </c>
    </row>
    <row r="467" spans="2:11" x14ac:dyDescent="0.25">
      <c r="B467" s="2">
        <v>536367</v>
      </c>
      <c r="C467" s="2">
        <v>22748</v>
      </c>
      <c r="D467" s="2" t="s">
        <v>24</v>
      </c>
      <c r="E467" s="2">
        <v>6</v>
      </c>
      <c r="F467" s="8">
        <v>40513.356944444444</v>
      </c>
      <c r="G467" s="2">
        <v>2.1</v>
      </c>
      <c r="H467" s="2">
        <v>13047</v>
      </c>
      <c r="I467" s="2" t="s">
        <v>10</v>
      </c>
      <c r="J467" s="2">
        <f>ABS(DF_2[[#This Row],[Quantity_BEFORE]])</f>
        <v>6</v>
      </c>
      <c r="K467" s="2">
        <f>DF_2[[#This Row],[QUANTITY]]*DF_2[[#This Row],[UnitPrice]]</f>
        <v>12.600000000000001</v>
      </c>
    </row>
    <row r="468" spans="2:11" x14ac:dyDescent="0.25">
      <c r="B468" s="2">
        <v>536373</v>
      </c>
      <c r="C468" s="2">
        <v>82482</v>
      </c>
      <c r="D468" s="2" t="s">
        <v>69</v>
      </c>
      <c r="E468" s="2">
        <v>6</v>
      </c>
      <c r="F468" s="8">
        <v>40513.376388888886</v>
      </c>
      <c r="G468" s="2">
        <v>2.1</v>
      </c>
      <c r="H468" s="2">
        <v>17850</v>
      </c>
      <c r="I468" s="2" t="s">
        <v>10</v>
      </c>
      <c r="J468" s="2">
        <f>ABS(DF_2[[#This Row],[Quantity_BEFORE]])</f>
        <v>6</v>
      </c>
      <c r="K468" s="2">
        <f>DF_2[[#This Row],[QUANTITY]]*DF_2[[#This Row],[UnitPrice]]</f>
        <v>12.600000000000001</v>
      </c>
    </row>
    <row r="469" spans="2:11" x14ac:dyDescent="0.25">
      <c r="B469" s="2">
        <v>536375</v>
      </c>
      <c r="C469" s="2">
        <v>82482</v>
      </c>
      <c r="D469" s="2" t="s">
        <v>69</v>
      </c>
      <c r="E469" s="2">
        <v>6</v>
      </c>
      <c r="F469" s="8">
        <v>40513.397222222222</v>
      </c>
      <c r="G469" s="2">
        <v>2.1</v>
      </c>
      <c r="H469" s="2">
        <v>17850</v>
      </c>
      <c r="I469" s="2" t="s">
        <v>10</v>
      </c>
      <c r="J469" s="2">
        <f>ABS(DF_2[[#This Row],[Quantity_BEFORE]])</f>
        <v>6</v>
      </c>
      <c r="K469" s="2">
        <f>DF_2[[#This Row],[QUANTITY]]*DF_2[[#This Row],[UnitPrice]]</f>
        <v>12.600000000000001</v>
      </c>
    </row>
    <row r="470" spans="2:11" x14ac:dyDescent="0.25">
      <c r="B470" s="2">
        <v>536396</v>
      </c>
      <c r="C470" s="2">
        <v>82482</v>
      </c>
      <c r="D470" s="2" t="s">
        <v>69</v>
      </c>
      <c r="E470" s="2">
        <v>6</v>
      </c>
      <c r="F470" s="8">
        <v>40513.45208333333</v>
      </c>
      <c r="G470" s="2">
        <v>2.1</v>
      </c>
      <c r="H470" s="2">
        <v>17850</v>
      </c>
      <c r="I470" s="2" t="s">
        <v>10</v>
      </c>
      <c r="J470" s="2">
        <f>ABS(DF_2[[#This Row],[Quantity_BEFORE]])</f>
        <v>6</v>
      </c>
      <c r="K470" s="2">
        <f>DF_2[[#This Row],[QUANTITY]]*DF_2[[#This Row],[UnitPrice]]</f>
        <v>12.600000000000001</v>
      </c>
    </row>
    <row r="471" spans="2:11" x14ac:dyDescent="0.25">
      <c r="B471" s="2">
        <v>536406</v>
      </c>
      <c r="C471" s="2">
        <v>82482</v>
      </c>
      <c r="D471" s="2" t="s">
        <v>69</v>
      </c>
      <c r="E471" s="2">
        <v>6</v>
      </c>
      <c r="F471" s="8">
        <v>40513.481249999997</v>
      </c>
      <c r="G471" s="2">
        <v>2.1</v>
      </c>
      <c r="H471" s="2">
        <v>17850</v>
      </c>
      <c r="I471" s="2" t="s">
        <v>10</v>
      </c>
      <c r="J471" s="2">
        <f>ABS(DF_2[[#This Row],[Quantity_BEFORE]])</f>
        <v>6</v>
      </c>
      <c r="K471" s="2">
        <f>DF_2[[#This Row],[QUANTITY]]*DF_2[[#This Row],[UnitPrice]]</f>
        <v>12.600000000000001</v>
      </c>
    </row>
    <row r="472" spans="2:11" x14ac:dyDescent="0.25">
      <c r="B472" s="2">
        <v>536408</v>
      </c>
      <c r="C472" s="2">
        <v>22964</v>
      </c>
      <c r="D472" s="2" t="s">
        <v>342</v>
      </c>
      <c r="E472" s="2">
        <v>6</v>
      </c>
      <c r="F472" s="8">
        <v>40513.486805555556</v>
      </c>
      <c r="G472" s="2">
        <v>2.1</v>
      </c>
      <c r="H472" s="2">
        <v>14307</v>
      </c>
      <c r="I472" s="2" t="s">
        <v>10</v>
      </c>
      <c r="J472" s="2">
        <f>ABS(DF_2[[#This Row],[Quantity_BEFORE]])</f>
        <v>6</v>
      </c>
      <c r="K472" s="2">
        <f>DF_2[[#This Row],[QUANTITY]]*DF_2[[#This Row],[UnitPrice]]</f>
        <v>12.600000000000001</v>
      </c>
    </row>
    <row r="473" spans="2:11" x14ac:dyDescent="0.25">
      <c r="B473" s="2">
        <v>536409</v>
      </c>
      <c r="C473" s="2">
        <v>85116</v>
      </c>
      <c r="D473" s="2" t="s">
        <v>387</v>
      </c>
      <c r="E473" s="2">
        <v>5</v>
      </c>
      <c r="F473" s="8">
        <v>40513.489583333336</v>
      </c>
      <c r="G473" s="2">
        <v>2.1</v>
      </c>
      <c r="H473" s="2">
        <v>17908</v>
      </c>
      <c r="I473" s="2" t="s">
        <v>10</v>
      </c>
      <c r="J473" s="2">
        <f>ABS(DF_2[[#This Row],[Quantity_BEFORE]])</f>
        <v>5</v>
      </c>
      <c r="K473" s="2">
        <f>DF_2[[#This Row],[QUANTITY]]*DF_2[[#This Row],[UnitPrice]]</f>
        <v>10.5</v>
      </c>
    </row>
    <row r="474" spans="2:11" x14ac:dyDescent="0.25">
      <c r="B474" s="2">
        <v>536415</v>
      </c>
      <c r="C474" s="2">
        <v>22694</v>
      </c>
      <c r="D474" s="2" t="s">
        <v>467</v>
      </c>
      <c r="E474" s="2">
        <v>5</v>
      </c>
      <c r="F474" s="8">
        <v>40513.497916666667</v>
      </c>
      <c r="G474" s="2">
        <v>2.1</v>
      </c>
      <c r="H474" s="2">
        <v>12838</v>
      </c>
      <c r="I474" s="2" t="s">
        <v>10</v>
      </c>
      <c r="J474" s="2">
        <f>ABS(DF_2[[#This Row],[Quantity_BEFORE]])</f>
        <v>5</v>
      </c>
      <c r="K474" s="2">
        <f>DF_2[[#This Row],[QUANTITY]]*DF_2[[#This Row],[UnitPrice]]</f>
        <v>10.5</v>
      </c>
    </row>
    <row r="475" spans="2:11" x14ac:dyDescent="0.25">
      <c r="B475" s="2">
        <v>536415</v>
      </c>
      <c r="C475" s="2">
        <v>22149</v>
      </c>
      <c r="D475" s="2" t="s">
        <v>469</v>
      </c>
      <c r="E475" s="2">
        <v>4</v>
      </c>
      <c r="F475" s="8">
        <v>40513.497916666667</v>
      </c>
      <c r="G475" s="2">
        <v>2.1</v>
      </c>
      <c r="H475" s="2">
        <v>12838</v>
      </c>
      <c r="I475" s="2" t="s">
        <v>10</v>
      </c>
      <c r="J475" s="2">
        <f>ABS(DF_2[[#This Row],[Quantity_BEFORE]])</f>
        <v>4</v>
      </c>
      <c r="K475" s="2">
        <f>DF_2[[#This Row],[QUANTITY]]*DF_2[[#This Row],[UnitPrice]]</f>
        <v>8.4</v>
      </c>
    </row>
    <row r="476" spans="2:11" x14ac:dyDescent="0.25">
      <c r="B476" s="2">
        <v>536520</v>
      </c>
      <c r="C476" s="2">
        <v>22632</v>
      </c>
      <c r="D476" s="2" t="s">
        <v>239</v>
      </c>
      <c r="E476" s="2">
        <v>4</v>
      </c>
      <c r="F476" s="8">
        <v>40513.529861111114</v>
      </c>
      <c r="G476" s="2">
        <v>2.1</v>
      </c>
      <c r="H476" s="2">
        <v>14729</v>
      </c>
      <c r="I476" s="2" t="s">
        <v>10</v>
      </c>
      <c r="J476" s="2">
        <f>ABS(DF_2[[#This Row],[Quantity_BEFORE]])</f>
        <v>4</v>
      </c>
      <c r="K476" s="2">
        <f>DF_2[[#This Row],[QUANTITY]]*DF_2[[#This Row],[UnitPrice]]</f>
        <v>8.4</v>
      </c>
    </row>
    <row r="477" spans="2:11" x14ac:dyDescent="0.25">
      <c r="B477" s="2">
        <v>536415</v>
      </c>
      <c r="C477" s="2">
        <v>22834</v>
      </c>
      <c r="D477" s="2" t="s">
        <v>483</v>
      </c>
      <c r="E477" s="2">
        <v>3</v>
      </c>
      <c r="F477" s="8">
        <v>40513.497916666667</v>
      </c>
      <c r="G477" s="2">
        <v>2.1</v>
      </c>
      <c r="H477" s="2">
        <v>12838</v>
      </c>
      <c r="I477" s="2" t="s">
        <v>10</v>
      </c>
      <c r="J477" s="2">
        <f>ABS(DF_2[[#This Row],[Quantity_BEFORE]])</f>
        <v>3</v>
      </c>
      <c r="K477" s="2">
        <f>DF_2[[#This Row],[QUANTITY]]*DF_2[[#This Row],[UnitPrice]]</f>
        <v>6.3000000000000007</v>
      </c>
    </row>
    <row r="478" spans="2:11" x14ac:dyDescent="0.25">
      <c r="B478" s="2">
        <v>536415</v>
      </c>
      <c r="C478" s="2">
        <v>22867</v>
      </c>
      <c r="D478" s="2" t="s">
        <v>248</v>
      </c>
      <c r="E478" s="2">
        <v>3</v>
      </c>
      <c r="F478" s="8">
        <v>40513.497916666667</v>
      </c>
      <c r="G478" s="2">
        <v>2.1</v>
      </c>
      <c r="H478" s="2">
        <v>12838</v>
      </c>
      <c r="I478" s="2" t="s">
        <v>10</v>
      </c>
      <c r="J478" s="2">
        <f>ABS(DF_2[[#This Row],[Quantity_BEFORE]])</f>
        <v>3</v>
      </c>
      <c r="K478" s="2">
        <f>DF_2[[#This Row],[QUANTITY]]*DF_2[[#This Row],[UnitPrice]]</f>
        <v>6.3000000000000007</v>
      </c>
    </row>
    <row r="479" spans="2:11" x14ac:dyDescent="0.25">
      <c r="B479" s="2">
        <v>536415</v>
      </c>
      <c r="C479" s="2">
        <v>22865</v>
      </c>
      <c r="D479" s="2" t="s">
        <v>238</v>
      </c>
      <c r="E479" s="2">
        <v>3</v>
      </c>
      <c r="F479" s="8">
        <v>40513.497916666667</v>
      </c>
      <c r="G479" s="2">
        <v>2.1</v>
      </c>
      <c r="H479" s="2">
        <v>12838</v>
      </c>
      <c r="I479" s="2" t="s">
        <v>10</v>
      </c>
      <c r="J479" s="2">
        <f>ABS(DF_2[[#This Row],[Quantity_BEFORE]])</f>
        <v>3</v>
      </c>
      <c r="K479" s="2">
        <f>DF_2[[#This Row],[QUANTITY]]*DF_2[[#This Row],[UnitPrice]]</f>
        <v>6.3000000000000007</v>
      </c>
    </row>
    <row r="480" spans="2:11" x14ac:dyDescent="0.25">
      <c r="B480" s="2">
        <v>536415</v>
      </c>
      <c r="C480" s="2">
        <v>22632</v>
      </c>
      <c r="D480" s="2" t="s">
        <v>239</v>
      </c>
      <c r="E480" s="2">
        <v>3</v>
      </c>
      <c r="F480" s="8">
        <v>40513.497916666667</v>
      </c>
      <c r="G480" s="2">
        <v>2.1</v>
      </c>
      <c r="H480" s="2">
        <v>12838</v>
      </c>
      <c r="I480" s="2" t="s">
        <v>10</v>
      </c>
      <c r="J480" s="2">
        <f>ABS(DF_2[[#This Row],[Quantity_BEFORE]])</f>
        <v>3</v>
      </c>
      <c r="K480" s="2">
        <f>DF_2[[#This Row],[QUANTITY]]*DF_2[[#This Row],[UnitPrice]]</f>
        <v>6.3000000000000007</v>
      </c>
    </row>
    <row r="481" spans="2:11" x14ac:dyDescent="0.25">
      <c r="B481" s="2">
        <v>536464</v>
      </c>
      <c r="C481" s="2">
        <v>22866</v>
      </c>
      <c r="D481" s="2" t="s">
        <v>237</v>
      </c>
      <c r="E481" s="2">
        <v>3</v>
      </c>
      <c r="F481" s="8">
        <v>40513.515972222223</v>
      </c>
      <c r="G481" s="2">
        <v>2.1</v>
      </c>
      <c r="H481" s="2">
        <v>17968</v>
      </c>
      <c r="I481" s="2" t="s">
        <v>10</v>
      </c>
      <c r="J481" s="2">
        <f>ABS(DF_2[[#This Row],[Quantity_BEFORE]])</f>
        <v>3</v>
      </c>
      <c r="K481" s="2">
        <f>DF_2[[#This Row],[QUANTITY]]*DF_2[[#This Row],[UnitPrice]]</f>
        <v>6.3000000000000007</v>
      </c>
    </row>
    <row r="482" spans="2:11" x14ac:dyDescent="0.25">
      <c r="B482" s="2">
        <v>536520</v>
      </c>
      <c r="C482" s="2">
        <v>22633</v>
      </c>
      <c r="D482" s="2" t="s">
        <v>20</v>
      </c>
      <c r="E482" s="2">
        <v>3</v>
      </c>
      <c r="F482" s="8">
        <v>40513.529861111114</v>
      </c>
      <c r="G482" s="2">
        <v>2.1</v>
      </c>
      <c r="H482" s="2">
        <v>14729</v>
      </c>
      <c r="I482" s="2" t="s">
        <v>10</v>
      </c>
      <c r="J482" s="2">
        <f>ABS(DF_2[[#This Row],[Quantity_BEFORE]])</f>
        <v>3</v>
      </c>
      <c r="K482" s="2">
        <f>DF_2[[#This Row],[QUANTITY]]*DF_2[[#This Row],[UnitPrice]]</f>
        <v>6.3000000000000007</v>
      </c>
    </row>
    <row r="483" spans="2:11" x14ac:dyDescent="0.25">
      <c r="B483" s="2">
        <v>536381</v>
      </c>
      <c r="C483" s="2">
        <v>82567</v>
      </c>
      <c r="D483" s="2" t="s">
        <v>104</v>
      </c>
      <c r="E483" s="2">
        <v>2</v>
      </c>
      <c r="F483" s="8">
        <v>40513.40347222222</v>
      </c>
      <c r="G483" s="2">
        <v>2.1</v>
      </c>
      <c r="H483" s="2">
        <v>15311</v>
      </c>
      <c r="I483" s="2" t="s">
        <v>10</v>
      </c>
      <c r="J483" s="2">
        <f>ABS(DF_2[[#This Row],[Quantity_BEFORE]])</f>
        <v>2</v>
      </c>
      <c r="K483" s="2">
        <f>DF_2[[#This Row],[QUANTITY]]*DF_2[[#This Row],[UnitPrice]]</f>
        <v>4.2</v>
      </c>
    </row>
    <row r="484" spans="2:11" x14ac:dyDescent="0.25">
      <c r="B484" s="2">
        <v>536381</v>
      </c>
      <c r="C484" s="2">
        <v>21175</v>
      </c>
      <c r="D484" s="2" t="s">
        <v>114</v>
      </c>
      <c r="E484" s="2">
        <v>2</v>
      </c>
      <c r="F484" s="8">
        <v>40513.40347222222</v>
      </c>
      <c r="G484" s="2">
        <v>2.1</v>
      </c>
      <c r="H484" s="2">
        <v>15311</v>
      </c>
      <c r="I484" s="2" t="s">
        <v>10</v>
      </c>
      <c r="J484" s="2">
        <f>ABS(DF_2[[#This Row],[Quantity_BEFORE]])</f>
        <v>2</v>
      </c>
      <c r="K484" s="2">
        <f>DF_2[[#This Row],[QUANTITY]]*DF_2[[#This Row],[UnitPrice]]</f>
        <v>4.2</v>
      </c>
    </row>
    <row r="485" spans="2:11" x14ac:dyDescent="0.25">
      <c r="B485" s="2">
        <v>536401</v>
      </c>
      <c r="C485" s="2">
        <v>21907</v>
      </c>
      <c r="D485" s="2" t="s">
        <v>291</v>
      </c>
      <c r="E485" s="2">
        <v>2</v>
      </c>
      <c r="F485" s="8">
        <v>40513.472916666666</v>
      </c>
      <c r="G485" s="2">
        <v>2.1</v>
      </c>
      <c r="H485" s="2">
        <v>15862</v>
      </c>
      <c r="I485" s="2" t="s">
        <v>10</v>
      </c>
      <c r="J485" s="2">
        <f>ABS(DF_2[[#This Row],[Quantity_BEFORE]])</f>
        <v>2</v>
      </c>
      <c r="K485" s="2">
        <f>DF_2[[#This Row],[QUANTITY]]*DF_2[[#This Row],[UnitPrice]]</f>
        <v>4.2</v>
      </c>
    </row>
    <row r="486" spans="2:11" x14ac:dyDescent="0.25">
      <c r="B486" s="2">
        <v>536412</v>
      </c>
      <c r="C486" s="2">
        <v>22144</v>
      </c>
      <c r="D486" s="2" t="s">
        <v>438</v>
      </c>
      <c r="E486" s="2">
        <v>2</v>
      </c>
      <c r="F486" s="8">
        <v>40513.492361111108</v>
      </c>
      <c r="G486" s="2">
        <v>2.1</v>
      </c>
      <c r="H486" s="2">
        <v>17920</v>
      </c>
      <c r="I486" s="2" t="s">
        <v>10</v>
      </c>
      <c r="J486" s="2">
        <f>ABS(DF_2[[#This Row],[Quantity_BEFORE]])</f>
        <v>2</v>
      </c>
      <c r="K486" s="2">
        <f>DF_2[[#This Row],[QUANTITY]]*DF_2[[#This Row],[UnitPrice]]</f>
        <v>4.2</v>
      </c>
    </row>
    <row r="487" spans="2:11" x14ac:dyDescent="0.25">
      <c r="B487" s="2">
        <v>536415</v>
      </c>
      <c r="C487" s="2">
        <v>22899</v>
      </c>
      <c r="D487" s="2" t="s">
        <v>478</v>
      </c>
      <c r="E487" s="2">
        <v>2</v>
      </c>
      <c r="F487" s="8">
        <v>40513.497916666667</v>
      </c>
      <c r="G487" s="2">
        <v>2.1</v>
      </c>
      <c r="H487" s="2">
        <v>12838</v>
      </c>
      <c r="I487" s="2" t="s">
        <v>10</v>
      </c>
      <c r="J487" s="2">
        <f>ABS(DF_2[[#This Row],[Quantity_BEFORE]])</f>
        <v>2</v>
      </c>
      <c r="K487" s="2">
        <f>DF_2[[#This Row],[QUANTITY]]*DF_2[[#This Row],[UnitPrice]]</f>
        <v>4.2</v>
      </c>
    </row>
    <row r="488" spans="2:11" x14ac:dyDescent="0.25">
      <c r="B488" s="2">
        <v>536446</v>
      </c>
      <c r="C488" s="2">
        <v>22144</v>
      </c>
      <c r="D488" s="2" t="s">
        <v>438</v>
      </c>
      <c r="E488" s="2">
        <v>2</v>
      </c>
      <c r="F488" s="8">
        <v>40513.510416666664</v>
      </c>
      <c r="G488" s="2">
        <v>2.1</v>
      </c>
      <c r="H488" s="2">
        <v>15983</v>
      </c>
      <c r="I488" s="2" t="s">
        <v>10</v>
      </c>
      <c r="J488" s="2">
        <f>ABS(DF_2[[#This Row],[Quantity_BEFORE]])</f>
        <v>2</v>
      </c>
      <c r="K488" s="2">
        <f>DF_2[[#This Row],[QUANTITY]]*DF_2[[#This Row],[UnitPrice]]</f>
        <v>4.2</v>
      </c>
    </row>
    <row r="489" spans="2:11" x14ac:dyDescent="0.25">
      <c r="B489" s="2">
        <v>536488</v>
      </c>
      <c r="C489" s="2">
        <v>22149</v>
      </c>
      <c r="D489" s="2" t="s">
        <v>469</v>
      </c>
      <c r="E489" s="2">
        <v>2</v>
      </c>
      <c r="F489" s="8">
        <v>40513.521527777775</v>
      </c>
      <c r="G489" s="2">
        <v>2.1</v>
      </c>
      <c r="H489" s="2">
        <v>17897</v>
      </c>
      <c r="I489" s="2" t="s">
        <v>10</v>
      </c>
      <c r="J489" s="2">
        <f>ABS(DF_2[[#This Row],[Quantity_BEFORE]])</f>
        <v>2</v>
      </c>
      <c r="K489" s="2">
        <f>DF_2[[#This Row],[QUANTITY]]*DF_2[[#This Row],[UnitPrice]]</f>
        <v>4.2</v>
      </c>
    </row>
    <row r="490" spans="2:11" x14ac:dyDescent="0.25">
      <c r="B490" s="2">
        <v>536488</v>
      </c>
      <c r="C490" s="2">
        <v>22144</v>
      </c>
      <c r="D490" s="2" t="s">
        <v>438</v>
      </c>
      <c r="E490" s="2">
        <v>2</v>
      </c>
      <c r="F490" s="8">
        <v>40513.521527777775</v>
      </c>
      <c r="G490" s="2">
        <v>2.1</v>
      </c>
      <c r="H490" s="2">
        <v>17897</v>
      </c>
      <c r="I490" s="2" t="s">
        <v>10</v>
      </c>
      <c r="J490" s="2">
        <f>ABS(DF_2[[#This Row],[Quantity_BEFORE]])</f>
        <v>2</v>
      </c>
      <c r="K490" s="2">
        <f>DF_2[[#This Row],[QUANTITY]]*DF_2[[#This Row],[UnitPrice]]</f>
        <v>4.2</v>
      </c>
    </row>
    <row r="491" spans="2:11" x14ac:dyDescent="0.25">
      <c r="B491" s="2">
        <v>536520</v>
      </c>
      <c r="C491" s="2">
        <v>22955</v>
      </c>
      <c r="D491" s="2" t="s">
        <v>665</v>
      </c>
      <c r="E491" s="2">
        <v>2</v>
      </c>
      <c r="F491" s="8">
        <v>40513.529861111114</v>
      </c>
      <c r="G491" s="2">
        <v>2.1</v>
      </c>
      <c r="H491" s="2">
        <v>14729</v>
      </c>
      <c r="I491" s="2" t="s">
        <v>10</v>
      </c>
      <c r="J491" s="2">
        <f>ABS(DF_2[[#This Row],[Quantity_BEFORE]])</f>
        <v>2</v>
      </c>
      <c r="K491" s="2">
        <f>DF_2[[#This Row],[QUANTITY]]*DF_2[[#This Row],[UnitPrice]]</f>
        <v>4.2</v>
      </c>
    </row>
    <row r="492" spans="2:11" x14ac:dyDescent="0.25">
      <c r="B492" s="2">
        <v>536520</v>
      </c>
      <c r="C492" s="2">
        <v>22956</v>
      </c>
      <c r="D492" s="2" t="s">
        <v>591</v>
      </c>
      <c r="E492" s="2">
        <v>2</v>
      </c>
      <c r="F492" s="8">
        <v>40513.529861111114</v>
      </c>
      <c r="G492" s="2">
        <v>2.1</v>
      </c>
      <c r="H492" s="2">
        <v>14729</v>
      </c>
      <c r="I492" s="2" t="s">
        <v>10</v>
      </c>
      <c r="J492" s="2">
        <f>ABS(DF_2[[#This Row],[Quantity_BEFORE]])</f>
        <v>2</v>
      </c>
      <c r="K492" s="2">
        <f>DF_2[[#This Row],[QUANTITY]]*DF_2[[#This Row],[UnitPrice]]</f>
        <v>4.2</v>
      </c>
    </row>
    <row r="493" spans="2:11" x14ac:dyDescent="0.25">
      <c r="B493" s="2">
        <v>536520</v>
      </c>
      <c r="C493" s="2">
        <v>21427</v>
      </c>
      <c r="D493" s="2" t="s">
        <v>674</v>
      </c>
      <c r="E493" s="2">
        <v>2</v>
      </c>
      <c r="F493" s="8">
        <v>40513.529861111114</v>
      </c>
      <c r="G493" s="2">
        <v>2.1</v>
      </c>
      <c r="H493" s="2">
        <v>14729</v>
      </c>
      <c r="I493" s="2" t="s">
        <v>10</v>
      </c>
      <c r="J493" s="2">
        <f>ABS(DF_2[[#This Row],[Quantity_BEFORE]])</f>
        <v>2</v>
      </c>
      <c r="K493" s="2">
        <f>DF_2[[#This Row],[QUANTITY]]*DF_2[[#This Row],[UnitPrice]]</f>
        <v>4.2</v>
      </c>
    </row>
    <row r="494" spans="2:11" x14ac:dyDescent="0.25">
      <c r="B494" s="2">
        <v>536401</v>
      </c>
      <c r="C494" s="2">
        <v>22441</v>
      </c>
      <c r="D494" s="2" t="s">
        <v>292</v>
      </c>
      <c r="E494" s="2">
        <v>1</v>
      </c>
      <c r="F494" s="8">
        <v>40513.472916666666</v>
      </c>
      <c r="G494" s="2">
        <v>2.1</v>
      </c>
      <c r="H494" s="2">
        <v>15862</v>
      </c>
      <c r="I494" s="2" t="s">
        <v>10</v>
      </c>
      <c r="J494" s="2">
        <f>ABS(DF_2[[#This Row],[Quantity_BEFORE]])</f>
        <v>1</v>
      </c>
      <c r="K494" s="2">
        <f>DF_2[[#This Row],[QUANTITY]]*DF_2[[#This Row],[UnitPrice]]</f>
        <v>2.1</v>
      </c>
    </row>
    <row r="495" spans="2:11" x14ac:dyDescent="0.25">
      <c r="B495" s="2">
        <v>536409</v>
      </c>
      <c r="C495" s="2">
        <v>22866</v>
      </c>
      <c r="D495" s="2" t="s">
        <v>237</v>
      </c>
      <c r="E495" s="2">
        <v>1</v>
      </c>
      <c r="F495" s="8">
        <v>40513.489583333336</v>
      </c>
      <c r="G495" s="2">
        <v>2.1</v>
      </c>
      <c r="H495" s="2">
        <v>17908</v>
      </c>
      <c r="I495" s="2" t="s">
        <v>10</v>
      </c>
      <c r="J495" s="2">
        <f>ABS(DF_2[[#This Row],[Quantity_BEFORE]])</f>
        <v>1</v>
      </c>
      <c r="K495" s="2">
        <f>DF_2[[#This Row],[QUANTITY]]*DF_2[[#This Row],[UnitPrice]]</f>
        <v>2.1</v>
      </c>
    </row>
    <row r="496" spans="2:11" x14ac:dyDescent="0.25">
      <c r="B496" s="2">
        <v>536409</v>
      </c>
      <c r="C496" s="2">
        <v>85116</v>
      </c>
      <c r="D496" s="2" t="s">
        <v>387</v>
      </c>
      <c r="E496" s="2">
        <v>1</v>
      </c>
      <c r="F496" s="8">
        <v>40513.489583333336</v>
      </c>
      <c r="G496" s="2">
        <v>2.1</v>
      </c>
      <c r="H496" s="2">
        <v>17908</v>
      </c>
      <c r="I496" s="2" t="s">
        <v>10</v>
      </c>
      <c r="J496" s="2">
        <f>ABS(DF_2[[#This Row],[Quantity_BEFORE]])</f>
        <v>1</v>
      </c>
      <c r="K496" s="2">
        <f>DF_2[[#This Row],[QUANTITY]]*DF_2[[#This Row],[UnitPrice]]</f>
        <v>2.1</v>
      </c>
    </row>
    <row r="497" spans="2:11" x14ac:dyDescent="0.25">
      <c r="B497" s="2">
        <v>536409</v>
      </c>
      <c r="C497" s="2">
        <v>22664</v>
      </c>
      <c r="D497" s="2" t="s">
        <v>388</v>
      </c>
      <c r="E497" s="2">
        <v>1</v>
      </c>
      <c r="F497" s="8">
        <v>40513.489583333336</v>
      </c>
      <c r="G497" s="2">
        <v>2.1</v>
      </c>
      <c r="H497" s="2">
        <v>17908</v>
      </c>
      <c r="I497" s="2" t="s">
        <v>10</v>
      </c>
      <c r="J497" s="2">
        <f>ABS(DF_2[[#This Row],[Quantity_BEFORE]])</f>
        <v>1</v>
      </c>
      <c r="K497" s="2">
        <f>DF_2[[#This Row],[QUANTITY]]*DF_2[[#This Row],[UnitPrice]]</f>
        <v>2.1</v>
      </c>
    </row>
    <row r="498" spans="2:11" x14ac:dyDescent="0.25">
      <c r="B498" s="2">
        <v>536409</v>
      </c>
      <c r="C498" s="2">
        <v>22633</v>
      </c>
      <c r="D498" s="2" t="s">
        <v>20</v>
      </c>
      <c r="E498" s="2">
        <v>1</v>
      </c>
      <c r="F498" s="8">
        <v>40513.489583333336</v>
      </c>
      <c r="G498" s="2">
        <v>2.1</v>
      </c>
      <c r="H498" s="2">
        <v>17908</v>
      </c>
      <c r="I498" s="2" t="s">
        <v>10</v>
      </c>
      <c r="J498" s="2">
        <f>ABS(DF_2[[#This Row],[Quantity_BEFORE]])</f>
        <v>1</v>
      </c>
      <c r="K498" s="2">
        <f>DF_2[[#This Row],[QUANTITY]]*DF_2[[#This Row],[UnitPrice]]</f>
        <v>2.1</v>
      </c>
    </row>
    <row r="499" spans="2:11" x14ac:dyDescent="0.25">
      <c r="B499" s="2">
        <v>536409</v>
      </c>
      <c r="C499" s="2">
        <v>22866</v>
      </c>
      <c r="D499" s="2" t="s">
        <v>237</v>
      </c>
      <c r="E499" s="2">
        <v>1</v>
      </c>
      <c r="F499" s="8">
        <v>40513.489583333336</v>
      </c>
      <c r="G499" s="2">
        <v>2.1</v>
      </c>
      <c r="H499" s="2">
        <v>17908</v>
      </c>
      <c r="I499" s="2" t="s">
        <v>10</v>
      </c>
      <c r="J499" s="2">
        <f>ABS(DF_2[[#This Row],[Quantity_BEFORE]])</f>
        <v>1</v>
      </c>
      <c r="K499" s="2">
        <f>DF_2[[#This Row],[QUANTITY]]*DF_2[[#This Row],[UnitPrice]]</f>
        <v>2.1</v>
      </c>
    </row>
    <row r="500" spans="2:11" x14ac:dyDescent="0.25">
      <c r="B500" s="2">
        <v>536412</v>
      </c>
      <c r="C500" s="2">
        <v>22141</v>
      </c>
      <c r="D500" s="2" t="s">
        <v>437</v>
      </c>
      <c r="E500" s="2">
        <v>1</v>
      </c>
      <c r="F500" s="8">
        <v>40513.492361111108</v>
      </c>
      <c r="G500" s="2">
        <v>2.1</v>
      </c>
      <c r="H500" s="2">
        <v>17920</v>
      </c>
      <c r="I500" s="2" t="s">
        <v>10</v>
      </c>
      <c r="J500" s="2">
        <f>ABS(DF_2[[#This Row],[Quantity_BEFORE]])</f>
        <v>1</v>
      </c>
      <c r="K500" s="2">
        <f>DF_2[[#This Row],[QUANTITY]]*DF_2[[#This Row],[UnitPrice]]</f>
        <v>2.1</v>
      </c>
    </row>
    <row r="501" spans="2:11" x14ac:dyDescent="0.25">
      <c r="B501" s="2">
        <v>536412</v>
      </c>
      <c r="C501" s="2">
        <v>22141</v>
      </c>
      <c r="D501" s="2" t="s">
        <v>437</v>
      </c>
      <c r="E501" s="2">
        <v>1</v>
      </c>
      <c r="F501" s="8">
        <v>40513.492361111108</v>
      </c>
      <c r="G501" s="2">
        <v>2.1</v>
      </c>
      <c r="H501" s="2">
        <v>17920</v>
      </c>
      <c r="I501" s="2" t="s">
        <v>10</v>
      </c>
      <c r="J501" s="2">
        <f>ABS(DF_2[[#This Row],[Quantity_BEFORE]])</f>
        <v>1</v>
      </c>
      <c r="K501" s="2">
        <f>DF_2[[#This Row],[QUANTITY]]*DF_2[[#This Row],[UnitPrice]]</f>
        <v>2.1</v>
      </c>
    </row>
    <row r="502" spans="2:11" x14ac:dyDescent="0.25">
      <c r="B502" s="2">
        <v>536412</v>
      </c>
      <c r="C502" s="2">
        <v>22144</v>
      </c>
      <c r="D502" s="2" t="s">
        <v>438</v>
      </c>
      <c r="E502" s="2">
        <v>1</v>
      </c>
      <c r="F502" s="8">
        <v>40513.492361111108</v>
      </c>
      <c r="G502" s="2">
        <v>2.1</v>
      </c>
      <c r="H502" s="2">
        <v>17920</v>
      </c>
      <c r="I502" s="2" t="s">
        <v>10</v>
      </c>
      <c r="J502" s="2">
        <f>ABS(DF_2[[#This Row],[Quantity_BEFORE]])</f>
        <v>1</v>
      </c>
      <c r="K502" s="2">
        <f>DF_2[[#This Row],[QUANTITY]]*DF_2[[#This Row],[UnitPrice]]</f>
        <v>2.1</v>
      </c>
    </row>
    <row r="503" spans="2:11" x14ac:dyDescent="0.25">
      <c r="B503" s="2">
        <v>536464</v>
      </c>
      <c r="C503" s="2">
        <v>22866</v>
      </c>
      <c r="D503" s="2" t="s">
        <v>237</v>
      </c>
      <c r="E503" s="2">
        <v>1</v>
      </c>
      <c r="F503" s="8">
        <v>40513.515972222223</v>
      </c>
      <c r="G503" s="2">
        <v>2.1</v>
      </c>
      <c r="H503" s="2">
        <v>17968</v>
      </c>
      <c r="I503" s="2" t="s">
        <v>10</v>
      </c>
      <c r="J503" s="2">
        <f>ABS(DF_2[[#This Row],[Quantity_BEFORE]])</f>
        <v>1</v>
      </c>
      <c r="K503" s="2">
        <f>DF_2[[#This Row],[QUANTITY]]*DF_2[[#This Row],[UnitPrice]]</f>
        <v>2.1</v>
      </c>
    </row>
    <row r="504" spans="2:11" x14ac:dyDescent="0.25">
      <c r="B504" s="2">
        <v>536464</v>
      </c>
      <c r="C504" s="2">
        <v>22866</v>
      </c>
      <c r="D504" s="2" t="s">
        <v>237</v>
      </c>
      <c r="E504" s="2">
        <v>1</v>
      </c>
      <c r="F504" s="8">
        <v>40513.515972222223</v>
      </c>
      <c r="G504" s="2">
        <v>2.1</v>
      </c>
      <c r="H504" s="2">
        <v>17968</v>
      </c>
      <c r="I504" s="2" t="s">
        <v>10</v>
      </c>
      <c r="J504" s="2">
        <f>ABS(DF_2[[#This Row],[Quantity_BEFORE]])</f>
        <v>1</v>
      </c>
      <c r="K504" s="2">
        <f>DF_2[[#This Row],[QUANTITY]]*DF_2[[#This Row],[UnitPrice]]</f>
        <v>2.1</v>
      </c>
    </row>
    <row r="505" spans="2:11" x14ac:dyDescent="0.25">
      <c r="B505" s="2">
        <v>536464</v>
      </c>
      <c r="C505" s="2">
        <v>22956</v>
      </c>
      <c r="D505" s="2" t="s">
        <v>591</v>
      </c>
      <c r="E505" s="2">
        <v>1</v>
      </c>
      <c r="F505" s="8">
        <v>40513.515972222223</v>
      </c>
      <c r="G505" s="2">
        <v>2.1</v>
      </c>
      <c r="H505" s="2">
        <v>17968</v>
      </c>
      <c r="I505" s="2" t="s">
        <v>10</v>
      </c>
      <c r="J505" s="2">
        <f>ABS(DF_2[[#This Row],[Quantity_BEFORE]])</f>
        <v>1</v>
      </c>
      <c r="K505" s="2">
        <f>DF_2[[#This Row],[QUANTITY]]*DF_2[[#This Row],[UnitPrice]]</f>
        <v>2.1</v>
      </c>
    </row>
    <row r="506" spans="2:11" x14ac:dyDescent="0.25">
      <c r="B506" s="2">
        <v>536464</v>
      </c>
      <c r="C506" s="2">
        <v>22866</v>
      </c>
      <c r="D506" s="2" t="s">
        <v>237</v>
      </c>
      <c r="E506" s="2">
        <v>1</v>
      </c>
      <c r="F506" s="8">
        <v>40513.515972222223</v>
      </c>
      <c r="G506" s="2">
        <v>2.1</v>
      </c>
      <c r="H506" s="2">
        <v>17968</v>
      </c>
      <c r="I506" s="2" t="s">
        <v>10</v>
      </c>
      <c r="J506" s="2">
        <f>ABS(DF_2[[#This Row],[Quantity_BEFORE]])</f>
        <v>1</v>
      </c>
      <c r="K506" s="2">
        <f>DF_2[[#This Row],[QUANTITY]]*DF_2[[#This Row],[UnitPrice]]</f>
        <v>2.1</v>
      </c>
    </row>
    <row r="507" spans="2:11" x14ac:dyDescent="0.25">
      <c r="B507" s="2">
        <v>536464</v>
      </c>
      <c r="C507" s="2">
        <v>22441</v>
      </c>
      <c r="D507" s="2" t="s">
        <v>292</v>
      </c>
      <c r="E507" s="2">
        <v>1</v>
      </c>
      <c r="F507" s="8">
        <v>40513.515972222223</v>
      </c>
      <c r="G507" s="2">
        <v>2.1</v>
      </c>
      <c r="H507" s="2">
        <v>17968</v>
      </c>
      <c r="I507" s="2" t="s">
        <v>10</v>
      </c>
      <c r="J507" s="2">
        <f>ABS(DF_2[[#This Row],[Quantity_BEFORE]])</f>
        <v>1</v>
      </c>
      <c r="K507" s="2">
        <f>DF_2[[#This Row],[QUANTITY]]*DF_2[[#This Row],[UnitPrice]]</f>
        <v>2.1</v>
      </c>
    </row>
    <row r="508" spans="2:11" x14ac:dyDescent="0.25">
      <c r="B508" s="2">
        <v>536488</v>
      </c>
      <c r="C508" s="2">
        <v>22867</v>
      </c>
      <c r="D508" s="2" t="s">
        <v>248</v>
      </c>
      <c r="E508" s="2">
        <v>1</v>
      </c>
      <c r="F508" s="8">
        <v>40513.521527777775</v>
      </c>
      <c r="G508" s="2">
        <v>2.1</v>
      </c>
      <c r="H508" s="2">
        <v>17897</v>
      </c>
      <c r="I508" s="2" t="s">
        <v>10</v>
      </c>
      <c r="J508" s="2">
        <f>ABS(DF_2[[#This Row],[Quantity_BEFORE]])</f>
        <v>1</v>
      </c>
      <c r="K508" s="2">
        <f>DF_2[[#This Row],[QUANTITY]]*DF_2[[#This Row],[UnitPrice]]</f>
        <v>2.1</v>
      </c>
    </row>
    <row r="509" spans="2:11" x14ac:dyDescent="0.25">
      <c r="B509" s="2">
        <v>536488</v>
      </c>
      <c r="C509" s="2">
        <v>22144</v>
      </c>
      <c r="D509" s="2" t="s">
        <v>438</v>
      </c>
      <c r="E509" s="2">
        <v>1</v>
      </c>
      <c r="F509" s="8">
        <v>40513.521527777775</v>
      </c>
      <c r="G509" s="2">
        <v>2.1</v>
      </c>
      <c r="H509" s="2">
        <v>17897</v>
      </c>
      <c r="I509" s="2" t="s">
        <v>10</v>
      </c>
      <c r="J509" s="2">
        <f>ABS(DF_2[[#This Row],[Quantity_BEFORE]])</f>
        <v>1</v>
      </c>
      <c r="K509" s="2">
        <f>DF_2[[#This Row],[QUANTITY]]*DF_2[[#This Row],[UnitPrice]]</f>
        <v>2.1</v>
      </c>
    </row>
    <row r="510" spans="2:11" x14ac:dyDescent="0.25">
      <c r="B510" s="2">
        <v>536520</v>
      </c>
      <c r="C510" s="2">
        <v>21175</v>
      </c>
      <c r="D510" s="2" t="s">
        <v>114</v>
      </c>
      <c r="E510" s="2">
        <v>1</v>
      </c>
      <c r="F510" s="8">
        <v>40513.529861111114</v>
      </c>
      <c r="G510" s="2">
        <v>2.1</v>
      </c>
      <c r="H510" s="2">
        <v>14729</v>
      </c>
      <c r="I510" s="2" t="s">
        <v>10</v>
      </c>
      <c r="J510" s="2">
        <f>ABS(DF_2[[#This Row],[Quantity_BEFORE]])</f>
        <v>1</v>
      </c>
      <c r="K510" s="2">
        <f>DF_2[[#This Row],[QUANTITY]]*DF_2[[#This Row],[UnitPrice]]</f>
        <v>2.1</v>
      </c>
    </row>
    <row r="511" spans="2:11" x14ac:dyDescent="0.25">
      <c r="B511" s="2">
        <v>536520</v>
      </c>
      <c r="C511" s="2">
        <v>22441</v>
      </c>
      <c r="D511" s="2" t="s">
        <v>292</v>
      </c>
      <c r="E511" s="2">
        <v>1</v>
      </c>
      <c r="F511" s="8">
        <v>40513.529861111114</v>
      </c>
      <c r="G511" s="2">
        <v>2.1</v>
      </c>
      <c r="H511" s="2">
        <v>14729</v>
      </c>
      <c r="I511" s="2" t="s">
        <v>10</v>
      </c>
      <c r="J511" s="2">
        <f>ABS(DF_2[[#This Row],[Quantity_BEFORE]])</f>
        <v>1</v>
      </c>
      <c r="K511" s="2">
        <f>DF_2[[#This Row],[QUANTITY]]*DF_2[[#This Row],[UnitPrice]]</f>
        <v>2.1</v>
      </c>
    </row>
    <row r="512" spans="2:11" x14ac:dyDescent="0.25">
      <c r="B512" s="2">
        <v>536520</v>
      </c>
      <c r="C512" s="2">
        <v>20754</v>
      </c>
      <c r="D512" s="2" t="s">
        <v>681</v>
      </c>
      <c r="E512" s="2">
        <v>1</v>
      </c>
      <c r="F512" s="8">
        <v>40513.529861111114</v>
      </c>
      <c r="G512" s="2">
        <v>2.1</v>
      </c>
      <c r="H512" s="2">
        <v>14729</v>
      </c>
      <c r="I512" s="2" t="s">
        <v>10</v>
      </c>
      <c r="J512" s="2">
        <f>ABS(DF_2[[#This Row],[Quantity_BEFORE]])</f>
        <v>1</v>
      </c>
      <c r="K512" s="2">
        <f>DF_2[[#This Row],[QUANTITY]]*DF_2[[#This Row],[UnitPrice]]</f>
        <v>2.1</v>
      </c>
    </row>
    <row r="513" spans="2:11" x14ac:dyDescent="0.25">
      <c r="B513" s="2">
        <v>536370</v>
      </c>
      <c r="C513" s="2">
        <v>22629</v>
      </c>
      <c r="D513" s="2" t="s">
        <v>49</v>
      </c>
      <c r="E513" s="2">
        <v>24</v>
      </c>
      <c r="F513" s="8">
        <v>40513.364583333336</v>
      </c>
      <c r="G513" s="2">
        <v>1.95</v>
      </c>
      <c r="H513" s="2">
        <v>12583</v>
      </c>
      <c r="I513" s="2" t="s">
        <v>40</v>
      </c>
      <c r="J513" s="2">
        <f>ABS(DF_2[[#This Row],[Quantity_BEFORE]])</f>
        <v>24</v>
      </c>
      <c r="K513" s="2">
        <f>DF_2[[#This Row],[QUANTITY]]*DF_2[[#This Row],[UnitPrice]]</f>
        <v>46.8</v>
      </c>
    </row>
    <row r="514" spans="2:11" x14ac:dyDescent="0.25">
      <c r="B514" s="2">
        <v>536370</v>
      </c>
      <c r="C514" s="2">
        <v>22659</v>
      </c>
      <c r="D514" s="2" t="s">
        <v>50</v>
      </c>
      <c r="E514" s="2">
        <v>24</v>
      </c>
      <c r="F514" s="8">
        <v>40513.364583333336</v>
      </c>
      <c r="G514" s="2">
        <v>1.95</v>
      </c>
      <c r="H514" s="2">
        <v>12583</v>
      </c>
      <c r="I514" s="2" t="s">
        <v>40</v>
      </c>
      <c r="J514" s="2">
        <f>ABS(DF_2[[#This Row],[Quantity_BEFORE]])</f>
        <v>24</v>
      </c>
      <c r="K514" s="2">
        <f>DF_2[[#This Row],[QUANTITY]]*DF_2[[#This Row],[UnitPrice]]</f>
        <v>46.8</v>
      </c>
    </row>
    <row r="515" spans="2:11" x14ac:dyDescent="0.25">
      <c r="B515" s="2">
        <v>536370</v>
      </c>
      <c r="C515" s="2">
        <v>22631</v>
      </c>
      <c r="D515" s="2" t="s">
        <v>51</v>
      </c>
      <c r="E515" s="2">
        <v>24</v>
      </c>
      <c r="F515" s="8">
        <v>40513.364583333336</v>
      </c>
      <c r="G515" s="2">
        <v>1.95</v>
      </c>
      <c r="H515" s="2">
        <v>12583</v>
      </c>
      <c r="I515" s="2" t="s">
        <v>40</v>
      </c>
      <c r="J515" s="2">
        <f>ABS(DF_2[[#This Row],[Quantity_BEFORE]])</f>
        <v>24</v>
      </c>
      <c r="K515" s="2">
        <f>DF_2[[#This Row],[QUANTITY]]*DF_2[[#This Row],[UnitPrice]]</f>
        <v>46.8</v>
      </c>
    </row>
    <row r="516" spans="2:11" x14ac:dyDescent="0.25">
      <c r="B516" s="2">
        <v>536408</v>
      </c>
      <c r="C516" s="2">
        <v>22813</v>
      </c>
      <c r="D516" s="2" t="s">
        <v>357</v>
      </c>
      <c r="E516" s="2">
        <v>12</v>
      </c>
      <c r="F516" s="8">
        <v>40513.486805555556</v>
      </c>
      <c r="G516" s="2">
        <v>1.95</v>
      </c>
      <c r="H516" s="2">
        <v>14307</v>
      </c>
      <c r="I516" s="2" t="s">
        <v>10</v>
      </c>
      <c r="J516" s="2">
        <f>ABS(DF_2[[#This Row],[Quantity_BEFORE]])</f>
        <v>12</v>
      </c>
      <c r="K516" s="2">
        <f>DF_2[[#This Row],[QUANTITY]]*DF_2[[#This Row],[UnitPrice]]</f>
        <v>23.4</v>
      </c>
    </row>
    <row r="517" spans="2:11" x14ac:dyDescent="0.25">
      <c r="B517" s="2">
        <v>536408</v>
      </c>
      <c r="C517" s="2">
        <v>22812</v>
      </c>
      <c r="D517" s="2" t="s">
        <v>376</v>
      </c>
      <c r="E517" s="2">
        <v>12</v>
      </c>
      <c r="F517" s="8">
        <v>40513.486805555556</v>
      </c>
      <c r="G517" s="2">
        <v>1.95</v>
      </c>
      <c r="H517" s="2">
        <v>14307</v>
      </c>
      <c r="I517" s="2" t="s">
        <v>10</v>
      </c>
      <c r="J517" s="2">
        <f>ABS(DF_2[[#This Row],[Quantity_BEFORE]])</f>
        <v>12</v>
      </c>
      <c r="K517" s="2">
        <f>DF_2[[#This Row],[QUANTITY]]*DF_2[[#This Row],[UnitPrice]]</f>
        <v>23.4</v>
      </c>
    </row>
    <row r="518" spans="2:11" x14ac:dyDescent="0.25">
      <c r="B518" s="2">
        <v>536416</v>
      </c>
      <c r="C518" s="2">
        <v>22938</v>
      </c>
      <c r="D518" s="2" t="s">
        <v>500</v>
      </c>
      <c r="E518" s="2">
        <v>12</v>
      </c>
      <c r="F518" s="8">
        <v>40513.498611111114</v>
      </c>
      <c r="G518" s="2">
        <v>1.95</v>
      </c>
      <c r="H518" s="2">
        <v>13255</v>
      </c>
      <c r="I518" s="2" t="s">
        <v>10</v>
      </c>
      <c r="J518" s="2">
        <f>ABS(DF_2[[#This Row],[Quantity_BEFORE]])</f>
        <v>12</v>
      </c>
      <c r="K518" s="2">
        <f>DF_2[[#This Row],[QUANTITY]]*DF_2[[#This Row],[UnitPrice]]</f>
        <v>23.4</v>
      </c>
    </row>
    <row r="519" spans="2:11" x14ac:dyDescent="0.25">
      <c r="B519" s="2">
        <v>536378</v>
      </c>
      <c r="C519" s="2">
        <v>22386</v>
      </c>
      <c r="D519" s="2" t="s">
        <v>75</v>
      </c>
      <c r="E519" s="2">
        <v>10</v>
      </c>
      <c r="F519" s="8">
        <v>40513.400694444441</v>
      </c>
      <c r="G519" s="2">
        <v>1.95</v>
      </c>
      <c r="H519" s="2">
        <v>14688</v>
      </c>
      <c r="I519" s="2" t="s">
        <v>10</v>
      </c>
      <c r="J519" s="2">
        <f>ABS(DF_2[[#This Row],[Quantity_BEFORE]])</f>
        <v>10</v>
      </c>
      <c r="K519" s="2">
        <f>DF_2[[#This Row],[QUANTITY]]*DF_2[[#This Row],[UnitPrice]]</f>
        <v>19.5</v>
      </c>
    </row>
    <row r="520" spans="2:11" x14ac:dyDescent="0.25">
      <c r="B520" s="2">
        <v>536378</v>
      </c>
      <c r="C520" s="2" t="s">
        <v>76</v>
      </c>
      <c r="D520" s="2" t="s">
        <v>77</v>
      </c>
      <c r="E520" s="2">
        <v>10</v>
      </c>
      <c r="F520" s="8">
        <v>40513.400694444441</v>
      </c>
      <c r="G520" s="2">
        <v>1.95</v>
      </c>
      <c r="H520" s="2">
        <v>14688</v>
      </c>
      <c r="I520" s="2" t="s">
        <v>10</v>
      </c>
      <c r="J520" s="2">
        <f>ABS(DF_2[[#This Row],[Quantity_BEFORE]])</f>
        <v>10</v>
      </c>
      <c r="K520" s="2">
        <f>DF_2[[#This Row],[QUANTITY]]*DF_2[[#This Row],[UnitPrice]]</f>
        <v>19.5</v>
      </c>
    </row>
    <row r="521" spans="2:11" x14ac:dyDescent="0.25">
      <c r="B521" s="2">
        <v>536378</v>
      </c>
      <c r="C521" s="2">
        <v>21931</v>
      </c>
      <c r="D521" s="2" t="s">
        <v>98</v>
      </c>
      <c r="E521" s="2">
        <v>10</v>
      </c>
      <c r="F521" s="8">
        <v>40513.400694444441</v>
      </c>
      <c r="G521" s="2">
        <v>1.95</v>
      </c>
      <c r="H521" s="2">
        <v>14688</v>
      </c>
      <c r="I521" s="2" t="s">
        <v>10</v>
      </c>
      <c r="J521" s="2">
        <f>ABS(DF_2[[#This Row],[Quantity_BEFORE]])</f>
        <v>10</v>
      </c>
      <c r="K521" s="2">
        <f>DF_2[[#This Row],[QUANTITY]]*DF_2[[#This Row],[UnitPrice]]</f>
        <v>19.5</v>
      </c>
    </row>
    <row r="522" spans="2:11" x14ac:dyDescent="0.25">
      <c r="B522" s="2">
        <v>536378</v>
      </c>
      <c r="C522" s="2">
        <v>21929</v>
      </c>
      <c r="D522" s="2" t="s">
        <v>99</v>
      </c>
      <c r="E522" s="2">
        <v>10</v>
      </c>
      <c r="F522" s="8">
        <v>40513.400694444441</v>
      </c>
      <c r="G522" s="2">
        <v>1.95</v>
      </c>
      <c r="H522" s="2">
        <v>14688</v>
      </c>
      <c r="I522" s="2" t="s">
        <v>10</v>
      </c>
      <c r="J522" s="2">
        <f>ABS(DF_2[[#This Row],[Quantity_BEFORE]])</f>
        <v>10</v>
      </c>
      <c r="K522" s="2">
        <f>DF_2[[#This Row],[QUANTITY]]*DF_2[[#This Row],[UnitPrice]]</f>
        <v>19.5</v>
      </c>
    </row>
    <row r="523" spans="2:11" x14ac:dyDescent="0.25">
      <c r="B523" s="2">
        <v>536381</v>
      </c>
      <c r="C523" s="2">
        <v>22411</v>
      </c>
      <c r="D523" s="2" t="s">
        <v>103</v>
      </c>
      <c r="E523" s="2">
        <v>10</v>
      </c>
      <c r="F523" s="8">
        <v>40513.40347222222</v>
      </c>
      <c r="G523" s="2">
        <v>1.95</v>
      </c>
      <c r="H523" s="2">
        <v>15311</v>
      </c>
      <c r="I523" s="2" t="s">
        <v>10</v>
      </c>
      <c r="J523" s="2">
        <f>ABS(DF_2[[#This Row],[Quantity_BEFORE]])</f>
        <v>10</v>
      </c>
      <c r="K523" s="2">
        <f>DF_2[[#This Row],[QUANTITY]]*DF_2[[#This Row],[UnitPrice]]</f>
        <v>19.5</v>
      </c>
    </row>
    <row r="524" spans="2:11" x14ac:dyDescent="0.25">
      <c r="B524" s="2">
        <v>536382</v>
      </c>
      <c r="C524" s="2">
        <v>22411</v>
      </c>
      <c r="D524" s="2" t="s">
        <v>103</v>
      </c>
      <c r="E524" s="2">
        <v>10</v>
      </c>
      <c r="F524" s="8">
        <v>40513.40625</v>
      </c>
      <c r="G524" s="2">
        <v>1.95</v>
      </c>
      <c r="H524" s="2">
        <v>16098</v>
      </c>
      <c r="I524" s="2" t="s">
        <v>10</v>
      </c>
      <c r="J524" s="2">
        <f>ABS(DF_2[[#This Row],[Quantity_BEFORE]])</f>
        <v>10</v>
      </c>
      <c r="K524" s="2">
        <f>DF_2[[#This Row],[QUANTITY]]*DF_2[[#This Row],[UnitPrice]]</f>
        <v>19.5</v>
      </c>
    </row>
    <row r="525" spans="2:11" x14ac:dyDescent="0.25">
      <c r="B525" s="2">
        <v>536385</v>
      </c>
      <c r="C525" s="2">
        <v>22663</v>
      </c>
      <c r="D525" s="2" t="s">
        <v>166</v>
      </c>
      <c r="E525" s="2">
        <v>10</v>
      </c>
      <c r="F525" s="8">
        <v>40513.413888888892</v>
      </c>
      <c r="G525" s="2">
        <v>1.95</v>
      </c>
      <c r="H525" s="2">
        <v>17420</v>
      </c>
      <c r="I525" s="2" t="s">
        <v>10</v>
      </c>
      <c r="J525" s="2">
        <f>ABS(DF_2[[#This Row],[Quantity_BEFORE]])</f>
        <v>10</v>
      </c>
      <c r="K525" s="2">
        <f>DF_2[[#This Row],[QUANTITY]]*DF_2[[#This Row],[UnitPrice]]</f>
        <v>19.5</v>
      </c>
    </row>
    <row r="526" spans="2:11" x14ac:dyDescent="0.25">
      <c r="B526" s="2">
        <v>536477</v>
      </c>
      <c r="C526" s="2">
        <v>22411</v>
      </c>
      <c r="D526" s="2" t="s">
        <v>103</v>
      </c>
      <c r="E526" s="2">
        <v>10</v>
      </c>
      <c r="F526" s="8">
        <v>40513.518750000003</v>
      </c>
      <c r="G526" s="2">
        <v>1.95</v>
      </c>
      <c r="H526" s="2">
        <v>16210</v>
      </c>
      <c r="I526" s="2" t="s">
        <v>10</v>
      </c>
      <c r="J526" s="2">
        <f>ABS(DF_2[[#This Row],[Quantity_BEFORE]])</f>
        <v>10</v>
      </c>
      <c r="K526" s="2">
        <f>DF_2[[#This Row],[QUANTITY]]*DF_2[[#This Row],[UnitPrice]]</f>
        <v>19.5</v>
      </c>
    </row>
    <row r="527" spans="2:11" x14ac:dyDescent="0.25">
      <c r="B527" s="2">
        <v>536392</v>
      </c>
      <c r="C527" s="2">
        <v>22150</v>
      </c>
      <c r="D527" s="2" t="s">
        <v>226</v>
      </c>
      <c r="E527" s="2">
        <v>6</v>
      </c>
      <c r="F527" s="8">
        <v>40513.436805555553</v>
      </c>
      <c r="G527" s="2">
        <v>1.95</v>
      </c>
      <c r="H527" s="2">
        <v>13705</v>
      </c>
      <c r="I527" s="2" t="s">
        <v>10</v>
      </c>
      <c r="J527" s="2">
        <f>ABS(DF_2[[#This Row],[Quantity_BEFORE]])</f>
        <v>6</v>
      </c>
      <c r="K527" s="2">
        <f>DF_2[[#This Row],[QUANTITY]]*DF_2[[#This Row],[UnitPrice]]</f>
        <v>11.7</v>
      </c>
    </row>
    <row r="528" spans="2:11" x14ac:dyDescent="0.25">
      <c r="B528" s="2">
        <v>536464</v>
      </c>
      <c r="C528" s="2">
        <v>22812</v>
      </c>
      <c r="D528" s="2" t="s">
        <v>376</v>
      </c>
      <c r="E528" s="2">
        <v>6</v>
      </c>
      <c r="F528" s="8">
        <v>40513.515972222223</v>
      </c>
      <c r="G528" s="2">
        <v>1.95</v>
      </c>
      <c r="H528" s="2">
        <v>17968</v>
      </c>
      <c r="I528" s="2" t="s">
        <v>10</v>
      </c>
      <c r="J528" s="2">
        <f>ABS(DF_2[[#This Row],[Quantity_BEFORE]])</f>
        <v>6</v>
      </c>
      <c r="K528" s="2">
        <f>DF_2[[#This Row],[QUANTITY]]*DF_2[[#This Row],[UnitPrice]]</f>
        <v>11.7</v>
      </c>
    </row>
    <row r="529" spans="2:11" x14ac:dyDescent="0.25">
      <c r="B529" s="2">
        <v>536520</v>
      </c>
      <c r="C529" s="2">
        <v>22938</v>
      </c>
      <c r="D529" s="2" t="s">
        <v>500</v>
      </c>
      <c r="E529" s="2">
        <v>5</v>
      </c>
      <c r="F529" s="8">
        <v>40513.529861111114</v>
      </c>
      <c r="G529" s="2">
        <v>1.95</v>
      </c>
      <c r="H529" s="2">
        <v>14729</v>
      </c>
      <c r="I529" s="2" t="s">
        <v>10</v>
      </c>
      <c r="J529" s="2">
        <f>ABS(DF_2[[#This Row],[Quantity_BEFORE]])</f>
        <v>5</v>
      </c>
      <c r="K529" s="2">
        <f>DF_2[[#This Row],[QUANTITY]]*DF_2[[#This Row],[UnitPrice]]</f>
        <v>9.75</v>
      </c>
    </row>
    <row r="530" spans="2:11" x14ac:dyDescent="0.25">
      <c r="B530" s="2">
        <v>536415</v>
      </c>
      <c r="C530" s="2">
        <v>22367</v>
      </c>
      <c r="D530" s="2" t="s">
        <v>479</v>
      </c>
      <c r="E530" s="2">
        <v>3</v>
      </c>
      <c r="F530" s="8">
        <v>40513.497916666667</v>
      </c>
      <c r="G530" s="2">
        <v>1.95</v>
      </c>
      <c r="H530" s="2">
        <v>12838</v>
      </c>
      <c r="I530" s="2" t="s">
        <v>10</v>
      </c>
      <c r="J530" s="2">
        <f>ABS(DF_2[[#This Row],[Quantity_BEFORE]])</f>
        <v>3</v>
      </c>
      <c r="K530" s="2">
        <f>DF_2[[#This Row],[QUANTITY]]*DF_2[[#This Row],[UnitPrice]]</f>
        <v>5.85</v>
      </c>
    </row>
    <row r="531" spans="2:11" x14ac:dyDescent="0.25">
      <c r="B531" s="2">
        <v>536446</v>
      </c>
      <c r="C531" s="2">
        <v>21156</v>
      </c>
      <c r="D531" s="2" t="s">
        <v>527</v>
      </c>
      <c r="E531" s="2">
        <v>3</v>
      </c>
      <c r="F531" s="8">
        <v>40513.510416666664</v>
      </c>
      <c r="G531" s="2">
        <v>1.95</v>
      </c>
      <c r="H531" s="2">
        <v>15983</v>
      </c>
      <c r="I531" s="2" t="s">
        <v>10</v>
      </c>
      <c r="J531" s="2">
        <f>ABS(DF_2[[#This Row],[Quantity_BEFORE]])</f>
        <v>3</v>
      </c>
      <c r="K531" s="2">
        <f>DF_2[[#This Row],[QUANTITY]]*DF_2[[#This Row],[UnitPrice]]</f>
        <v>5.85</v>
      </c>
    </row>
    <row r="532" spans="2:11" x14ac:dyDescent="0.25">
      <c r="B532" s="2">
        <v>536520</v>
      </c>
      <c r="C532" s="2">
        <v>22812</v>
      </c>
      <c r="D532" s="2" t="s">
        <v>376</v>
      </c>
      <c r="E532" s="2">
        <v>3</v>
      </c>
      <c r="F532" s="8">
        <v>40513.529861111114</v>
      </c>
      <c r="G532" s="2">
        <v>1.95</v>
      </c>
      <c r="H532" s="2">
        <v>14729</v>
      </c>
      <c r="I532" s="2" t="s">
        <v>10</v>
      </c>
      <c r="J532" s="2">
        <f>ABS(DF_2[[#This Row],[Quantity_BEFORE]])</f>
        <v>3</v>
      </c>
      <c r="K532" s="2">
        <f>DF_2[[#This Row],[QUANTITY]]*DF_2[[#This Row],[UnitPrice]]</f>
        <v>5.85</v>
      </c>
    </row>
    <row r="533" spans="2:11" x14ac:dyDescent="0.25">
      <c r="B533" s="2">
        <v>536409</v>
      </c>
      <c r="C533" s="2">
        <v>21931</v>
      </c>
      <c r="D533" s="2" t="s">
        <v>98</v>
      </c>
      <c r="E533" s="2">
        <v>2</v>
      </c>
      <c r="F533" s="8">
        <v>40513.489583333336</v>
      </c>
      <c r="G533" s="2">
        <v>1.95</v>
      </c>
      <c r="H533" s="2">
        <v>17908</v>
      </c>
      <c r="I533" s="2" t="s">
        <v>10</v>
      </c>
      <c r="J533" s="2">
        <f>ABS(DF_2[[#This Row],[Quantity_BEFORE]])</f>
        <v>2</v>
      </c>
      <c r="K533" s="2">
        <f>DF_2[[#This Row],[QUANTITY]]*DF_2[[#This Row],[UnitPrice]]</f>
        <v>3.9</v>
      </c>
    </row>
    <row r="534" spans="2:11" x14ac:dyDescent="0.25">
      <c r="B534" s="2">
        <v>536409</v>
      </c>
      <c r="C534" s="2" t="s">
        <v>172</v>
      </c>
      <c r="D534" s="2" t="s">
        <v>173</v>
      </c>
      <c r="E534" s="2">
        <v>2</v>
      </c>
      <c r="F534" s="8">
        <v>40513.489583333336</v>
      </c>
      <c r="G534" s="2">
        <v>1.95</v>
      </c>
      <c r="H534" s="2">
        <v>17908</v>
      </c>
      <c r="I534" s="2" t="s">
        <v>10</v>
      </c>
      <c r="J534" s="2">
        <f>ABS(DF_2[[#This Row],[Quantity_BEFORE]])</f>
        <v>2</v>
      </c>
      <c r="K534" s="2">
        <f>DF_2[[#This Row],[QUANTITY]]*DF_2[[#This Row],[UnitPrice]]</f>
        <v>3.9</v>
      </c>
    </row>
    <row r="535" spans="2:11" x14ac:dyDescent="0.25">
      <c r="B535" s="2">
        <v>536464</v>
      </c>
      <c r="C535" s="2">
        <v>22813</v>
      </c>
      <c r="D535" s="2" t="s">
        <v>357</v>
      </c>
      <c r="E535" s="2">
        <v>2</v>
      </c>
      <c r="F535" s="8">
        <v>40513.515972222223</v>
      </c>
      <c r="G535" s="2">
        <v>1.95</v>
      </c>
      <c r="H535" s="2">
        <v>17968</v>
      </c>
      <c r="I535" s="2" t="s">
        <v>10</v>
      </c>
      <c r="J535" s="2">
        <f>ABS(DF_2[[#This Row],[Quantity_BEFORE]])</f>
        <v>2</v>
      </c>
      <c r="K535" s="2">
        <f>DF_2[[#This Row],[QUANTITY]]*DF_2[[#This Row],[UnitPrice]]</f>
        <v>3.9</v>
      </c>
    </row>
    <row r="536" spans="2:11" x14ac:dyDescent="0.25">
      <c r="B536" s="2">
        <v>536500</v>
      </c>
      <c r="C536" s="2">
        <v>22630</v>
      </c>
      <c r="D536" s="2" t="s">
        <v>424</v>
      </c>
      <c r="E536" s="2">
        <v>2</v>
      </c>
      <c r="F536" s="8">
        <v>40513.524305555555</v>
      </c>
      <c r="G536" s="2">
        <v>1.95</v>
      </c>
      <c r="H536" s="2">
        <v>17377</v>
      </c>
      <c r="I536" s="2" t="s">
        <v>10</v>
      </c>
      <c r="J536" s="2">
        <f>ABS(DF_2[[#This Row],[Quantity_BEFORE]])</f>
        <v>2</v>
      </c>
      <c r="K536" s="2">
        <f>DF_2[[#This Row],[QUANTITY]]*DF_2[[#This Row],[UnitPrice]]</f>
        <v>3.9</v>
      </c>
    </row>
    <row r="537" spans="2:11" x14ac:dyDescent="0.25">
      <c r="B537" s="2">
        <v>536381</v>
      </c>
      <c r="C537" s="2">
        <v>21166</v>
      </c>
      <c r="D537" s="2" t="s">
        <v>113</v>
      </c>
      <c r="E537" s="2">
        <v>1</v>
      </c>
      <c r="F537" s="8">
        <v>40513.40347222222</v>
      </c>
      <c r="G537" s="2">
        <v>1.95</v>
      </c>
      <c r="H537" s="2">
        <v>15311</v>
      </c>
      <c r="I537" s="2" t="s">
        <v>10</v>
      </c>
      <c r="J537" s="2">
        <f>ABS(DF_2[[#This Row],[Quantity_BEFORE]])</f>
        <v>1</v>
      </c>
      <c r="K537" s="2">
        <f>DF_2[[#This Row],[QUANTITY]]*DF_2[[#This Row],[UnitPrice]]</f>
        <v>1.95</v>
      </c>
    </row>
    <row r="538" spans="2:11" x14ac:dyDescent="0.25">
      <c r="B538" s="2">
        <v>536381</v>
      </c>
      <c r="C538" s="2">
        <v>22438</v>
      </c>
      <c r="D538" s="2" t="s">
        <v>134</v>
      </c>
      <c r="E538" s="2">
        <v>1</v>
      </c>
      <c r="F538" s="8">
        <v>40513.40347222222</v>
      </c>
      <c r="G538" s="2">
        <v>1.95</v>
      </c>
      <c r="H538" s="2">
        <v>15311</v>
      </c>
      <c r="I538" s="2" t="s">
        <v>10</v>
      </c>
      <c r="J538" s="2">
        <f>ABS(DF_2[[#This Row],[Quantity_BEFORE]])</f>
        <v>1</v>
      </c>
      <c r="K538" s="2">
        <f>DF_2[[#This Row],[QUANTITY]]*DF_2[[#This Row],[UnitPrice]]</f>
        <v>1.95</v>
      </c>
    </row>
    <row r="539" spans="2:11" x14ac:dyDescent="0.25">
      <c r="B539" s="2">
        <v>536409</v>
      </c>
      <c r="C539" s="2">
        <v>20713</v>
      </c>
      <c r="D539" s="2" t="s">
        <v>414</v>
      </c>
      <c r="E539" s="2">
        <v>1</v>
      </c>
      <c r="F539" s="8">
        <v>40513.489583333336</v>
      </c>
      <c r="G539" s="2">
        <v>1.95</v>
      </c>
      <c r="H539" s="2">
        <v>17908</v>
      </c>
      <c r="I539" s="2" t="s">
        <v>10</v>
      </c>
      <c r="J539" s="2">
        <f>ABS(DF_2[[#This Row],[Quantity_BEFORE]])</f>
        <v>1</v>
      </c>
      <c r="K539" s="2">
        <f>DF_2[[#This Row],[QUANTITY]]*DF_2[[#This Row],[UnitPrice]]</f>
        <v>1.95</v>
      </c>
    </row>
    <row r="540" spans="2:11" x14ac:dyDescent="0.25">
      <c r="B540" s="2">
        <v>536409</v>
      </c>
      <c r="C540" s="2" t="s">
        <v>419</v>
      </c>
      <c r="D540" s="2" t="s">
        <v>420</v>
      </c>
      <c r="E540" s="2">
        <v>1</v>
      </c>
      <c r="F540" s="8">
        <v>40513.489583333336</v>
      </c>
      <c r="G540" s="2">
        <v>1.95</v>
      </c>
      <c r="H540" s="2">
        <v>17908</v>
      </c>
      <c r="I540" s="2" t="s">
        <v>10</v>
      </c>
      <c r="J540" s="2">
        <f>ABS(DF_2[[#This Row],[Quantity_BEFORE]])</f>
        <v>1</v>
      </c>
      <c r="K540" s="2">
        <f>DF_2[[#This Row],[QUANTITY]]*DF_2[[#This Row],[UnitPrice]]</f>
        <v>1.95</v>
      </c>
    </row>
    <row r="541" spans="2:11" x14ac:dyDescent="0.25">
      <c r="B541" s="2">
        <v>536412</v>
      </c>
      <c r="C541" s="2">
        <v>22630</v>
      </c>
      <c r="D541" s="2" t="s">
        <v>424</v>
      </c>
      <c r="E541" s="2">
        <v>1</v>
      </c>
      <c r="F541" s="8">
        <v>40513.492361111108</v>
      </c>
      <c r="G541" s="2">
        <v>1.95</v>
      </c>
      <c r="H541" s="2">
        <v>17920</v>
      </c>
      <c r="I541" s="2" t="s">
        <v>10</v>
      </c>
      <c r="J541" s="2">
        <f>ABS(DF_2[[#This Row],[Quantity_BEFORE]])</f>
        <v>1</v>
      </c>
      <c r="K541" s="2">
        <f>DF_2[[#This Row],[QUANTITY]]*DF_2[[#This Row],[UnitPrice]]</f>
        <v>1.95</v>
      </c>
    </row>
    <row r="542" spans="2:11" x14ac:dyDescent="0.25">
      <c r="B542" s="2">
        <v>536412</v>
      </c>
      <c r="C542" s="2">
        <v>22629</v>
      </c>
      <c r="D542" s="2" t="s">
        <v>49</v>
      </c>
      <c r="E542" s="2">
        <v>1</v>
      </c>
      <c r="F542" s="8">
        <v>40513.492361111108</v>
      </c>
      <c r="G542" s="2">
        <v>1.95</v>
      </c>
      <c r="H542" s="2">
        <v>17920</v>
      </c>
      <c r="I542" s="2" t="s">
        <v>10</v>
      </c>
      <c r="J542" s="2">
        <f>ABS(DF_2[[#This Row],[Quantity_BEFORE]])</f>
        <v>1</v>
      </c>
      <c r="K542" s="2">
        <f>DF_2[[#This Row],[QUANTITY]]*DF_2[[#This Row],[UnitPrice]]</f>
        <v>1.95</v>
      </c>
    </row>
    <row r="543" spans="2:11" x14ac:dyDescent="0.25">
      <c r="B543" s="2">
        <v>536446</v>
      </c>
      <c r="C543" s="2">
        <v>21156</v>
      </c>
      <c r="D543" s="2" t="s">
        <v>527</v>
      </c>
      <c r="E543" s="2">
        <v>1</v>
      </c>
      <c r="F543" s="8">
        <v>40513.510416666664</v>
      </c>
      <c r="G543" s="2">
        <v>1.95</v>
      </c>
      <c r="H543" s="2">
        <v>15983</v>
      </c>
      <c r="I543" s="2" t="s">
        <v>10</v>
      </c>
      <c r="J543" s="2">
        <f>ABS(DF_2[[#This Row],[Quantity_BEFORE]])</f>
        <v>1</v>
      </c>
      <c r="K543" s="2">
        <f>DF_2[[#This Row],[QUANTITY]]*DF_2[[#This Row],[UnitPrice]]</f>
        <v>1.95</v>
      </c>
    </row>
    <row r="544" spans="2:11" x14ac:dyDescent="0.25">
      <c r="B544" s="2">
        <v>536464</v>
      </c>
      <c r="C544" s="2">
        <v>22386</v>
      </c>
      <c r="D544" s="2" t="s">
        <v>75</v>
      </c>
      <c r="E544" s="2">
        <v>1</v>
      </c>
      <c r="F544" s="8">
        <v>40513.515972222223</v>
      </c>
      <c r="G544" s="2">
        <v>1.95</v>
      </c>
      <c r="H544" s="2">
        <v>17968</v>
      </c>
      <c r="I544" s="2" t="s">
        <v>10</v>
      </c>
      <c r="J544" s="2">
        <f>ABS(DF_2[[#This Row],[Quantity_BEFORE]])</f>
        <v>1</v>
      </c>
      <c r="K544" s="2">
        <f>DF_2[[#This Row],[QUANTITY]]*DF_2[[#This Row],[UnitPrice]]</f>
        <v>1.95</v>
      </c>
    </row>
    <row r="545" spans="2:11" x14ac:dyDescent="0.25">
      <c r="B545" s="2">
        <v>536464</v>
      </c>
      <c r="C545" s="2" t="s">
        <v>172</v>
      </c>
      <c r="D545" s="2" t="s">
        <v>173</v>
      </c>
      <c r="E545" s="2">
        <v>1</v>
      </c>
      <c r="F545" s="8">
        <v>40513.515972222223</v>
      </c>
      <c r="G545" s="2">
        <v>1.95</v>
      </c>
      <c r="H545" s="2">
        <v>17968</v>
      </c>
      <c r="I545" s="2" t="s">
        <v>10</v>
      </c>
      <c r="J545" s="2">
        <f>ABS(DF_2[[#This Row],[Quantity_BEFORE]])</f>
        <v>1</v>
      </c>
      <c r="K545" s="2">
        <f>DF_2[[#This Row],[QUANTITY]]*DF_2[[#This Row],[UnitPrice]]</f>
        <v>1.95</v>
      </c>
    </row>
    <row r="546" spans="2:11" x14ac:dyDescent="0.25">
      <c r="B546" s="2">
        <v>536464</v>
      </c>
      <c r="C546" s="2">
        <v>85095</v>
      </c>
      <c r="D546" s="2" t="s">
        <v>587</v>
      </c>
      <c r="E546" s="2">
        <v>1</v>
      </c>
      <c r="F546" s="8">
        <v>40513.515972222223</v>
      </c>
      <c r="G546" s="2">
        <v>1.95</v>
      </c>
      <c r="H546" s="2">
        <v>17968</v>
      </c>
      <c r="I546" s="2" t="s">
        <v>10</v>
      </c>
      <c r="J546" s="2">
        <f>ABS(DF_2[[#This Row],[Quantity_BEFORE]])</f>
        <v>1</v>
      </c>
      <c r="K546" s="2">
        <f>DF_2[[#This Row],[QUANTITY]]*DF_2[[#This Row],[UnitPrice]]</f>
        <v>1.95</v>
      </c>
    </row>
    <row r="547" spans="2:11" x14ac:dyDescent="0.25">
      <c r="B547" s="2">
        <v>536464</v>
      </c>
      <c r="C547" s="2" t="s">
        <v>76</v>
      </c>
      <c r="D547" s="2" t="s">
        <v>77</v>
      </c>
      <c r="E547" s="2">
        <v>1</v>
      </c>
      <c r="F547" s="8">
        <v>40513.515972222223</v>
      </c>
      <c r="G547" s="2">
        <v>1.95</v>
      </c>
      <c r="H547" s="2">
        <v>17968</v>
      </c>
      <c r="I547" s="2" t="s">
        <v>10</v>
      </c>
      <c r="J547" s="2">
        <f>ABS(DF_2[[#This Row],[Quantity_BEFORE]])</f>
        <v>1</v>
      </c>
      <c r="K547" s="2">
        <f>DF_2[[#This Row],[QUANTITY]]*DF_2[[#This Row],[UnitPrice]]</f>
        <v>1.95</v>
      </c>
    </row>
    <row r="548" spans="2:11" x14ac:dyDescent="0.25">
      <c r="B548" s="2">
        <v>536464</v>
      </c>
      <c r="C548" s="2">
        <v>22663</v>
      </c>
      <c r="D548" s="2" t="s">
        <v>166</v>
      </c>
      <c r="E548" s="2">
        <v>1</v>
      </c>
      <c r="F548" s="8">
        <v>40513.515972222223</v>
      </c>
      <c r="G548" s="2">
        <v>1.95</v>
      </c>
      <c r="H548" s="2">
        <v>17968</v>
      </c>
      <c r="I548" s="2" t="s">
        <v>10</v>
      </c>
      <c r="J548" s="2">
        <f>ABS(DF_2[[#This Row],[Quantity_BEFORE]])</f>
        <v>1</v>
      </c>
      <c r="K548" s="2">
        <f>DF_2[[#This Row],[QUANTITY]]*DF_2[[#This Row],[UnitPrice]]</f>
        <v>1.95</v>
      </c>
    </row>
    <row r="549" spans="2:11" x14ac:dyDescent="0.25">
      <c r="B549" s="2">
        <v>536488</v>
      </c>
      <c r="C549" s="2">
        <v>22150</v>
      </c>
      <c r="D549" s="2" t="s">
        <v>226</v>
      </c>
      <c r="E549" s="2">
        <v>1</v>
      </c>
      <c r="F549" s="8">
        <v>40513.521527777775</v>
      </c>
      <c r="G549" s="2">
        <v>1.95</v>
      </c>
      <c r="H549" s="2">
        <v>17897</v>
      </c>
      <c r="I549" s="2" t="s">
        <v>10</v>
      </c>
      <c r="J549" s="2">
        <f>ABS(DF_2[[#This Row],[Quantity_BEFORE]])</f>
        <v>1</v>
      </c>
      <c r="K549" s="2">
        <f>DF_2[[#This Row],[QUANTITY]]*DF_2[[#This Row],[UnitPrice]]</f>
        <v>1.95</v>
      </c>
    </row>
    <row r="550" spans="2:11" x14ac:dyDescent="0.25">
      <c r="B550" s="2">
        <v>536520</v>
      </c>
      <c r="C550" s="2">
        <v>22653</v>
      </c>
      <c r="D550" s="2" t="s">
        <v>653</v>
      </c>
      <c r="E550" s="2">
        <v>1</v>
      </c>
      <c r="F550" s="8">
        <v>40513.529861111114</v>
      </c>
      <c r="G550" s="2">
        <v>1.95</v>
      </c>
      <c r="H550" s="2">
        <v>14729</v>
      </c>
      <c r="I550" s="2" t="s">
        <v>10</v>
      </c>
      <c r="J550" s="2">
        <f>ABS(DF_2[[#This Row],[Quantity_BEFORE]])</f>
        <v>1</v>
      </c>
      <c r="K550" s="2">
        <f>DF_2[[#This Row],[QUANTITY]]*DF_2[[#This Row],[UnitPrice]]</f>
        <v>1.95</v>
      </c>
    </row>
    <row r="551" spans="2:11" x14ac:dyDescent="0.25">
      <c r="B551" s="2">
        <v>536520</v>
      </c>
      <c r="C551" s="2">
        <v>22575</v>
      </c>
      <c r="D551" s="2" t="s">
        <v>662</v>
      </c>
      <c r="E551" s="2">
        <v>1</v>
      </c>
      <c r="F551" s="8">
        <v>40513.529861111114</v>
      </c>
      <c r="G551" s="2">
        <v>1.95</v>
      </c>
      <c r="H551" s="2">
        <v>14729</v>
      </c>
      <c r="I551" s="2" t="s">
        <v>10</v>
      </c>
      <c r="J551" s="2">
        <f>ABS(DF_2[[#This Row],[Quantity_BEFORE]])</f>
        <v>1</v>
      </c>
      <c r="K551" s="2">
        <f>DF_2[[#This Row],[QUANTITY]]*DF_2[[#This Row],[UnitPrice]]</f>
        <v>1.95</v>
      </c>
    </row>
    <row r="552" spans="2:11" x14ac:dyDescent="0.25">
      <c r="B552" s="2">
        <v>536520</v>
      </c>
      <c r="C552" s="2">
        <v>21930</v>
      </c>
      <c r="D552" s="2" t="s">
        <v>675</v>
      </c>
      <c r="E552" s="2">
        <v>1</v>
      </c>
      <c r="F552" s="8">
        <v>40513.529861111114</v>
      </c>
      <c r="G552" s="2">
        <v>1.95</v>
      </c>
      <c r="H552" s="2">
        <v>14729</v>
      </c>
      <c r="I552" s="2" t="s">
        <v>10</v>
      </c>
      <c r="J552" s="2">
        <f>ABS(DF_2[[#This Row],[Quantity_BEFORE]])</f>
        <v>1</v>
      </c>
      <c r="K552" s="2">
        <f>DF_2[[#This Row],[QUANTITY]]*DF_2[[#This Row],[UnitPrice]]</f>
        <v>1.95</v>
      </c>
    </row>
    <row r="553" spans="2:11" x14ac:dyDescent="0.25">
      <c r="B553" s="2">
        <v>536394</v>
      </c>
      <c r="C553" s="2">
        <v>22633</v>
      </c>
      <c r="D553" s="2" t="s">
        <v>20</v>
      </c>
      <c r="E553" s="2">
        <v>96</v>
      </c>
      <c r="F553" s="8">
        <v>40513.443749999999</v>
      </c>
      <c r="G553" s="2">
        <v>1.85</v>
      </c>
      <c r="H553" s="2">
        <v>13408</v>
      </c>
      <c r="I553" s="2" t="s">
        <v>10</v>
      </c>
      <c r="J553" s="2">
        <f>ABS(DF_2[[#This Row],[Quantity_BEFORE]])</f>
        <v>96</v>
      </c>
      <c r="K553" s="2">
        <f>DF_2[[#This Row],[QUANTITY]]*DF_2[[#This Row],[UnitPrice]]</f>
        <v>177.60000000000002</v>
      </c>
    </row>
    <row r="554" spans="2:11" x14ac:dyDescent="0.25">
      <c r="B554" s="2">
        <v>536394</v>
      </c>
      <c r="C554" s="2">
        <v>22866</v>
      </c>
      <c r="D554" s="2" t="s">
        <v>237</v>
      </c>
      <c r="E554" s="2">
        <v>96</v>
      </c>
      <c r="F554" s="8">
        <v>40513.443749999999</v>
      </c>
      <c r="G554" s="2">
        <v>1.85</v>
      </c>
      <c r="H554" s="2">
        <v>13408</v>
      </c>
      <c r="I554" s="2" t="s">
        <v>10</v>
      </c>
      <c r="J554" s="2">
        <f>ABS(DF_2[[#This Row],[Quantity_BEFORE]])</f>
        <v>96</v>
      </c>
      <c r="K554" s="2">
        <f>DF_2[[#This Row],[QUANTITY]]*DF_2[[#This Row],[UnitPrice]]</f>
        <v>177.60000000000002</v>
      </c>
    </row>
    <row r="555" spans="2:11" x14ac:dyDescent="0.25">
      <c r="B555" s="2">
        <v>536394</v>
      </c>
      <c r="C555" s="2">
        <v>22865</v>
      </c>
      <c r="D555" s="2" t="s">
        <v>238</v>
      </c>
      <c r="E555" s="2">
        <v>96</v>
      </c>
      <c r="F555" s="8">
        <v>40513.443749999999</v>
      </c>
      <c r="G555" s="2">
        <v>1.85</v>
      </c>
      <c r="H555" s="2">
        <v>13408</v>
      </c>
      <c r="I555" s="2" t="s">
        <v>10</v>
      </c>
      <c r="J555" s="2">
        <f>ABS(DF_2[[#This Row],[Quantity_BEFORE]])</f>
        <v>96</v>
      </c>
      <c r="K555" s="2">
        <f>DF_2[[#This Row],[QUANTITY]]*DF_2[[#This Row],[UnitPrice]]</f>
        <v>177.60000000000002</v>
      </c>
    </row>
    <row r="556" spans="2:11" x14ac:dyDescent="0.25">
      <c r="B556" s="2">
        <v>536394</v>
      </c>
      <c r="C556" s="2">
        <v>22632</v>
      </c>
      <c r="D556" s="2" t="s">
        <v>239</v>
      </c>
      <c r="E556" s="2">
        <v>96</v>
      </c>
      <c r="F556" s="8">
        <v>40513.443749999999</v>
      </c>
      <c r="G556" s="2">
        <v>1.85</v>
      </c>
      <c r="H556" s="2">
        <v>13408</v>
      </c>
      <c r="I556" s="2" t="s">
        <v>10</v>
      </c>
      <c r="J556" s="2">
        <f>ABS(DF_2[[#This Row],[Quantity_BEFORE]])</f>
        <v>96</v>
      </c>
      <c r="K556" s="2">
        <f>DF_2[[#This Row],[QUANTITY]]*DF_2[[#This Row],[UnitPrice]]</f>
        <v>177.60000000000002</v>
      </c>
    </row>
    <row r="557" spans="2:11" x14ac:dyDescent="0.25">
      <c r="B557" s="2">
        <v>536403</v>
      </c>
      <c r="C557" s="2">
        <v>22867</v>
      </c>
      <c r="D557" s="2" t="s">
        <v>248</v>
      </c>
      <c r="E557" s="2">
        <v>96</v>
      </c>
      <c r="F557" s="8">
        <v>40513.477083333331</v>
      </c>
      <c r="G557" s="2">
        <v>1.85</v>
      </c>
      <c r="H557" s="2">
        <v>12791</v>
      </c>
      <c r="I557" s="2" t="s">
        <v>324</v>
      </c>
      <c r="J557" s="2">
        <f>ABS(DF_2[[#This Row],[Quantity_BEFORE]])</f>
        <v>96</v>
      </c>
      <c r="K557" s="2">
        <f>DF_2[[#This Row],[QUANTITY]]*DF_2[[#This Row],[UnitPrice]]</f>
        <v>177.60000000000002</v>
      </c>
    </row>
    <row r="558" spans="2:11" x14ac:dyDescent="0.25">
      <c r="B558" s="2">
        <v>536382</v>
      </c>
      <c r="C558" s="2">
        <v>22381</v>
      </c>
      <c r="D558" s="2" t="s">
        <v>144</v>
      </c>
      <c r="E558" s="2">
        <v>50</v>
      </c>
      <c r="F558" s="8">
        <v>40513.40625</v>
      </c>
      <c r="G558" s="2">
        <v>1.85</v>
      </c>
      <c r="H558" s="2">
        <v>16098</v>
      </c>
      <c r="I558" s="2" t="s">
        <v>10</v>
      </c>
      <c r="J558" s="2">
        <f>ABS(DF_2[[#This Row],[Quantity_BEFORE]])</f>
        <v>50</v>
      </c>
      <c r="K558" s="2">
        <f>DF_2[[#This Row],[QUANTITY]]*DF_2[[#This Row],[UnitPrice]]</f>
        <v>92.5</v>
      </c>
    </row>
    <row r="559" spans="2:11" x14ac:dyDescent="0.25">
      <c r="B559" s="2">
        <v>536477</v>
      </c>
      <c r="C559" s="2">
        <v>21314</v>
      </c>
      <c r="D559" s="2" t="s">
        <v>245</v>
      </c>
      <c r="E559" s="2">
        <v>48</v>
      </c>
      <c r="F559" s="8">
        <v>40513.518750000003</v>
      </c>
      <c r="G559" s="2">
        <v>1.85</v>
      </c>
      <c r="H559" s="2">
        <v>16210</v>
      </c>
      <c r="I559" s="2" t="s">
        <v>10</v>
      </c>
      <c r="J559" s="2">
        <f>ABS(DF_2[[#This Row],[Quantity_BEFORE]])</f>
        <v>48</v>
      </c>
      <c r="K559" s="2">
        <f>DF_2[[#This Row],[QUANTITY]]*DF_2[[#This Row],[UnitPrice]]</f>
        <v>88.800000000000011</v>
      </c>
    </row>
    <row r="560" spans="2:11" x14ac:dyDescent="0.25">
      <c r="B560" s="2">
        <v>536366</v>
      </c>
      <c r="C560" s="2">
        <v>22633</v>
      </c>
      <c r="D560" s="2" t="s">
        <v>20</v>
      </c>
      <c r="E560" s="2">
        <v>6</v>
      </c>
      <c r="F560" s="8">
        <v>40513.352777777778</v>
      </c>
      <c r="G560" s="2">
        <v>1.85</v>
      </c>
      <c r="H560" s="2">
        <v>17850</v>
      </c>
      <c r="I560" s="2" t="s">
        <v>10</v>
      </c>
      <c r="J560" s="2">
        <f>ABS(DF_2[[#This Row],[Quantity_BEFORE]])</f>
        <v>6</v>
      </c>
      <c r="K560" s="2">
        <f>DF_2[[#This Row],[QUANTITY]]*DF_2[[#This Row],[UnitPrice]]</f>
        <v>11.100000000000001</v>
      </c>
    </row>
    <row r="561" spans="2:11" x14ac:dyDescent="0.25">
      <c r="B561" s="2">
        <v>536366</v>
      </c>
      <c r="C561" s="2">
        <v>22632</v>
      </c>
      <c r="D561" s="2" t="s">
        <v>21</v>
      </c>
      <c r="E561" s="2">
        <v>6</v>
      </c>
      <c r="F561" s="8">
        <v>40513.352777777778</v>
      </c>
      <c r="G561" s="2">
        <v>1.85</v>
      </c>
      <c r="H561" s="2">
        <v>17850</v>
      </c>
      <c r="I561" s="2" t="s">
        <v>10</v>
      </c>
      <c r="J561" s="2">
        <f>ABS(DF_2[[#This Row],[Quantity_BEFORE]])</f>
        <v>6</v>
      </c>
      <c r="K561" s="2">
        <f>DF_2[[#This Row],[QUANTITY]]*DF_2[[#This Row],[UnitPrice]]</f>
        <v>11.100000000000001</v>
      </c>
    </row>
    <row r="562" spans="2:11" x14ac:dyDescent="0.25">
      <c r="B562" s="2">
        <v>536372</v>
      </c>
      <c r="C562" s="2">
        <v>22632</v>
      </c>
      <c r="D562" s="2" t="s">
        <v>21</v>
      </c>
      <c r="E562" s="2">
        <v>6</v>
      </c>
      <c r="F562" s="8">
        <v>40513.375694444447</v>
      </c>
      <c r="G562" s="2">
        <v>1.85</v>
      </c>
      <c r="H562" s="2">
        <v>17850</v>
      </c>
      <c r="I562" s="2" t="s">
        <v>10</v>
      </c>
      <c r="J562" s="2">
        <f>ABS(DF_2[[#This Row],[Quantity_BEFORE]])</f>
        <v>6</v>
      </c>
      <c r="K562" s="2">
        <f>DF_2[[#This Row],[QUANTITY]]*DF_2[[#This Row],[UnitPrice]]</f>
        <v>11.100000000000001</v>
      </c>
    </row>
    <row r="563" spans="2:11" x14ac:dyDescent="0.25">
      <c r="B563" s="2">
        <v>536372</v>
      </c>
      <c r="C563" s="2">
        <v>22633</v>
      </c>
      <c r="D563" s="2" t="s">
        <v>20</v>
      </c>
      <c r="E563" s="2">
        <v>6</v>
      </c>
      <c r="F563" s="8">
        <v>40513.375694444447</v>
      </c>
      <c r="G563" s="2">
        <v>1.85</v>
      </c>
      <c r="H563" s="2">
        <v>17850</v>
      </c>
      <c r="I563" s="2" t="s">
        <v>10</v>
      </c>
      <c r="J563" s="2">
        <f>ABS(DF_2[[#This Row],[Quantity_BEFORE]])</f>
        <v>6</v>
      </c>
      <c r="K563" s="2">
        <f>DF_2[[#This Row],[QUANTITY]]*DF_2[[#This Row],[UnitPrice]]</f>
        <v>11.100000000000001</v>
      </c>
    </row>
    <row r="564" spans="2:11" x14ac:dyDescent="0.25">
      <c r="B564" s="2">
        <v>536377</v>
      </c>
      <c r="C564" s="2">
        <v>22632</v>
      </c>
      <c r="D564" s="2" t="s">
        <v>21</v>
      </c>
      <c r="E564" s="2">
        <v>6</v>
      </c>
      <c r="F564" s="8">
        <v>40513.398611111108</v>
      </c>
      <c r="G564" s="2">
        <v>1.85</v>
      </c>
      <c r="H564" s="2">
        <v>17850</v>
      </c>
      <c r="I564" s="2" t="s">
        <v>10</v>
      </c>
      <c r="J564" s="2">
        <f>ABS(DF_2[[#This Row],[Quantity_BEFORE]])</f>
        <v>6</v>
      </c>
      <c r="K564" s="2">
        <f>DF_2[[#This Row],[QUANTITY]]*DF_2[[#This Row],[UnitPrice]]</f>
        <v>11.100000000000001</v>
      </c>
    </row>
    <row r="565" spans="2:11" x14ac:dyDescent="0.25">
      <c r="B565" s="2">
        <v>536377</v>
      </c>
      <c r="C565" s="2">
        <v>22633</v>
      </c>
      <c r="D565" s="2" t="s">
        <v>20</v>
      </c>
      <c r="E565" s="2">
        <v>6</v>
      </c>
      <c r="F565" s="8">
        <v>40513.398611111108</v>
      </c>
      <c r="G565" s="2">
        <v>1.85</v>
      </c>
      <c r="H565" s="2">
        <v>17850</v>
      </c>
      <c r="I565" s="2" t="s">
        <v>10</v>
      </c>
      <c r="J565" s="2">
        <f>ABS(DF_2[[#This Row],[Quantity_BEFORE]])</f>
        <v>6</v>
      </c>
      <c r="K565" s="2">
        <f>DF_2[[#This Row],[QUANTITY]]*DF_2[[#This Row],[UnitPrice]]</f>
        <v>11.100000000000001</v>
      </c>
    </row>
    <row r="566" spans="2:11" x14ac:dyDescent="0.25">
      <c r="B566" s="2">
        <v>536399</v>
      </c>
      <c r="C566" s="2">
        <v>22632</v>
      </c>
      <c r="D566" s="2" t="s">
        <v>21</v>
      </c>
      <c r="E566" s="2">
        <v>6</v>
      </c>
      <c r="F566" s="8">
        <v>40513.452777777777</v>
      </c>
      <c r="G566" s="2">
        <v>1.85</v>
      </c>
      <c r="H566" s="2">
        <v>17850</v>
      </c>
      <c r="I566" s="2" t="s">
        <v>10</v>
      </c>
      <c r="J566" s="2">
        <f>ABS(DF_2[[#This Row],[Quantity_BEFORE]])</f>
        <v>6</v>
      </c>
      <c r="K566" s="2">
        <f>DF_2[[#This Row],[QUANTITY]]*DF_2[[#This Row],[UnitPrice]]</f>
        <v>11.100000000000001</v>
      </c>
    </row>
    <row r="567" spans="2:11" x14ac:dyDescent="0.25">
      <c r="B567" s="2">
        <v>536399</v>
      </c>
      <c r="C567" s="2">
        <v>22633</v>
      </c>
      <c r="D567" s="2" t="s">
        <v>20</v>
      </c>
      <c r="E567" s="2">
        <v>6</v>
      </c>
      <c r="F567" s="8">
        <v>40513.452777777777</v>
      </c>
      <c r="G567" s="2">
        <v>1.85</v>
      </c>
      <c r="H567" s="2">
        <v>17850</v>
      </c>
      <c r="I567" s="2" t="s">
        <v>10</v>
      </c>
      <c r="J567" s="2">
        <f>ABS(DF_2[[#This Row],[Quantity_BEFORE]])</f>
        <v>6</v>
      </c>
      <c r="K567" s="2">
        <f>DF_2[[#This Row],[QUANTITY]]*DF_2[[#This Row],[UnitPrice]]</f>
        <v>11.100000000000001</v>
      </c>
    </row>
    <row r="568" spans="2:11" x14ac:dyDescent="0.25">
      <c r="B568" s="2">
        <v>536407</v>
      </c>
      <c r="C568" s="2">
        <v>22632</v>
      </c>
      <c r="D568" s="2" t="s">
        <v>21</v>
      </c>
      <c r="E568" s="2">
        <v>6</v>
      </c>
      <c r="F568" s="8">
        <v>40513.481944444444</v>
      </c>
      <c r="G568" s="2">
        <v>1.85</v>
      </c>
      <c r="H568" s="2">
        <v>17850</v>
      </c>
      <c r="I568" s="2" t="s">
        <v>10</v>
      </c>
      <c r="J568" s="2">
        <f>ABS(DF_2[[#This Row],[Quantity_BEFORE]])</f>
        <v>6</v>
      </c>
      <c r="K568" s="2">
        <f>DF_2[[#This Row],[QUANTITY]]*DF_2[[#This Row],[UnitPrice]]</f>
        <v>11.100000000000001</v>
      </c>
    </row>
    <row r="569" spans="2:11" x14ac:dyDescent="0.25">
      <c r="B569" s="2">
        <v>536407</v>
      </c>
      <c r="C569" s="2">
        <v>22633</v>
      </c>
      <c r="D569" s="2" t="s">
        <v>20</v>
      </c>
      <c r="E569" s="2">
        <v>6</v>
      </c>
      <c r="F569" s="8">
        <v>40513.481944444444</v>
      </c>
      <c r="G569" s="2">
        <v>1.85</v>
      </c>
      <c r="H569" s="2">
        <v>17850</v>
      </c>
      <c r="I569" s="2" t="s">
        <v>10</v>
      </c>
      <c r="J569" s="2">
        <f>ABS(DF_2[[#This Row],[Quantity_BEFORE]])</f>
        <v>6</v>
      </c>
      <c r="K569" s="2">
        <f>DF_2[[#This Row],[QUANTITY]]*DF_2[[#This Row],[UnitPrice]]</f>
        <v>11.100000000000001</v>
      </c>
    </row>
    <row r="570" spans="2:11" x14ac:dyDescent="0.25">
      <c r="B570" s="2">
        <v>536367</v>
      </c>
      <c r="C570" s="2">
        <v>84879</v>
      </c>
      <c r="D570" s="2" t="s">
        <v>22</v>
      </c>
      <c r="E570" s="2">
        <v>32</v>
      </c>
      <c r="F570" s="8">
        <v>40513.356944444444</v>
      </c>
      <c r="G570" s="2">
        <v>1.69</v>
      </c>
      <c r="H570" s="2">
        <v>13047</v>
      </c>
      <c r="I570" s="2" t="s">
        <v>10</v>
      </c>
      <c r="J570" s="2">
        <f>ABS(DF_2[[#This Row],[Quantity_BEFORE]])</f>
        <v>32</v>
      </c>
      <c r="K570" s="2">
        <f>DF_2[[#This Row],[QUANTITY]]*DF_2[[#This Row],[UnitPrice]]</f>
        <v>54.08</v>
      </c>
    </row>
    <row r="571" spans="2:11" x14ac:dyDescent="0.25">
      <c r="B571" s="2">
        <v>536395</v>
      </c>
      <c r="C571" s="2">
        <v>84879</v>
      </c>
      <c r="D571" s="2" t="s">
        <v>22</v>
      </c>
      <c r="E571" s="2">
        <v>32</v>
      </c>
      <c r="F571" s="8">
        <v>40513.449305555558</v>
      </c>
      <c r="G571" s="2">
        <v>1.69</v>
      </c>
      <c r="H571" s="2">
        <v>13767</v>
      </c>
      <c r="I571" s="2" t="s">
        <v>10</v>
      </c>
      <c r="J571" s="2">
        <f>ABS(DF_2[[#This Row],[Quantity_BEFORE]])</f>
        <v>32</v>
      </c>
      <c r="K571" s="2">
        <f>DF_2[[#This Row],[QUANTITY]]*DF_2[[#This Row],[UnitPrice]]</f>
        <v>54.08</v>
      </c>
    </row>
    <row r="572" spans="2:11" x14ac:dyDescent="0.25">
      <c r="B572" s="2">
        <v>536460</v>
      </c>
      <c r="C572" s="2">
        <v>84879</v>
      </c>
      <c r="D572" s="2" t="s">
        <v>22</v>
      </c>
      <c r="E572" s="2">
        <v>24</v>
      </c>
      <c r="F572" s="8">
        <v>40513.515277777777</v>
      </c>
      <c r="G572" s="2">
        <v>1.69</v>
      </c>
      <c r="H572" s="2">
        <v>14849</v>
      </c>
      <c r="I572" s="2" t="s">
        <v>10</v>
      </c>
      <c r="J572" s="2">
        <f>ABS(DF_2[[#This Row],[Quantity_BEFORE]])</f>
        <v>24</v>
      </c>
      <c r="K572" s="2">
        <f>DF_2[[#This Row],[QUANTITY]]*DF_2[[#This Row],[UnitPrice]]</f>
        <v>40.56</v>
      </c>
    </row>
    <row r="573" spans="2:11" x14ac:dyDescent="0.25">
      <c r="B573" s="2">
        <v>536392</v>
      </c>
      <c r="C573" s="2">
        <v>84879</v>
      </c>
      <c r="D573" s="2" t="s">
        <v>22</v>
      </c>
      <c r="E573" s="2">
        <v>16</v>
      </c>
      <c r="F573" s="8">
        <v>40513.436805555553</v>
      </c>
      <c r="G573" s="2">
        <v>1.69</v>
      </c>
      <c r="H573" s="2">
        <v>13705</v>
      </c>
      <c r="I573" s="2" t="s">
        <v>10</v>
      </c>
      <c r="J573" s="2">
        <f>ABS(DF_2[[#This Row],[Quantity_BEFORE]])</f>
        <v>16</v>
      </c>
      <c r="K573" s="2">
        <f>DF_2[[#This Row],[QUANTITY]]*DF_2[[#This Row],[UnitPrice]]</f>
        <v>27.04</v>
      </c>
    </row>
    <row r="574" spans="2:11" x14ac:dyDescent="0.25">
      <c r="B574" s="2">
        <v>536502</v>
      </c>
      <c r="C574" s="2">
        <v>84879</v>
      </c>
      <c r="D574" s="2" t="s">
        <v>22</v>
      </c>
      <c r="E574" s="2">
        <v>16</v>
      </c>
      <c r="F574" s="8">
        <v>40513.525000000001</v>
      </c>
      <c r="G574" s="2">
        <v>1.69</v>
      </c>
      <c r="H574" s="2">
        <v>16552</v>
      </c>
      <c r="I574" s="2" t="s">
        <v>10</v>
      </c>
      <c r="J574" s="2">
        <f>ABS(DF_2[[#This Row],[Quantity_BEFORE]])</f>
        <v>16</v>
      </c>
      <c r="K574" s="2">
        <f>DF_2[[#This Row],[QUANTITY]]*DF_2[[#This Row],[UnitPrice]]</f>
        <v>27.04</v>
      </c>
    </row>
    <row r="575" spans="2:11" x14ac:dyDescent="0.25">
      <c r="B575" s="2">
        <v>536460</v>
      </c>
      <c r="C575" s="2" t="s">
        <v>543</v>
      </c>
      <c r="D575" s="2" t="s">
        <v>544</v>
      </c>
      <c r="E575" s="2">
        <v>12</v>
      </c>
      <c r="F575" s="8">
        <v>40513.515277777777</v>
      </c>
      <c r="G575" s="2">
        <v>1.69</v>
      </c>
      <c r="H575" s="2">
        <v>14849</v>
      </c>
      <c r="I575" s="2" t="s">
        <v>10</v>
      </c>
      <c r="J575" s="2">
        <f>ABS(DF_2[[#This Row],[Quantity_BEFORE]])</f>
        <v>12</v>
      </c>
      <c r="K575" s="2">
        <f>DF_2[[#This Row],[QUANTITY]]*DF_2[[#This Row],[UnitPrice]]</f>
        <v>20.28</v>
      </c>
    </row>
    <row r="576" spans="2:11" x14ac:dyDescent="0.25">
      <c r="B576" s="2">
        <v>536408</v>
      </c>
      <c r="C576" s="2">
        <v>84879</v>
      </c>
      <c r="D576" s="2" t="s">
        <v>22</v>
      </c>
      <c r="E576" s="2">
        <v>8</v>
      </c>
      <c r="F576" s="8">
        <v>40513.486805555556</v>
      </c>
      <c r="G576" s="2">
        <v>1.69</v>
      </c>
      <c r="H576" s="2">
        <v>14307</v>
      </c>
      <c r="I576" s="2" t="s">
        <v>10</v>
      </c>
      <c r="J576" s="2">
        <f>ABS(DF_2[[#This Row],[Quantity_BEFORE]])</f>
        <v>8</v>
      </c>
      <c r="K576" s="2">
        <f>DF_2[[#This Row],[QUANTITY]]*DF_2[[#This Row],[UnitPrice]]</f>
        <v>13.52</v>
      </c>
    </row>
    <row r="577" spans="2:11" x14ac:dyDescent="0.25">
      <c r="B577" s="2">
        <v>536464</v>
      </c>
      <c r="C577" s="2">
        <v>84879</v>
      </c>
      <c r="D577" s="2" t="s">
        <v>22</v>
      </c>
      <c r="E577" s="2">
        <v>8</v>
      </c>
      <c r="F577" s="8">
        <v>40513.515972222223</v>
      </c>
      <c r="G577" s="2">
        <v>1.69</v>
      </c>
      <c r="H577" s="2">
        <v>17968</v>
      </c>
      <c r="I577" s="2" t="s">
        <v>10</v>
      </c>
      <c r="J577" s="2">
        <f>ABS(DF_2[[#This Row],[Quantity_BEFORE]])</f>
        <v>8</v>
      </c>
      <c r="K577" s="2">
        <f>DF_2[[#This Row],[QUANTITY]]*DF_2[[#This Row],[UnitPrice]]</f>
        <v>13.52</v>
      </c>
    </row>
    <row r="578" spans="2:11" x14ac:dyDescent="0.25">
      <c r="B578" s="2">
        <v>536381</v>
      </c>
      <c r="C578" s="2">
        <v>21169</v>
      </c>
      <c r="D578" s="2" t="s">
        <v>112</v>
      </c>
      <c r="E578" s="2">
        <v>3</v>
      </c>
      <c r="F578" s="8">
        <v>40513.40347222222</v>
      </c>
      <c r="G578" s="2">
        <v>1.69</v>
      </c>
      <c r="H578" s="2">
        <v>15311</v>
      </c>
      <c r="I578" s="2" t="s">
        <v>10</v>
      </c>
      <c r="J578" s="2">
        <f>ABS(DF_2[[#This Row],[Quantity_BEFORE]])</f>
        <v>3</v>
      </c>
      <c r="K578" s="2">
        <f>DF_2[[#This Row],[QUANTITY]]*DF_2[[#This Row],[UnitPrice]]</f>
        <v>5.07</v>
      </c>
    </row>
    <row r="579" spans="2:11" x14ac:dyDescent="0.25">
      <c r="B579" s="2">
        <v>536401</v>
      </c>
      <c r="C579" s="2">
        <v>21169</v>
      </c>
      <c r="D579" s="2" t="s">
        <v>112</v>
      </c>
      <c r="E579" s="2">
        <v>2</v>
      </c>
      <c r="F579" s="8">
        <v>40513.472916666666</v>
      </c>
      <c r="G579" s="2">
        <v>1.69</v>
      </c>
      <c r="H579" s="2">
        <v>15862</v>
      </c>
      <c r="I579" s="2" t="s">
        <v>10</v>
      </c>
      <c r="J579" s="2">
        <f>ABS(DF_2[[#This Row],[Quantity_BEFORE]])</f>
        <v>2</v>
      </c>
      <c r="K579" s="2">
        <f>DF_2[[#This Row],[QUANTITY]]*DF_2[[#This Row],[UnitPrice]]</f>
        <v>3.38</v>
      </c>
    </row>
    <row r="580" spans="2:11" x14ac:dyDescent="0.25">
      <c r="B580" s="2">
        <v>536412</v>
      </c>
      <c r="C580" s="2">
        <v>21245</v>
      </c>
      <c r="D580" s="2" t="s">
        <v>425</v>
      </c>
      <c r="E580" s="2">
        <v>1</v>
      </c>
      <c r="F580" s="8">
        <v>40513.492361111108</v>
      </c>
      <c r="G580" s="2">
        <v>1.69</v>
      </c>
      <c r="H580" s="2">
        <v>17920</v>
      </c>
      <c r="I580" s="2" t="s">
        <v>10</v>
      </c>
      <c r="J580" s="2">
        <f>ABS(DF_2[[#This Row],[Quantity_BEFORE]])</f>
        <v>1</v>
      </c>
      <c r="K580" s="2">
        <f>DF_2[[#This Row],[QUANTITY]]*DF_2[[#This Row],[UnitPrice]]</f>
        <v>1.69</v>
      </c>
    </row>
    <row r="581" spans="2:11" x14ac:dyDescent="0.25">
      <c r="B581" s="2">
        <v>536412</v>
      </c>
      <c r="C581" s="2">
        <v>21244</v>
      </c>
      <c r="D581" s="2" t="s">
        <v>426</v>
      </c>
      <c r="E581" s="2">
        <v>1</v>
      </c>
      <c r="F581" s="8">
        <v>40513.492361111108</v>
      </c>
      <c r="G581" s="2">
        <v>1.69</v>
      </c>
      <c r="H581" s="2">
        <v>17920</v>
      </c>
      <c r="I581" s="2" t="s">
        <v>10</v>
      </c>
      <c r="J581" s="2">
        <f>ABS(DF_2[[#This Row],[Quantity_BEFORE]])</f>
        <v>1</v>
      </c>
      <c r="K581" s="2">
        <f>DF_2[[#This Row],[QUANTITY]]*DF_2[[#This Row],[UnitPrice]]</f>
        <v>1.69</v>
      </c>
    </row>
    <row r="582" spans="2:11" x14ac:dyDescent="0.25">
      <c r="B582" s="2">
        <v>536412</v>
      </c>
      <c r="C582" s="2">
        <v>21242</v>
      </c>
      <c r="D582" s="2" t="s">
        <v>427</v>
      </c>
      <c r="E582" s="2">
        <v>1</v>
      </c>
      <c r="F582" s="8">
        <v>40513.492361111108</v>
      </c>
      <c r="G582" s="2">
        <v>1.69</v>
      </c>
      <c r="H582" s="2">
        <v>17920</v>
      </c>
      <c r="I582" s="2" t="s">
        <v>10</v>
      </c>
      <c r="J582" s="2">
        <f>ABS(DF_2[[#This Row],[Quantity_BEFORE]])</f>
        <v>1</v>
      </c>
      <c r="K582" s="2">
        <f>DF_2[[#This Row],[QUANTITY]]*DF_2[[#This Row],[UnitPrice]]</f>
        <v>1.69</v>
      </c>
    </row>
    <row r="583" spans="2:11" x14ac:dyDescent="0.25">
      <c r="B583" s="2">
        <v>536412</v>
      </c>
      <c r="C583" s="2">
        <v>21243</v>
      </c>
      <c r="D583" s="2" t="s">
        <v>428</v>
      </c>
      <c r="E583" s="2">
        <v>1</v>
      </c>
      <c r="F583" s="8">
        <v>40513.492361111108</v>
      </c>
      <c r="G583" s="2">
        <v>1.69</v>
      </c>
      <c r="H583" s="2">
        <v>17920</v>
      </c>
      <c r="I583" s="2" t="s">
        <v>10</v>
      </c>
      <c r="J583" s="2">
        <f>ABS(DF_2[[#This Row],[Quantity_BEFORE]])</f>
        <v>1</v>
      </c>
      <c r="K583" s="2">
        <f>DF_2[[#This Row],[QUANTITY]]*DF_2[[#This Row],[UnitPrice]]</f>
        <v>1.69</v>
      </c>
    </row>
    <row r="584" spans="2:11" x14ac:dyDescent="0.25">
      <c r="B584" s="2">
        <v>536386</v>
      </c>
      <c r="C584" s="2" t="s">
        <v>76</v>
      </c>
      <c r="D584" s="2" t="s">
        <v>77</v>
      </c>
      <c r="E584" s="2">
        <v>100</v>
      </c>
      <c r="F584" s="8">
        <v>40513.414583333331</v>
      </c>
      <c r="G584" s="2">
        <v>1.65</v>
      </c>
      <c r="H584" s="2">
        <v>16029</v>
      </c>
      <c r="I584" s="2" t="s">
        <v>10</v>
      </c>
      <c r="J584" s="2">
        <f>ABS(DF_2[[#This Row],[Quantity_BEFORE]])</f>
        <v>100</v>
      </c>
      <c r="K584" s="2">
        <f>DF_2[[#This Row],[QUANTITY]]*DF_2[[#This Row],[UnitPrice]]</f>
        <v>165</v>
      </c>
    </row>
    <row r="585" spans="2:11" x14ac:dyDescent="0.25">
      <c r="B585" s="2">
        <v>536386</v>
      </c>
      <c r="C585" s="2" t="s">
        <v>172</v>
      </c>
      <c r="D585" s="2" t="s">
        <v>173</v>
      </c>
      <c r="E585" s="2">
        <v>100</v>
      </c>
      <c r="F585" s="8">
        <v>40513.414583333331</v>
      </c>
      <c r="G585" s="2">
        <v>1.65</v>
      </c>
      <c r="H585" s="2">
        <v>16029</v>
      </c>
      <c r="I585" s="2" t="s">
        <v>10</v>
      </c>
      <c r="J585" s="2">
        <f>ABS(DF_2[[#This Row],[Quantity_BEFORE]])</f>
        <v>100</v>
      </c>
      <c r="K585" s="2">
        <f>DF_2[[#This Row],[QUANTITY]]*DF_2[[#This Row],[UnitPrice]]</f>
        <v>165</v>
      </c>
    </row>
    <row r="586" spans="2:11" x14ac:dyDescent="0.25">
      <c r="B586" s="2">
        <v>536390</v>
      </c>
      <c r="C586" s="2" t="s">
        <v>172</v>
      </c>
      <c r="D586" s="2" t="s">
        <v>173</v>
      </c>
      <c r="E586" s="2">
        <v>100</v>
      </c>
      <c r="F586" s="8">
        <v>40513.429861111108</v>
      </c>
      <c r="G586" s="2">
        <v>1.65</v>
      </c>
      <c r="H586" s="2">
        <v>17511</v>
      </c>
      <c r="I586" s="2" t="s">
        <v>10</v>
      </c>
      <c r="J586" s="2">
        <f>ABS(DF_2[[#This Row],[Quantity_BEFORE]])</f>
        <v>100</v>
      </c>
      <c r="K586" s="2">
        <f>DF_2[[#This Row],[QUANTITY]]*DF_2[[#This Row],[UnitPrice]]</f>
        <v>165</v>
      </c>
    </row>
    <row r="587" spans="2:11" x14ac:dyDescent="0.25">
      <c r="B587" s="2">
        <v>536370</v>
      </c>
      <c r="C587" s="2">
        <v>21731</v>
      </c>
      <c r="D587" s="2" t="s">
        <v>53</v>
      </c>
      <c r="E587" s="2">
        <v>24</v>
      </c>
      <c r="F587" s="8">
        <v>40513.364583333336</v>
      </c>
      <c r="G587" s="2">
        <v>1.65</v>
      </c>
      <c r="H587" s="2">
        <v>12583</v>
      </c>
      <c r="I587" s="2" t="s">
        <v>40</v>
      </c>
      <c r="J587" s="2">
        <f>ABS(DF_2[[#This Row],[Quantity_BEFORE]])</f>
        <v>24</v>
      </c>
      <c r="K587" s="2">
        <f>DF_2[[#This Row],[QUANTITY]]*DF_2[[#This Row],[UnitPrice]]</f>
        <v>39.599999999999994</v>
      </c>
    </row>
    <row r="588" spans="2:11" x14ac:dyDescent="0.25">
      <c r="B588" s="2">
        <v>536389</v>
      </c>
      <c r="C588" s="2">
        <v>22195</v>
      </c>
      <c r="D588" s="2" t="s">
        <v>199</v>
      </c>
      <c r="E588" s="2">
        <v>24</v>
      </c>
      <c r="F588" s="8">
        <v>40513.418749999997</v>
      </c>
      <c r="G588" s="2">
        <v>1.65</v>
      </c>
      <c r="H588" s="2">
        <v>12431</v>
      </c>
      <c r="I588" s="2" t="s">
        <v>188</v>
      </c>
      <c r="J588" s="2">
        <f>ABS(DF_2[[#This Row],[Quantity_BEFORE]])</f>
        <v>24</v>
      </c>
      <c r="K588" s="2">
        <f>DF_2[[#This Row],[QUANTITY]]*DF_2[[#This Row],[UnitPrice]]</f>
        <v>39.599999999999994</v>
      </c>
    </row>
    <row r="589" spans="2:11" x14ac:dyDescent="0.25">
      <c r="B589" s="2" t="s">
        <v>218</v>
      </c>
      <c r="C589" s="2">
        <v>22553</v>
      </c>
      <c r="D589" s="2" t="s">
        <v>225</v>
      </c>
      <c r="E589" s="2">
        <v>-24</v>
      </c>
      <c r="F589" s="8">
        <v>40513.433333333334</v>
      </c>
      <c r="G589" s="2">
        <v>1.65</v>
      </c>
      <c r="H589" s="2">
        <v>17548</v>
      </c>
      <c r="I589" s="2" t="s">
        <v>10</v>
      </c>
      <c r="J589" s="2">
        <f>ABS(DF_2[[#This Row],[Quantity_BEFORE]])</f>
        <v>24</v>
      </c>
      <c r="K589" s="2">
        <f>DF_2[[#This Row],[QUANTITY]]*DF_2[[#This Row],[UnitPrice]]</f>
        <v>39.599999999999994</v>
      </c>
    </row>
    <row r="590" spans="2:11" x14ac:dyDescent="0.25">
      <c r="B590" s="2">
        <v>536404</v>
      </c>
      <c r="C590" s="2">
        <v>22296</v>
      </c>
      <c r="D590" s="2" t="s">
        <v>349</v>
      </c>
      <c r="E590" s="2">
        <v>24</v>
      </c>
      <c r="F590" s="8">
        <v>40513.478472222225</v>
      </c>
      <c r="G590" s="2">
        <v>1.65</v>
      </c>
      <c r="H590" s="2">
        <v>16218</v>
      </c>
      <c r="I590" s="2" t="s">
        <v>10</v>
      </c>
      <c r="J590" s="2">
        <f>ABS(DF_2[[#This Row],[Quantity_BEFORE]])</f>
        <v>24</v>
      </c>
      <c r="K590" s="2">
        <f>DF_2[[#This Row],[QUANTITY]]*DF_2[[#This Row],[UnitPrice]]</f>
        <v>39.599999999999994</v>
      </c>
    </row>
    <row r="591" spans="2:11" x14ac:dyDescent="0.25">
      <c r="B591" s="2">
        <v>536394</v>
      </c>
      <c r="C591" s="2">
        <v>22652</v>
      </c>
      <c r="D591" s="2" t="s">
        <v>243</v>
      </c>
      <c r="E591" s="2">
        <v>20</v>
      </c>
      <c r="F591" s="8">
        <v>40513.443749999999</v>
      </c>
      <c r="G591" s="2">
        <v>1.65</v>
      </c>
      <c r="H591" s="2">
        <v>13408</v>
      </c>
      <c r="I591" s="2" t="s">
        <v>10</v>
      </c>
      <c r="J591" s="2">
        <f>ABS(DF_2[[#This Row],[Quantity_BEFORE]])</f>
        <v>20</v>
      </c>
      <c r="K591" s="2">
        <f>DF_2[[#This Row],[QUANTITY]]*DF_2[[#This Row],[UnitPrice]]</f>
        <v>33</v>
      </c>
    </row>
    <row r="592" spans="2:11" x14ac:dyDescent="0.25">
      <c r="B592" s="2">
        <v>536382</v>
      </c>
      <c r="C592" s="2">
        <v>21832</v>
      </c>
      <c r="D592" s="2" t="s">
        <v>142</v>
      </c>
      <c r="E592" s="2">
        <v>12</v>
      </c>
      <c r="F592" s="8">
        <v>40513.40625</v>
      </c>
      <c r="G592" s="2">
        <v>1.65</v>
      </c>
      <c r="H592" s="2">
        <v>16098</v>
      </c>
      <c r="I592" s="2" t="s">
        <v>10</v>
      </c>
      <c r="J592" s="2">
        <f>ABS(DF_2[[#This Row],[Quantity_BEFORE]])</f>
        <v>12</v>
      </c>
      <c r="K592" s="2">
        <f>DF_2[[#This Row],[QUANTITY]]*DF_2[[#This Row],[UnitPrice]]</f>
        <v>19.799999999999997</v>
      </c>
    </row>
    <row r="593" spans="2:11" x14ac:dyDescent="0.25">
      <c r="B593" s="2">
        <v>536384</v>
      </c>
      <c r="C593" s="2">
        <v>22464</v>
      </c>
      <c r="D593" s="2" t="s">
        <v>155</v>
      </c>
      <c r="E593" s="2">
        <v>12</v>
      </c>
      <c r="F593" s="8">
        <v>40513.411805555559</v>
      </c>
      <c r="G593" s="2">
        <v>1.65</v>
      </c>
      <c r="H593" s="2">
        <v>18074</v>
      </c>
      <c r="I593" s="2" t="s">
        <v>10</v>
      </c>
      <c r="J593" s="2">
        <f>ABS(DF_2[[#This Row],[Quantity_BEFORE]])</f>
        <v>12</v>
      </c>
      <c r="K593" s="2">
        <f>DF_2[[#This Row],[QUANTITY]]*DF_2[[#This Row],[UnitPrice]]</f>
        <v>19.799999999999997</v>
      </c>
    </row>
    <row r="594" spans="2:11" x14ac:dyDescent="0.25">
      <c r="B594" s="2">
        <v>536388</v>
      </c>
      <c r="C594" s="2">
        <v>22464</v>
      </c>
      <c r="D594" s="2" t="s">
        <v>155</v>
      </c>
      <c r="E594" s="2">
        <v>12</v>
      </c>
      <c r="F594" s="8">
        <v>40513.415972222225</v>
      </c>
      <c r="G594" s="2">
        <v>1.65</v>
      </c>
      <c r="H594" s="2">
        <v>16250</v>
      </c>
      <c r="I594" s="2" t="s">
        <v>10</v>
      </c>
      <c r="J594" s="2">
        <f>ABS(DF_2[[#This Row],[Quantity_BEFORE]])</f>
        <v>12</v>
      </c>
      <c r="K594" s="2">
        <f>DF_2[[#This Row],[QUANTITY]]*DF_2[[#This Row],[UnitPrice]]</f>
        <v>19.799999999999997</v>
      </c>
    </row>
    <row r="595" spans="2:11" x14ac:dyDescent="0.25">
      <c r="B595" s="2">
        <v>536388</v>
      </c>
      <c r="C595" s="2">
        <v>22469</v>
      </c>
      <c r="D595" s="2" t="s">
        <v>158</v>
      </c>
      <c r="E595" s="2">
        <v>12</v>
      </c>
      <c r="F595" s="8">
        <v>40513.415972222225</v>
      </c>
      <c r="G595" s="2">
        <v>1.65</v>
      </c>
      <c r="H595" s="2">
        <v>16250</v>
      </c>
      <c r="I595" s="2" t="s">
        <v>10</v>
      </c>
      <c r="J595" s="2">
        <f>ABS(DF_2[[#This Row],[Quantity_BEFORE]])</f>
        <v>12</v>
      </c>
      <c r="K595" s="2">
        <f>DF_2[[#This Row],[QUANTITY]]*DF_2[[#This Row],[UnitPrice]]</f>
        <v>19.799999999999997</v>
      </c>
    </row>
    <row r="596" spans="2:11" x14ac:dyDescent="0.25">
      <c r="B596" s="2">
        <v>536388</v>
      </c>
      <c r="C596" s="2">
        <v>22242</v>
      </c>
      <c r="D596" s="2" t="s">
        <v>186</v>
      </c>
      <c r="E596" s="2">
        <v>12</v>
      </c>
      <c r="F596" s="8">
        <v>40513.415972222225</v>
      </c>
      <c r="G596" s="2">
        <v>1.65</v>
      </c>
      <c r="H596" s="2">
        <v>16250</v>
      </c>
      <c r="I596" s="2" t="s">
        <v>10</v>
      </c>
      <c r="J596" s="2">
        <f>ABS(DF_2[[#This Row],[Quantity_BEFORE]])</f>
        <v>12</v>
      </c>
      <c r="K596" s="2">
        <f>DF_2[[#This Row],[QUANTITY]]*DF_2[[#This Row],[UnitPrice]]</f>
        <v>19.799999999999997</v>
      </c>
    </row>
    <row r="597" spans="2:11" x14ac:dyDescent="0.25">
      <c r="B597" s="2" t="s">
        <v>218</v>
      </c>
      <c r="C597" s="2">
        <v>22556</v>
      </c>
      <c r="D597" s="2" t="s">
        <v>219</v>
      </c>
      <c r="E597" s="2">
        <v>-12</v>
      </c>
      <c r="F597" s="8">
        <v>40513.433333333334</v>
      </c>
      <c r="G597" s="2">
        <v>1.65</v>
      </c>
      <c r="H597" s="2">
        <v>17548</v>
      </c>
      <c r="I597" s="2" t="s">
        <v>10</v>
      </c>
      <c r="J597" s="2">
        <f>ABS(DF_2[[#This Row],[Quantity_BEFORE]])</f>
        <v>12</v>
      </c>
      <c r="K597" s="2">
        <f>DF_2[[#This Row],[QUANTITY]]*DF_2[[#This Row],[UnitPrice]]</f>
        <v>19.799999999999997</v>
      </c>
    </row>
    <row r="598" spans="2:11" x14ac:dyDescent="0.25">
      <c r="B598" s="2" t="s">
        <v>218</v>
      </c>
      <c r="C598" s="2">
        <v>22557</v>
      </c>
      <c r="D598" s="2" t="s">
        <v>224</v>
      </c>
      <c r="E598" s="2">
        <v>-12</v>
      </c>
      <c r="F598" s="8">
        <v>40513.433333333334</v>
      </c>
      <c r="G598" s="2">
        <v>1.65</v>
      </c>
      <c r="H598" s="2">
        <v>17548</v>
      </c>
      <c r="I598" s="2" t="s">
        <v>10</v>
      </c>
      <c r="J598" s="2">
        <f>ABS(DF_2[[#This Row],[Quantity_BEFORE]])</f>
        <v>12</v>
      </c>
      <c r="K598" s="2">
        <f>DF_2[[#This Row],[QUANTITY]]*DF_2[[#This Row],[UnitPrice]]</f>
        <v>19.799999999999997</v>
      </c>
    </row>
    <row r="599" spans="2:11" x14ac:dyDescent="0.25">
      <c r="B599" s="2">
        <v>536398</v>
      </c>
      <c r="C599" s="2">
        <v>22064</v>
      </c>
      <c r="D599" s="2" t="s">
        <v>256</v>
      </c>
      <c r="E599" s="2">
        <v>12</v>
      </c>
      <c r="F599" s="8">
        <v>40513.452777777777</v>
      </c>
      <c r="G599" s="2">
        <v>1.65</v>
      </c>
      <c r="H599" s="2">
        <v>13448</v>
      </c>
      <c r="I599" s="2" t="s">
        <v>10</v>
      </c>
      <c r="J599" s="2">
        <f>ABS(DF_2[[#This Row],[Quantity_BEFORE]])</f>
        <v>12</v>
      </c>
      <c r="K599" s="2">
        <f>DF_2[[#This Row],[QUANTITY]]*DF_2[[#This Row],[UnitPrice]]</f>
        <v>19.799999999999997</v>
      </c>
    </row>
    <row r="600" spans="2:11" x14ac:dyDescent="0.25">
      <c r="B600" s="2">
        <v>536404</v>
      </c>
      <c r="C600" s="2">
        <v>22469</v>
      </c>
      <c r="D600" s="2" t="s">
        <v>158</v>
      </c>
      <c r="E600" s="2">
        <v>12</v>
      </c>
      <c r="F600" s="8">
        <v>40513.478472222225</v>
      </c>
      <c r="G600" s="2">
        <v>1.65</v>
      </c>
      <c r="H600" s="2">
        <v>16218</v>
      </c>
      <c r="I600" s="2" t="s">
        <v>10</v>
      </c>
      <c r="J600" s="2">
        <f>ABS(DF_2[[#This Row],[Quantity_BEFORE]])</f>
        <v>12</v>
      </c>
      <c r="K600" s="2">
        <f>DF_2[[#This Row],[QUANTITY]]*DF_2[[#This Row],[UnitPrice]]</f>
        <v>19.799999999999997</v>
      </c>
    </row>
    <row r="601" spans="2:11" x14ac:dyDescent="0.25">
      <c r="B601" s="2">
        <v>536408</v>
      </c>
      <c r="C601" s="2">
        <v>21832</v>
      </c>
      <c r="D601" s="2" t="s">
        <v>142</v>
      </c>
      <c r="E601" s="2">
        <v>12</v>
      </c>
      <c r="F601" s="8">
        <v>40513.486805555556</v>
      </c>
      <c r="G601" s="2">
        <v>1.65</v>
      </c>
      <c r="H601" s="2">
        <v>14307</v>
      </c>
      <c r="I601" s="2" t="s">
        <v>10</v>
      </c>
      <c r="J601" s="2">
        <f>ABS(DF_2[[#This Row],[Quantity_BEFORE]])</f>
        <v>12</v>
      </c>
      <c r="K601" s="2">
        <f>DF_2[[#This Row],[QUANTITY]]*DF_2[[#This Row],[UnitPrice]]</f>
        <v>19.799999999999997</v>
      </c>
    </row>
    <row r="602" spans="2:11" x14ac:dyDescent="0.25">
      <c r="B602" s="2">
        <v>536408</v>
      </c>
      <c r="C602" s="2">
        <v>22465</v>
      </c>
      <c r="D602" s="2" t="s">
        <v>363</v>
      </c>
      <c r="E602" s="2">
        <v>12</v>
      </c>
      <c r="F602" s="8">
        <v>40513.486805555556</v>
      </c>
      <c r="G602" s="2">
        <v>1.65</v>
      </c>
      <c r="H602" s="2">
        <v>14307</v>
      </c>
      <c r="I602" s="2" t="s">
        <v>10</v>
      </c>
      <c r="J602" s="2">
        <f>ABS(DF_2[[#This Row],[Quantity_BEFORE]])</f>
        <v>12</v>
      </c>
      <c r="K602" s="2">
        <f>DF_2[[#This Row],[QUANTITY]]*DF_2[[#This Row],[UnitPrice]]</f>
        <v>19.799999999999997</v>
      </c>
    </row>
    <row r="603" spans="2:11" x14ac:dyDescent="0.25">
      <c r="B603" s="2">
        <v>536408</v>
      </c>
      <c r="C603" s="2">
        <v>22488</v>
      </c>
      <c r="D603" s="2" t="s">
        <v>367</v>
      </c>
      <c r="E603" s="2">
        <v>12</v>
      </c>
      <c r="F603" s="8">
        <v>40513.486805555556</v>
      </c>
      <c r="G603" s="2">
        <v>1.65</v>
      </c>
      <c r="H603" s="2">
        <v>14307</v>
      </c>
      <c r="I603" s="2" t="s">
        <v>10</v>
      </c>
      <c r="J603" s="2">
        <f>ABS(DF_2[[#This Row],[Quantity_BEFORE]])</f>
        <v>12</v>
      </c>
      <c r="K603" s="2">
        <f>DF_2[[#This Row],[QUANTITY]]*DF_2[[#This Row],[UnitPrice]]</f>
        <v>19.799999999999997</v>
      </c>
    </row>
    <row r="604" spans="2:11" x14ac:dyDescent="0.25">
      <c r="B604" s="2">
        <v>536408</v>
      </c>
      <c r="C604" s="2">
        <v>22553</v>
      </c>
      <c r="D604" s="2" t="s">
        <v>225</v>
      </c>
      <c r="E604" s="2">
        <v>12</v>
      </c>
      <c r="F604" s="8">
        <v>40513.486805555556</v>
      </c>
      <c r="G604" s="2">
        <v>1.65</v>
      </c>
      <c r="H604" s="2">
        <v>14307</v>
      </c>
      <c r="I604" s="2" t="s">
        <v>10</v>
      </c>
      <c r="J604" s="2">
        <f>ABS(DF_2[[#This Row],[Quantity_BEFORE]])</f>
        <v>12</v>
      </c>
      <c r="K604" s="2">
        <f>DF_2[[#This Row],[QUANTITY]]*DF_2[[#This Row],[UnitPrice]]</f>
        <v>19.799999999999997</v>
      </c>
    </row>
    <row r="605" spans="2:11" x14ac:dyDescent="0.25">
      <c r="B605" s="2">
        <v>536408</v>
      </c>
      <c r="C605" s="2">
        <v>21705</v>
      </c>
      <c r="D605" s="2" t="s">
        <v>380</v>
      </c>
      <c r="E605" s="2">
        <v>12</v>
      </c>
      <c r="F605" s="8">
        <v>40513.486805555556</v>
      </c>
      <c r="G605" s="2">
        <v>1.65</v>
      </c>
      <c r="H605" s="2">
        <v>14307</v>
      </c>
      <c r="I605" s="2" t="s">
        <v>10</v>
      </c>
      <c r="J605" s="2">
        <f>ABS(DF_2[[#This Row],[Quantity_BEFORE]])</f>
        <v>12</v>
      </c>
      <c r="K605" s="2">
        <f>DF_2[[#This Row],[QUANTITY]]*DF_2[[#This Row],[UnitPrice]]</f>
        <v>19.799999999999997</v>
      </c>
    </row>
    <row r="606" spans="2:11" x14ac:dyDescent="0.25">
      <c r="B606" s="2">
        <v>536520</v>
      </c>
      <c r="C606" s="2">
        <v>21584</v>
      </c>
      <c r="D606" s="2" t="s">
        <v>589</v>
      </c>
      <c r="E606" s="2">
        <v>12</v>
      </c>
      <c r="F606" s="8">
        <v>40513.529861111114</v>
      </c>
      <c r="G606" s="2">
        <v>1.65</v>
      </c>
      <c r="H606" s="2">
        <v>14729</v>
      </c>
      <c r="I606" s="2" t="s">
        <v>10</v>
      </c>
      <c r="J606" s="2">
        <f>ABS(DF_2[[#This Row],[Quantity_BEFORE]])</f>
        <v>12</v>
      </c>
      <c r="K606" s="2">
        <f>DF_2[[#This Row],[QUANTITY]]*DF_2[[#This Row],[UnitPrice]]</f>
        <v>19.799999999999997</v>
      </c>
    </row>
    <row r="607" spans="2:11" x14ac:dyDescent="0.25">
      <c r="B607" s="2">
        <v>536378</v>
      </c>
      <c r="C607" s="2">
        <v>20725</v>
      </c>
      <c r="D607" s="2" t="s">
        <v>85</v>
      </c>
      <c r="E607" s="2">
        <v>10</v>
      </c>
      <c r="F607" s="8">
        <v>40513.400694444441</v>
      </c>
      <c r="G607" s="2">
        <v>1.65</v>
      </c>
      <c r="H607" s="2">
        <v>14688</v>
      </c>
      <c r="I607" s="2" t="s">
        <v>10</v>
      </c>
      <c r="J607" s="2">
        <f>ABS(DF_2[[#This Row],[Quantity_BEFORE]])</f>
        <v>10</v>
      </c>
      <c r="K607" s="2">
        <f>DF_2[[#This Row],[QUANTITY]]*DF_2[[#This Row],[UnitPrice]]</f>
        <v>16.5</v>
      </c>
    </row>
    <row r="608" spans="2:11" x14ac:dyDescent="0.25">
      <c r="B608" s="2">
        <v>536381</v>
      </c>
      <c r="C608" s="2">
        <v>21934</v>
      </c>
      <c r="D608" s="2" t="s">
        <v>111</v>
      </c>
      <c r="E608" s="2">
        <v>10</v>
      </c>
      <c r="F608" s="8">
        <v>40513.40347222222</v>
      </c>
      <c r="G608" s="2">
        <v>1.65</v>
      </c>
      <c r="H608" s="2">
        <v>15311</v>
      </c>
      <c r="I608" s="2" t="s">
        <v>10</v>
      </c>
      <c r="J608" s="2">
        <f>ABS(DF_2[[#This Row],[Quantity_BEFORE]])</f>
        <v>10</v>
      </c>
      <c r="K608" s="2">
        <f>DF_2[[#This Row],[QUANTITY]]*DF_2[[#This Row],[UnitPrice]]</f>
        <v>16.5</v>
      </c>
    </row>
    <row r="609" spans="2:11" x14ac:dyDescent="0.25">
      <c r="B609" s="2">
        <v>536385</v>
      </c>
      <c r="C609" s="2">
        <v>22662</v>
      </c>
      <c r="D609" s="2" t="s">
        <v>170</v>
      </c>
      <c r="E609" s="2">
        <v>10</v>
      </c>
      <c r="F609" s="8">
        <v>40513.413888888892</v>
      </c>
      <c r="G609" s="2">
        <v>1.65</v>
      </c>
      <c r="H609" s="2">
        <v>17420</v>
      </c>
      <c r="I609" s="2" t="s">
        <v>10</v>
      </c>
      <c r="J609" s="2">
        <f>ABS(DF_2[[#This Row],[Quantity_BEFORE]])</f>
        <v>10</v>
      </c>
      <c r="K609" s="2">
        <f>DF_2[[#This Row],[QUANTITY]]*DF_2[[#This Row],[UnitPrice]]</f>
        <v>16.5</v>
      </c>
    </row>
    <row r="610" spans="2:11" x14ac:dyDescent="0.25">
      <c r="B610" s="2">
        <v>536404</v>
      </c>
      <c r="C610" s="2">
        <v>22383</v>
      </c>
      <c r="D610" s="2" t="s">
        <v>346</v>
      </c>
      <c r="E610" s="2">
        <v>10</v>
      </c>
      <c r="F610" s="8">
        <v>40513.478472222225</v>
      </c>
      <c r="G610" s="2">
        <v>1.65</v>
      </c>
      <c r="H610" s="2">
        <v>16218</v>
      </c>
      <c r="I610" s="2" t="s">
        <v>10</v>
      </c>
      <c r="J610" s="2">
        <f>ABS(DF_2[[#This Row],[Quantity_BEFORE]])</f>
        <v>10</v>
      </c>
      <c r="K610" s="2">
        <f>DF_2[[#This Row],[QUANTITY]]*DF_2[[#This Row],[UnitPrice]]</f>
        <v>16.5</v>
      </c>
    </row>
    <row r="611" spans="2:11" x14ac:dyDescent="0.25">
      <c r="B611" s="2">
        <v>536404</v>
      </c>
      <c r="C611" s="2">
        <v>20728</v>
      </c>
      <c r="D611" s="2" t="s">
        <v>347</v>
      </c>
      <c r="E611" s="2">
        <v>10</v>
      </c>
      <c r="F611" s="8">
        <v>40513.478472222225</v>
      </c>
      <c r="G611" s="2">
        <v>1.65</v>
      </c>
      <c r="H611" s="2">
        <v>16218</v>
      </c>
      <c r="I611" s="2" t="s">
        <v>10</v>
      </c>
      <c r="J611" s="2">
        <f>ABS(DF_2[[#This Row],[Quantity_BEFORE]])</f>
        <v>10</v>
      </c>
      <c r="K611" s="2">
        <f>DF_2[[#This Row],[QUANTITY]]*DF_2[[#This Row],[UnitPrice]]</f>
        <v>16.5</v>
      </c>
    </row>
    <row r="612" spans="2:11" x14ac:dyDescent="0.25">
      <c r="B612" s="2">
        <v>536404</v>
      </c>
      <c r="C612" s="2">
        <v>20727</v>
      </c>
      <c r="D612" s="2" t="s">
        <v>348</v>
      </c>
      <c r="E612" s="2">
        <v>10</v>
      </c>
      <c r="F612" s="8">
        <v>40513.478472222225</v>
      </c>
      <c r="G612" s="2">
        <v>1.65</v>
      </c>
      <c r="H612" s="2">
        <v>16218</v>
      </c>
      <c r="I612" s="2" t="s">
        <v>10</v>
      </c>
      <c r="J612" s="2">
        <f>ABS(DF_2[[#This Row],[Quantity_BEFORE]])</f>
        <v>10</v>
      </c>
      <c r="K612" s="2">
        <f>DF_2[[#This Row],[QUANTITY]]*DF_2[[#This Row],[UnitPrice]]</f>
        <v>16.5</v>
      </c>
    </row>
    <row r="613" spans="2:11" x14ac:dyDescent="0.25">
      <c r="B613" s="2">
        <v>536408</v>
      </c>
      <c r="C613" s="2">
        <v>22736</v>
      </c>
      <c r="D613" s="2" t="s">
        <v>378</v>
      </c>
      <c r="E613" s="2">
        <v>10</v>
      </c>
      <c r="F613" s="8">
        <v>40513.486805555556</v>
      </c>
      <c r="G613" s="2">
        <v>1.65</v>
      </c>
      <c r="H613" s="2">
        <v>14307</v>
      </c>
      <c r="I613" s="2" t="s">
        <v>10</v>
      </c>
      <c r="J613" s="2">
        <f>ABS(DF_2[[#This Row],[Quantity_BEFORE]])</f>
        <v>10</v>
      </c>
      <c r="K613" s="2">
        <f>DF_2[[#This Row],[QUANTITY]]*DF_2[[#This Row],[UnitPrice]]</f>
        <v>16.5</v>
      </c>
    </row>
    <row r="614" spans="2:11" x14ac:dyDescent="0.25">
      <c r="B614" s="2">
        <v>536412</v>
      </c>
      <c r="C614" s="2">
        <v>22077</v>
      </c>
      <c r="D614" s="2" t="s">
        <v>434</v>
      </c>
      <c r="E614" s="2">
        <v>7</v>
      </c>
      <c r="F614" s="8">
        <v>40513.492361111108</v>
      </c>
      <c r="G614" s="2">
        <v>1.65</v>
      </c>
      <c r="H614" s="2">
        <v>17920</v>
      </c>
      <c r="I614" s="2" t="s">
        <v>10</v>
      </c>
      <c r="J614" s="2">
        <f>ABS(DF_2[[#This Row],[Quantity_BEFORE]])</f>
        <v>7</v>
      </c>
      <c r="K614" s="2">
        <f>DF_2[[#This Row],[QUANTITY]]*DF_2[[#This Row],[UnitPrice]]</f>
        <v>11.549999999999999</v>
      </c>
    </row>
    <row r="615" spans="2:11" x14ac:dyDescent="0.25">
      <c r="B615" s="2">
        <v>536367</v>
      </c>
      <c r="C615" s="2">
        <v>22310</v>
      </c>
      <c r="D615" s="2" t="s">
        <v>26</v>
      </c>
      <c r="E615" s="2">
        <v>6</v>
      </c>
      <c r="F615" s="8">
        <v>40513.356944444444</v>
      </c>
      <c r="G615" s="2">
        <v>1.65</v>
      </c>
      <c r="H615" s="2">
        <v>13047</v>
      </c>
      <c r="I615" s="2" t="s">
        <v>10</v>
      </c>
      <c r="J615" s="2">
        <f>ABS(DF_2[[#This Row],[Quantity_BEFORE]])</f>
        <v>6</v>
      </c>
      <c r="K615" s="2">
        <f>DF_2[[#This Row],[QUANTITY]]*DF_2[[#This Row],[UnitPrice]]</f>
        <v>9.8999999999999986</v>
      </c>
    </row>
    <row r="616" spans="2:11" x14ac:dyDescent="0.25">
      <c r="B616" s="2">
        <v>536408</v>
      </c>
      <c r="C616" s="2">
        <v>84949</v>
      </c>
      <c r="D616" s="2" t="s">
        <v>364</v>
      </c>
      <c r="E616" s="2">
        <v>6</v>
      </c>
      <c r="F616" s="8">
        <v>40513.486805555556</v>
      </c>
      <c r="G616" s="2">
        <v>1.65</v>
      </c>
      <c r="H616" s="2">
        <v>14307</v>
      </c>
      <c r="I616" s="2" t="s">
        <v>10</v>
      </c>
      <c r="J616" s="2">
        <f>ABS(DF_2[[#This Row],[Quantity_BEFORE]])</f>
        <v>6</v>
      </c>
      <c r="K616" s="2">
        <f>DF_2[[#This Row],[QUANTITY]]*DF_2[[#This Row],[UnitPrice]]</f>
        <v>9.8999999999999986</v>
      </c>
    </row>
    <row r="617" spans="2:11" x14ac:dyDescent="0.25">
      <c r="B617" s="2">
        <v>536412</v>
      </c>
      <c r="C617" s="2">
        <v>22243</v>
      </c>
      <c r="D617" s="2" t="s">
        <v>436</v>
      </c>
      <c r="E617" s="2">
        <v>6</v>
      </c>
      <c r="F617" s="8">
        <v>40513.492361111108</v>
      </c>
      <c r="G617" s="2">
        <v>1.65</v>
      </c>
      <c r="H617" s="2">
        <v>17920</v>
      </c>
      <c r="I617" s="2" t="s">
        <v>10</v>
      </c>
      <c r="J617" s="2">
        <f>ABS(DF_2[[#This Row],[Quantity_BEFORE]])</f>
        <v>6</v>
      </c>
      <c r="K617" s="2">
        <f>DF_2[[#This Row],[QUANTITY]]*DF_2[[#This Row],[UnitPrice]]</f>
        <v>9.8999999999999986</v>
      </c>
    </row>
    <row r="618" spans="2:11" x14ac:dyDescent="0.25">
      <c r="B618" s="2">
        <v>536446</v>
      </c>
      <c r="C618" s="2">
        <v>21651</v>
      </c>
      <c r="D618" s="2" t="s">
        <v>537</v>
      </c>
      <c r="E618" s="2">
        <v>6</v>
      </c>
      <c r="F618" s="8">
        <v>40513.510416666664</v>
      </c>
      <c r="G618" s="2">
        <v>1.65</v>
      </c>
      <c r="H618" s="2">
        <v>15983</v>
      </c>
      <c r="I618" s="2" t="s">
        <v>10</v>
      </c>
      <c r="J618" s="2">
        <f>ABS(DF_2[[#This Row],[Quantity_BEFORE]])</f>
        <v>6</v>
      </c>
      <c r="K618" s="2">
        <f>DF_2[[#This Row],[QUANTITY]]*DF_2[[#This Row],[UnitPrice]]</f>
        <v>9.8999999999999986</v>
      </c>
    </row>
    <row r="619" spans="2:11" x14ac:dyDescent="0.25">
      <c r="B619" s="2">
        <v>536446</v>
      </c>
      <c r="C619" s="2">
        <v>21651</v>
      </c>
      <c r="D619" s="2" t="s">
        <v>537</v>
      </c>
      <c r="E619" s="2">
        <v>6</v>
      </c>
      <c r="F619" s="8">
        <v>40513.510416666664</v>
      </c>
      <c r="G619" s="2">
        <v>1.65</v>
      </c>
      <c r="H619" s="2">
        <v>15983</v>
      </c>
      <c r="I619" s="2" t="s">
        <v>10</v>
      </c>
      <c r="J619" s="2">
        <f>ABS(DF_2[[#This Row],[Quantity_BEFORE]])</f>
        <v>6</v>
      </c>
      <c r="K619" s="2">
        <f>DF_2[[#This Row],[QUANTITY]]*DF_2[[#This Row],[UnitPrice]]</f>
        <v>9.8999999999999986</v>
      </c>
    </row>
    <row r="620" spans="2:11" x14ac:dyDescent="0.25">
      <c r="B620" s="2">
        <v>536520</v>
      </c>
      <c r="C620" s="2">
        <v>22906</v>
      </c>
      <c r="D620" s="2" t="s">
        <v>654</v>
      </c>
      <c r="E620" s="2">
        <v>6</v>
      </c>
      <c r="F620" s="8">
        <v>40513.529861111114</v>
      </c>
      <c r="G620" s="2">
        <v>1.65</v>
      </c>
      <c r="H620" s="2">
        <v>14729</v>
      </c>
      <c r="I620" s="2" t="s">
        <v>10</v>
      </c>
      <c r="J620" s="2">
        <f>ABS(DF_2[[#This Row],[Quantity_BEFORE]])</f>
        <v>6</v>
      </c>
      <c r="K620" s="2">
        <f>DF_2[[#This Row],[QUANTITY]]*DF_2[[#This Row],[UnitPrice]]</f>
        <v>9.8999999999999986</v>
      </c>
    </row>
    <row r="621" spans="2:11" x14ac:dyDescent="0.25">
      <c r="B621" s="2">
        <v>536412</v>
      </c>
      <c r="C621" s="2">
        <v>22652</v>
      </c>
      <c r="D621" s="2" t="s">
        <v>243</v>
      </c>
      <c r="E621" s="2">
        <v>5</v>
      </c>
      <c r="F621" s="8">
        <v>40513.492361111108</v>
      </c>
      <c r="G621" s="2">
        <v>1.65</v>
      </c>
      <c r="H621" s="2">
        <v>17920</v>
      </c>
      <c r="I621" s="2" t="s">
        <v>10</v>
      </c>
      <c r="J621" s="2">
        <f>ABS(DF_2[[#This Row],[Quantity_BEFORE]])</f>
        <v>5</v>
      </c>
      <c r="K621" s="2">
        <f>DF_2[[#This Row],[QUANTITY]]*DF_2[[#This Row],[UnitPrice]]</f>
        <v>8.25</v>
      </c>
    </row>
    <row r="622" spans="2:11" x14ac:dyDescent="0.25">
      <c r="B622" s="2">
        <v>536412</v>
      </c>
      <c r="C622" s="2">
        <v>22759</v>
      </c>
      <c r="D622" s="2" t="s">
        <v>431</v>
      </c>
      <c r="E622" s="2">
        <v>5</v>
      </c>
      <c r="F622" s="8">
        <v>40513.492361111108</v>
      </c>
      <c r="G622" s="2">
        <v>1.65</v>
      </c>
      <c r="H622" s="2">
        <v>17920</v>
      </c>
      <c r="I622" s="2" t="s">
        <v>10</v>
      </c>
      <c r="J622" s="2">
        <f>ABS(DF_2[[#This Row],[Quantity_BEFORE]])</f>
        <v>5</v>
      </c>
      <c r="K622" s="2">
        <f>DF_2[[#This Row],[QUANTITY]]*DF_2[[#This Row],[UnitPrice]]</f>
        <v>8.25</v>
      </c>
    </row>
    <row r="623" spans="2:11" x14ac:dyDescent="0.25">
      <c r="B623" s="2">
        <v>536412</v>
      </c>
      <c r="C623" s="2">
        <v>22242</v>
      </c>
      <c r="D623" s="2" t="s">
        <v>186</v>
      </c>
      <c r="E623" s="2">
        <v>5</v>
      </c>
      <c r="F623" s="8">
        <v>40513.492361111108</v>
      </c>
      <c r="G623" s="2">
        <v>1.65</v>
      </c>
      <c r="H623" s="2">
        <v>17920</v>
      </c>
      <c r="I623" s="2" t="s">
        <v>10</v>
      </c>
      <c r="J623" s="2">
        <f>ABS(DF_2[[#This Row],[Quantity_BEFORE]])</f>
        <v>5</v>
      </c>
      <c r="K623" s="2">
        <f>DF_2[[#This Row],[QUANTITY]]*DF_2[[#This Row],[UnitPrice]]</f>
        <v>8.25</v>
      </c>
    </row>
    <row r="624" spans="2:11" x14ac:dyDescent="0.25">
      <c r="B624" s="2">
        <v>536412</v>
      </c>
      <c r="C624" s="2">
        <v>21731</v>
      </c>
      <c r="D624" s="2" t="s">
        <v>53</v>
      </c>
      <c r="E624" s="2">
        <v>5</v>
      </c>
      <c r="F624" s="8">
        <v>40513.492361111108</v>
      </c>
      <c r="G624" s="2">
        <v>1.65</v>
      </c>
      <c r="H624" s="2">
        <v>17920</v>
      </c>
      <c r="I624" s="2" t="s">
        <v>10</v>
      </c>
      <c r="J624" s="2">
        <f>ABS(DF_2[[#This Row],[Quantity_BEFORE]])</f>
        <v>5</v>
      </c>
      <c r="K624" s="2">
        <f>DF_2[[#This Row],[QUANTITY]]*DF_2[[#This Row],[UnitPrice]]</f>
        <v>8.25</v>
      </c>
    </row>
    <row r="625" spans="2:11" x14ac:dyDescent="0.25">
      <c r="B625" s="2">
        <v>536415</v>
      </c>
      <c r="C625" s="2">
        <v>22469</v>
      </c>
      <c r="D625" s="2" t="s">
        <v>158</v>
      </c>
      <c r="E625" s="2">
        <v>5</v>
      </c>
      <c r="F625" s="8">
        <v>40513.497916666667</v>
      </c>
      <c r="G625" s="2">
        <v>1.65</v>
      </c>
      <c r="H625" s="2">
        <v>12838</v>
      </c>
      <c r="I625" s="2" t="s">
        <v>10</v>
      </c>
      <c r="J625" s="2">
        <f>ABS(DF_2[[#This Row],[Quantity_BEFORE]])</f>
        <v>5</v>
      </c>
      <c r="K625" s="2">
        <f>DF_2[[#This Row],[QUANTITY]]*DF_2[[#This Row],[UnitPrice]]</f>
        <v>8.25</v>
      </c>
    </row>
    <row r="626" spans="2:11" x14ac:dyDescent="0.25">
      <c r="B626" s="2">
        <v>536464</v>
      </c>
      <c r="C626" s="2">
        <v>22082</v>
      </c>
      <c r="D626" s="2" t="s">
        <v>597</v>
      </c>
      <c r="E626" s="2">
        <v>5</v>
      </c>
      <c r="F626" s="8">
        <v>40513.515972222223</v>
      </c>
      <c r="G626" s="2">
        <v>1.65</v>
      </c>
      <c r="H626" s="2">
        <v>17968</v>
      </c>
      <c r="I626" s="2" t="s">
        <v>10</v>
      </c>
      <c r="J626" s="2">
        <f>ABS(DF_2[[#This Row],[Quantity_BEFORE]])</f>
        <v>5</v>
      </c>
      <c r="K626" s="2">
        <f>DF_2[[#This Row],[QUANTITY]]*DF_2[[#This Row],[UnitPrice]]</f>
        <v>8.25</v>
      </c>
    </row>
    <row r="627" spans="2:11" x14ac:dyDescent="0.25">
      <c r="B627" s="2">
        <v>536488</v>
      </c>
      <c r="C627" s="2">
        <v>22738</v>
      </c>
      <c r="D627" s="2" t="s">
        <v>458</v>
      </c>
      <c r="E627" s="2">
        <v>5</v>
      </c>
      <c r="F627" s="8">
        <v>40513.521527777775</v>
      </c>
      <c r="G627" s="2">
        <v>1.65</v>
      </c>
      <c r="H627" s="2">
        <v>17897</v>
      </c>
      <c r="I627" s="2" t="s">
        <v>10</v>
      </c>
      <c r="J627" s="2">
        <f>ABS(DF_2[[#This Row],[Quantity_BEFORE]])</f>
        <v>5</v>
      </c>
      <c r="K627" s="2">
        <f>DF_2[[#This Row],[QUANTITY]]*DF_2[[#This Row],[UnitPrice]]</f>
        <v>8.25</v>
      </c>
    </row>
    <row r="628" spans="2:11" x14ac:dyDescent="0.25">
      <c r="B628" s="2">
        <v>536488</v>
      </c>
      <c r="C628" s="2">
        <v>22082</v>
      </c>
      <c r="D628" s="2" t="s">
        <v>597</v>
      </c>
      <c r="E628" s="2">
        <v>5</v>
      </c>
      <c r="F628" s="8">
        <v>40513.521527777775</v>
      </c>
      <c r="G628" s="2">
        <v>1.65</v>
      </c>
      <c r="H628" s="2">
        <v>17897</v>
      </c>
      <c r="I628" s="2" t="s">
        <v>10</v>
      </c>
      <c r="J628" s="2">
        <f>ABS(DF_2[[#This Row],[Quantity_BEFORE]])</f>
        <v>5</v>
      </c>
      <c r="K628" s="2">
        <f>DF_2[[#This Row],[QUANTITY]]*DF_2[[#This Row],[UnitPrice]]</f>
        <v>8.25</v>
      </c>
    </row>
    <row r="629" spans="2:11" x14ac:dyDescent="0.25">
      <c r="B629" s="2">
        <v>536412</v>
      </c>
      <c r="C629" s="2">
        <v>22662</v>
      </c>
      <c r="D629" s="2" t="s">
        <v>170</v>
      </c>
      <c r="E629" s="2">
        <v>4</v>
      </c>
      <c r="F629" s="8">
        <v>40513.492361111108</v>
      </c>
      <c r="G629" s="2">
        <v>1.65</v>
      </c>
      <c r="H629" s="2">
        <v>17920</v>
      </c>
      <c r="I629" s="2" t="s">
        <v>10</v>
      </c>
      <c r="J629" s="2">
        <f>ABS(DF_2[[#This Row],[Quantity_BEFORE]])</f>
        <v>4</v>
      </c>
      <c r="K629" s="2">
        <f>DF_2[[#This Row],[QUANTITY]]*DF_2[[#This Row],[UnitPrice]]</f>
        <v>6.6</v>
      </c>
    </row>
    <row r="630" spans="2:11" x14ac:dyDescent="0.25">
      <c r="B630" s="2">
        <v>536412</v>
      </c>
      <c r="C630" s="2">
        <v>20728</v>
      </c>
      <c r="D630" s="2" t="s">
        <v>347</v>
      </c>
      <c r="E630" s="2">
        <v>3</v>
      </c>
      <c r="F630" s="8">
        <v>40513.492361111108</v>
      </c>
      <c r="G630" s="2">
        <v>1.65</v>
      </c>
      <c r="H630" s="2">
        <v>17920</v>
      </c>
      <c r="I630" s="2" t="s">
        <v>10</v>
      </c>
      <c r="J630" s="2">
        <f>ABS(DF_2[[#This Row],[Quantity_BEFORE]])</f>
        <v>3</v>
      </c>
      <c r="K630" s="2">
        <f>DF_2[[#This Row],[QUANTITY]]*DF_2[[#This Row],[UnitPrice]]</f>
        <v>4.9499999999999993</v>
      </c>
    </row>
    <row r="631" spans="2:11" x14ac:dyDescent="0.25">
      <c r="B631" s="2">
        <v>536412</v>
      </c>
      <c r="C631" s="2">
        <v>22382</v>
      </c>
      <c r="D631" s="2" t="s">
        <v>311</v>
      </c>
      <c r="E631" s="2">
        <v>3</v>
      </c>
      <c r="F631" s="8">
        <v>40513.492361111108</v>
      </c>
      <c r="G631" s="2">
        <v>1.65</v>
      </c>
      <c r="H631" s="2">
        <v>17920</v>
      </c>
      <c r="I631" s="2" t="s">
        <v>10</v>
      </c>
      <c r="J631" s="2">
        <f>ABS(DF_2[[#This Row],[Quantity_BEFORE]])</f>
        <v>3</v>
      </c>
      <c r="K631" s="2">
        <f>DF_2[[#This Row],[QUANTITY]]*DF_2[[#This Row],[UnitPrice]]</f>
        <v>4.9499999999999993</v>
      </c>
    </row>
    <row r="632" spans="2:11" x14ac:dyDescent="0.25">
      <c r="B632" s="2">
        <v>536412</v>
      </c>
      <c r="C632" s="2">
        <v>22383</v>
      </c>
      <c r="D632" s="2" t="s">
        <v>346</v>
      </c>
      <c r="E632" s="2">
        <v>3</v>
      </c>
      <c r="F632" s="8">
        <v>40513.492361111108</v>
      </c>
      <c r="G632" s="2">
        <v>1.65</v>
      </c>
      <c r="H632" s="2">
        <v>17920</v>
      </c>
      <c r="I632" s="2" t="s">
        <v>10</v>
      </c>
      <c r="J632" s="2">
        <f>ABS(DF_2[[#This Row],[Quantity_BEFORE]])</f>
        <v>3</v>
      </c>
      <c r="K632" s="2">
        <f>DF_2[[#This Row],[QUANTITY]]*DF_2[[#This Row],[UnitPrice]]</f>
        <v>4.9499999999999993</v>
      </c>
    </row>
    <row r="633" spans="2:11" x14ac:dyDescent="0.25">
      <c r="B633" s="2">
        <v>536412</v>
      </c>
      <c r="C633" s="2">
        <v>20727</v>
      </c>
      <c r="D633" s="2" t="s">
        <v>348</v>
      </c>
      <c r="E633" s="2">
        <v>3</v>
      </c>
      <c r="F633" s="8">
        <v>40513.492361111108</v>
      </c>
      <c r="G633" s="2">
        <v>1.65</v>
      </c>
      <c r="H633" s="2">
        <v>17920</v>
      </c>
      <c r="I633" s="2" t="s">
        <v>10</v>
      </c>
      <c r="J633" s="2">
        <f>ABS(DF_2[[#This Row],[Quantity_BEFORE]])</f>
        <v>3</v>
      </c>
      <c r="K633" s="2">
        <f>DF_2[[#This Row],[QUANTITY]]*DF_2[[#This Row],[UnitPrice]]</f>
        <v>4.9499999999999993</v>
      </c>
    </row>
    <row r="634" spans="2:11" x14ac:dyDescent="0.25">
      <c r="B634" s="2">
        <v>536412</v>
      </c>
      <c r="C634" s="2">
        <v>22243</v>
      </c>
      <c r="D634" s="2" t="s">
        <v>436</v>
      </c>
      <c r="E634" s="2">
        <v>3</v>
      </c>
      <c r="F634" s="8">
        <v>40513.492361111108</v>
      </c>
      <c r="G634" s="2">
        <v>1.65</v>
      </c>
      <c r="H634" s="2">
        <v>17920</v>
      </c>
      <c r="I634" s="2" t="s">
        <v>10</v>
      </c>
      <c r="J634" s="2">
        <f>ABS(DF_2[[#This Row],[Quantity_BEFORE]])</f>
        <v>3</v>
      </c>
      <c r="K634" s="2">
        <f>DF_2[[#This Row],[QUANTITY]]*DF_2[[#This Row],[UnitPrice]]</f>
        <v>4.9499999999999993</v>
      </c>
    </row>
    <row r="635" spans="2:11" x14ac:dyDescent="0.25">
      <c r="B635" s="2">
        <v>536415</v>
      </c>
      <c r="C635" s="2">
        <v>22739</v>
      </c>
      <c r="D635" s="2" t="s">
        <v>457</v>
      </c>
      <c r="E635" s="2">
        <v>3</v>
      </c>
      <c r="F635" s="8">
        <v>40513.497916666667</v>
      </c>
      <c r="G635" s="2">
        <v>1.65</v>
      </c>
      <c r="H635" s="2">
        <v>12838</v>
      </c>
      <c r="I635" s="2" t="s">
        <v>10</v>
      </c>
      <c r="J635" s="2">
        <f>ABS(DF_2[[#This Row],[Quantity_BEFORE]])</f>
        <v>3</v>
      </c>
      <c r="K635" s="2">
        <f>DF_2[[#This Row],[QUANTITY]]*DF_2[[#This Row],[UnitPrice]]</f>
        <v>4.9499999999999993</v>
      </c>
    </row>
    <row r="636" spans="2:11" x14ac:dyDescent="0.25">
      <c r="B636" s="2">
        <v>536415</v>
      </c>
      <c r="C636" s="2">
        <v>22738</v>
      </c>
      <c r="D636" s="2" t="s">
        <v>458</v>
      </c>
      <c r="E636" s="2">
        <v>3</v>
      </c>
      <c r="F636" s="8">
        <v>40513.497916666667</v>
      </c>
      <c r="G636" s="2">
        <v>1.65</v>
      </c>
      <c r="H636" s="2">
        <v>12838</v>
      </c>
      <c r="I636" s="2" t="s">
        <v>10</v>
      </c>
      <c r="J636" s="2">
        <f>ABS(DF_2[[#This Row],[Quantity_BEFORE]])</f>
        <v>3</v>
      </c>
      <c r="K636" s="2">
        <f>DF_2[[#This Row],[QUANTITY]]*DF_2[[#This Row],[UnitPrice]]</f>
        <v>4.9499999999999993</v>
      </c>
    </row>
    <row r="637" spans="2:11" x14ac:dyDescent="0.25">
      <c r="B637" s="2">
        <v>536415</v>
      </c>
      <c r="C637" s="2">
        <v>22736</v>
      </c>
      <c r="D637" s="2" t="s">
        <v>378</v>
      </c>
      <c r="E637" s="2">
        <v>3</v>
      </c>
      <c r="F637" s="8">
        <v>40513.497916666667</v>
      </c>
      <c r="G637" s="2">
        <v>1.65</v>
      </c>
      <c r="H637" s="2">
        <v>12838</v>
      </c>
      <c r="I637" s="2" t="s">
        <v>10</v>
      </c>
      <c r="J637" s="2">
        <f>ABS(DF_2[[#This Row],[Quantity_BEFORE]])</f>
        <v>3</v>
      </c>
      <c r="K637" s="2">
        <f>DF_2[[#This Row],[QUANTITY]]*DF_2[[#This Row],[UnitPrice]]</f>
        <v>4.9499999999999993</v>
      </c>
    </row>
    <row r="638" spans="2:11" x14ac:dyDescent="0.25">
      <c r="B638" s="2">
        <v>536415</v>
      </c>
      <c r="C638" s="2">
        <v>22557</v>
      </c>
      <c r="D638" s="2" t="s">
        <v>224</v>
      </c>
      <c r="E638" s="2">
        <v>3</v>
      </c>
      <c r="F638" s="8">
        <v>40513.497916666667</v>
      </c>
      <c r="G638" s="2">
        <v>1.65</v>
      </c>
      <c r="H638" s="2">
        <v>12838</v>
      </c>
      <c r="I638" s="2" t="s">
        <v>10</v>
      </c>
      <c r="J638" s="2">
        <f>ABS(DF_2[[#This Row],[Quantity_BEFORE]])</f>
        <v>3</v>
      </c>
      <c r="K638" s="2">
        <f>DF_2[[#This Row],[QUANTITY]]*DF_2[[#This Row],[UnitPrice]]</f>
        <v>4.9499999999999993</v>
      </c>
    </row>
    <row r="639" spans="2:11" x14ac:dyDescent="0.25">
      <c r="B639" s="2">
        <v>536415</v>
      </c>
      <c r="C639" s="2">
        <v>22551</v>
      </c>
      <c r="D639" s="2" t="s">
        <v>489</v>
      </c>
      <c r="E639" s="2">
        <v>3</v>
      </c>
      <c r="F639" s="8">
        <v>40513.497916666667</v>
      </c>
      <c r="G639" s="2">
        <v>1.65</v>
      </c>
      <c r="H639" s="2">
        <v>12838</v>
      </c>
      <c r="I639" s="2" t="s">
        <v>10</v>
      </c>
      <c r="J639" s="2">
        <f>ABS(DF_2[[#This Row],[Quantity_BEFORE]])</f>
        <v>3</v>
      </c>
      <c r="K639" s="2">
        <f>DF_2[[#This Row],[QUANTITY]]*DF_2[[#This Row],[UnitPrice]]</f>
        <v>4.9499999999999993</v>
      </c>
    </row>
    <row r="640" spans="2:11" x14ac:dyDescent="0.25">
      <c r="B640" s="2">
        <v>536415</v>
      </c>
      <c r="C640" s="2">
        <v>22554</v>
      </c>
      <c r="D640" s="2" t="s">
        <v>490</v>
      </c>
      <c r="E640" s="2">
        <v>3</v>
      </c>
      <c r="F640" s="8">
        <v>40513.497916666667</v>
      </c>
      <c r="G640" s="2">
        <v>1.65</v>
      </c>
      <c r="H640" s="2">
        <v>12838</v>
      </c>
      <c r="I640" s="2" t="s">
        <v>10</v>
      </c>
      <c r="J640" s="2">
        <f>ABS(DF_2[[#This Row],[Quantity_BEFORE]])</f>
        <v>3</v>
      </c>
      <c r="K640" s="2">
        <f>DF_2[[#This Row],[QUANTITY]]*DF_2[[#This Row],[UnitPrice]]</f>
        <v>4.9499999999999993</v>
      </c>
    </row>
    <row r="641" spans="2:11" x14ac:dyDescent="0.25">
      <c r="B641" s="2">
        <v>536464</v>
      </c>
      <c r="C641" s="2" t="s">
        <v>557</v>
      </c>
      <c r="D641" s="2" t="s">
        <v>558</v>
      </c>
      <c r="E641" s="2">
        <v>3</v>
      </c>
      <c r="F641" s="8">
        <v>40513.515972222223</v>
      </c>
      <c r="G641" s="2">
        <v>1.65</v>
      </c>
      <c r="H641" s="2">
        <v>17968</v>
      </c>
      <c r="I641" s="2" t="s">
        <v>10</v>
      </c>
      <c r="J641" s="2">
        <f>ABS(DF_2[[#This Row],[Quantity_BEFORE]])</f>
        <v>3</v>
      </c>
      <c r="K641" s="2">
        <f>DF_2[[#This Row],[QUANTITY]]*DF_2[[#This Row],[UnitPrice]]</f>
        <v>4.9499999999999993</v>
      </c>
    </row>
    <row r="642" spans="2:11" x14ac:dyDescent="0.25">
      <c r="B642" s="2">
        <v>536488</v>
      </c>
      <c r="C642" s="2">
        <v>70007</v>
      </c>
      <c r="D642" s="2" t="s">
        <v>628</v>
      </c>
      <c r="E642" s="2">
        <v>3</v>
      </c>
      <c r="F642" s="8">
        <v>40513.521527777775</v>
      </c>
      <c r="G642" s="2">
        <v>1.65</v>
      </c>
      <c r="H642" s="2">
        <v>17897</v>
      </c>
      <c r="I642" s="2" t="s">
        <v>10</v>
      </c>
      <c r="J642" s="2">
        <f>ABS(DF_2[[#This Row],[Quantity_BEFORE]])</f>
        <v>3</v>
      </c>
      <c r="K642" s="2">
        <f>DF_2[[#This Row],[QUANTITY]]*DF_2[[#This Row],[UnitPrice]]</f>
        <v>4.9499999999999993</v>
      </c>
    </row>
    <row r="643" spans="2:11" x14ac:dyDescent="0.25">
      <c r="B643" s="2">
        <v>536381</v>
      </c>
      <c r="C643" s="2">
        <v>21731</v>
      </c>
      <c r="D643" s="2" t="s">
        <v>53</v>
      </c>
      <c r="E643" s="2">
        <v>2</v>
      </c>
      <c r="F643" s="8">
        <v>40513.40347222222</v>
      </c>
      <c r="G643" s="2">
        <v>1.65</v>
      </c>
      <c r="H643" s="2">
        <v>15311</v>
      </c>
      <c r="I643" s="2" t="s">
        <v>10</v>
      </c>
      <c r="J643" s="2">
        <f>ABS(DF_2[[#This Row],[Quantity_BEFORE]])</f>
        <v>2</v>
      </c>
      <c r="K643" s="2">
        <f>DF_2[[#This Row],[QUANTITY]]*DF_2[[#This Row],[UnitPrice]]</f>
        <v>3.3</v>
      </c>
    </row>
    <row r="644" spans="2:11" x14ac:dyDescent="0.25">
      <c r="B644" s="2">
        <v>536401</v>
      </c>
      <c r="C644" s="2">
        <v>22068</v>
      </c>
      <c r="D644" s="2" t="s">
        <v>301</v>
      </c>
      <c r="E644" s="2">
        <v>2</v>
      </c>
      <c r="F644" s="8">
        <v>40513.472916666666</v>
      </c>
      <c r="G644" s="2">
        <v>1.65</v>
      </c>
      <c r="H644" s="2">
        <v>15862</v>
      </c>
      <c r="I644" s="2" t="s">
        <v>10</v>
      </c>
      <c r="J644" s="2">
        <f>ABS(DF_2[[#This Row],[Quantity_BEFORE]])</f>
        <v>2</v>
      </c>
      <c r="K644" s="2">
        <f>DF_2[[#This Row],[QUANTITY]]*DF_2[[#This Row],[UnitPrice]]</f>
        <v>3.3</v>
      </c>
    </row>
    <row r="645" spans="2:11" x14ac:dyDescent="0.25">
      <c r="B645" s="2">
        <v>536401</v>
      </c>
      <c r="C645" s="2">
        <v>22382</v>
      </c>
      <c r="D645" s="2" t="s">
        <v>311</v>
      </c>
      <c r="E645" s="2">
        <v>2</v>
      </c>
      <c r="F645" s="8">
        <v>40513.472916666666</v>
      </c>
      <c r="G645" s="2">
        <v>1.65</v>
      </c>
      <c r="H645" s="2">
        <v>15862</v>
      </c>
      <c r="I645" s="2" t="s">
        <v>10</v>
      </c>
      <c r="J645" s="2">
        <f>ABS(DF_2[[#This Row],[Quantity_BEFORE]])</f>
        <v>2</v>
      </c>
      <c r="K645" s="2">
        <f>DF_2[[#This Row],[QUANTITY]]*DF_2[[#This Row],[UnitPrice]]</f>
        <v>3.3</v>
      </c>
    </row>
    <row r="646" spans="2:11" x14ac:dyDescent="0.25">
      <c r="B646" s="2">
        <v>536412</v>
      </c>
      <c r="C646" s="2">
        <v>21448</v>
      </c>
      <c r="D646" s="2" t="s">
        <v>435</v>
      </c>
      <c r="E646" s="2">
        <v>2</v>
      </c>
      <c r="F646" s="8">
        <v>40513.492361111108</v>
      </c>
      <c r="G646" s="2">
        <v>1.65</v>
      </c>
      <c r="H646" s="2">
        <v>17920</v>
      </c>
      <c r="I646" s="2" t="s">
        <v>10</v>
      </c>
      <c r="J646" s="2">
        <f>ABS(DF_2[[#This Row],[Quantity_BEFORE]])</f>
        <v>2</v>
      </c>
      <c r="K646" s="2">
        <f>DF_2[[#This Row],[QUANTITY]]*DF_2[[#This Row],[UnitPrice]]</f>
        <v>3.3</v>
      </c>
    </row>
    <row r="647" spans="2:11" x14ac:dyDescent="0.25">
      <c r="B647" s="2">
        <v>536412</v>
      </c>
      <c r="C647" s="2">
        <v>22077</v>
      </c>
      <c r="D647" s="2" t="s">
        <v>434</v>
      </c>
      <c r="E647" s="2">
        <v>2</v>
      </c>
      <c r="F647" s="8">
        <v>40513.492361111108</v>
      </c>
      <c r="G647" s="2">
        <v>1.65</v>
      </c>
      <c r="H647" s="2">
        <v>17920</v>
      </c>
      <c r="I647" s="2" t="s">
        <v>10</v>
      </c>
      <c r="J647" s="2">
        <f>ABS(DF_2[[#This Row],[Quantity_BEFORE]])</f>
        <v>2</v>
      </c>
      <c r="K647" s="2">
        <f>DF_2[[#This Row],[QUANTITY]]*DF_2[[#This Row],[UnitPrice]]</f>
        <v>3.3</v>
      </c>
    </row>
    <row r="648" spans="2:11" x14ac:dyDescent="0.25">
      <c r="B648" s="2">
        <v>536412</v>
      </c>
      <c r="C648" s="2">
        <v>21448</v>
      </c>
      <c r="D648" s="2" t="s">
        <v>435</v>
      </c>
      <c r="E648" s="2">
        <v>2</v>
      </c>
      <c r="F648" s="8">
        <v>40513.492361111108</v>
      </c>
      <c r="G648" s="2">
        <v>1.65</v>
      </c>
      <c r="H648" s="2">
        <v>17920</v>
      </c>
      <c r="I648" s="2" t="s">
        <v>10</v>
      </c>
      <c r="J648" s="2">
        <f>ABS(DF_2[[#This Row],[Quantity_BEFORE]])</f>
        <v>2</v>
      </c>
      <c r="K648" s="2">
        <f>DF_2[[#This Row],[QUANTITY]]*DF_2[[#This Row],[UnitPrice]]</f>
        <v>3.3</v>
      </c>
    </row>
    <row r="649" spans="2:11" x14ac:dyDescent="0.25">
      <c r="B649" s="2">
        <v>536412</v>
      </c>
      <c r="C649" s="2">
        <v>21448</v>
      </c>
      <c r="D649" s="2" t="s">
        <v>435</v>
      </c>
      <c r="E649" s="2">
        <v>2</v>
      </c>
      <c r="F649" s="8">
        <v>40513.492361111108</v>
      </c>
      <c r="G649" s="2">
        <v>1.65</v>
      </c>
      <c r="H649" s="2">
        <v>17920</v>
      </c>
      <c r="I649" s="2" t="s">
        <v>10</v>
      </c>
      <c r="J649" s="2">
        <f>ABS(DF_2[[#This Row],[Quantity_BEFORE]])</f>
        <v>2</v>
      </c>
      <c r="K649" s="2">
        <f>DF_2[[#This Row],[QUANTITY]]*DF_2[[#This Row],[UnitPrice]]</f>
        <v>3.3</v>
      </c>
    </row>
    <row r="650" spans="2:11" x14ac:dyDescent="0.25">
      <c r="B650" s="2">
        <v>536446</v>
      </c>
      <c r="C650" s="2">
        <v>20774</v>
      </c>
      <c r="D650" s="2" t="s">
        <v>532</v>
      </c>
      <c r="E650" s="2">
        <v>2</v>
      </c>
      <c r="F650" s="8">
        <v>40513.510416666664</v>
      </c>
      <c r="G650" s="2">
        <v>1.65</v>
      </c>
      <c r="H650" s="2">
        <v>15983</v>
      </c>
      <c r="I650" s="2" t="s">
        <v>10</v>
      </c>
      <c r="J650" s="2">
        <f>ABS(DF_2[[#This Row],[Quantity_BEFORE]])</f>
        <v>2</v>
      </c>
      <c r="K650" s="2">
        <f>DF_2[[#This Row],[QUANTITY]]*DF_2[[#This Row],[UnitPrice]]</f>
        <v>3.3</v>
      </c>
    </row>
    <row r="651" spans="2:11" x14ac:dyDescent="0.25">
      <c r="B651" s="2">
        <v>536446</v>
      </c>
      <c r="C651" s="2">
        <v>20773</v>
      </c>
      <c r="D651" s="2" t="s">
        <v>533</v>
      </c>
      <c r="E651" s="2">
        <v>2</v>
      </c>
      <c r="F651" s="8">
        <v>40513.510416666664</v>
      </c>
      <c r="G651" s="2">
        <v>1.65</v>
      </c>
      <c r="H651" s="2">
        <v>15983</v>
      </c>
      <c r="I651" s="2" t="s">
        <v>10</v>
      </c>
      <c r="J651" s="2">
        <f>ABS(DF_2[[#This Row],[Quantity_BEFORE]])</f>
        <v>2</v>
      </c>
      <c r="K651" s="2">
        <f>DF_2[[#This Row],[QUANTITY]]*DF_2[[#This Row],[UnitPrice]]</f>
        <v>3.3</v>
      </c>
    </row>
    <row r="652" spans="2:11" x14ac:dyDescent="0.25">
      <c r="B652" s="2">
        <v>536446</v>
      </c>
      <c r="C652" s="2">
        <v>20777</v>
      </c>
      <c r="D652" s="2" t="s">
        <v>534</v>
      </c>
      <c r="E652" s="2">
        <v>2</v>
      </c>
      <c r="F652" s="8">
        <v>40513.510416666664</v>
      </c>
      <c r="G652" s="2">
        <v>1.65</v>
      </c>
      <c r="H652" s="2">
        <v>15983</v>
      </c>
      <c r="I652" s="2" t="s">
        <v>10</v>
      </c>
      <c r="J652" s="2">
        <f>ABS(DF_2[[#This Row],[Quantity_BEFORE]])</f>
        <v>2</v>
      </c>
      <c r="K652" s="2">
        <f>DF_2[[#This Row],[QUANTITY]]*DF_2[[#This Row],[UnitPrice]]</f>
        <v>3.3</v>
      </c>
    </row>
    <row r="653" spans="2:11" x14ac:dyDescent="0.25">
      <c r="B653" s="2">
        <v>536464</v>
      </c>
      <c r="C653" s="2" t="s">
        <v>553</v>
      </c>
      <c r="D653" s="2" t="s">
        <v>554</v>
      </c>
      <c r="E653" s="2">
        <v>2</v>
      </c>
      <c r="F653" s="8">
        <v>40513.515972222223</v>
      </c>
      <c r="G653" s="2">
        <v>1.65</v>
      </c>
      <c r="H653" s="2">
        <v>17968</v>
      </c>
      <c r="I653" s="2" t="s">
        <v>10</v>
      </c>
      <c r="J653" s="2">
        <f>ABS(DF_2[[#This Row],[Quantity_BEFORE]])</f>
        <v>2</v>
      </c>
      <c r="K653" s="2">
        <f>DF_2[[#This Row],[QUANTITY]]*DF_2[[#This Row],[UnitPrice]]</f>
        <v>3.3</v>
      </c>
    </row>
    <row r="654" spans="2:11" x14ac:dyDescent="0.25">
      <c r="B654" s="2">
        <v>536464</v>
      </c>
      <c r="C654" s="2">
        <v>22735</v>
      </c>
      <c r="D654" s="2" t="s">
        <v>576</v>
      </c>
      <c r="E654" s="2">
        <v>2</v>
      </c>
      <c r="F654" s="8">
        <v>40513.515972222223</v>
      </c>
      <c r="G654" s="2">
        <v>1.65</v>
      </c>
      <c r="H654" s="2">
        <v>17968</v>
      </c>
      <c r="I654" s="2" t="s">
        <v>10</v>
      </c>
      <c r="J654" s="2">
        <f>ABS(DF_2[[#This Row],[Quantity_BEFORE]])</f>
        <v>2</v>
      </c>
      <c r="K654" s="2">
        <f>DF_2[[#This Row],[QUANTITY]]*DF_2[[#This Row],[UnitPrice]]</f>
        <v>3.3</v>
      </c>
    </row>
    <row r="655" spans="2:11" x14ac:dyDescent="0.25">
      <c r="B655" s="2">
        <v>536520</v>
      </c>
      <c r="C655" s="2">
        <v>22557</v>
      </c>
      <c r="D655" s="2" t="s">
        <v>224</v>
      </c>
      <c r="E655" s="2">
        <v>2</v>
      </c>
      <c r="F655" s="8">
        <v>40513.529861111114</v>
      </c>
      <c r="G655" s="2">
        <v>1.65</v>
      </c>
      <c r="H655" s="2">
        <v>14729</v>
      </c>
      <c r="I655" s="2" t="s">
        <v>10</v>
      </c>
      <c r="J655" s="2">
        <f>ABS(DF_2[[#This Row],[Quantity_BEFORE]])</f>
        <v>2</v>
      </c>
      <c r="K655" s="2">
        <f>DF_2[[#This Row],[QUANTITY]]*DF_2[[#This Row],[UnitPrice]]</f>
        <v>3.3</v>
      </c>
    </row>
    <row r="656" spans="2:11" x14ac:dyDescent="0.25">
      <c r="B656" s="2">
        <v>536520</v>
      </c>
      <c r="C656" s="2">
        <v>22469</v>
      </c>
      <c r="D656" s="2" t="s">
        <v>158</v>
      </c>
      <c r="E656" s="2">
        <v>2</v>
      </c>
      <c r="F656" s="8">
        <v>40513.529861111114</v>
      </c>
      <c r="G656" s="2">
        <v>1.65</v>
      </c>
      <c r="H656" s="2">
        <v>14729</v>
      </c>
      <c r="I656" s="2" t="s">
        <v>10</v>
      </c>
      <c r="J656" s="2">
        <f>ABS(DF_2[[#This Row],[Quantity_BEFORE]])</f>
        <v>2</v>
      </c>
      <c r="K656" s="2">
        <f>DF_2[[#This Row],[QUANTITY]]*DF_2[[#This Row],[UnitPrice]]</f>
        <v>3.3</v>
      </c>
    </row>
    <row r="657" spans="2:11" x14ac:dyDescent="0.25">
      <c r="B657" s="2">
        <v>536401</v>
      </c>
      <c r="C657" s="2">
        <v>21328</v>
      </c>
      <c r="D657" s="2" t="s">
        <v>271</v>
      </c>
      <c r="E657" s="2">
        <v>1</v>
      </c>
      <c r="F657" s="8">
        <v>40513.472916666666</v>
      </c>
      <c r="G657" s="2">
        <v>1.65</v>
      </c>
      <c r="H657" s="2">
        <v>15862</v>
      </c>
      <c r="I657" s="2" t="s">
        <v>10</v>
      </c>
      <c r="J657" s="2">
        <f>ABS(DF_2[[#This Row],[Quantity_BEFORE]])</f>
        <v>1</v>
      </c>
      <c r="K657" s="2">
        <f>DF_2[[#This Row],[QUANTITY]]*DF_2[[#This Row],[UnitPrice]]</f>
        <v>1.65</v>
      </c>
    </row>
    <row r="658" spans="2:11" x14ac:dyDescent="0.25">
      <c r="B658" s="2">
        <v>536401</v>
      </c>
      <c r="C658" s="2">
        <v>22662</v>
      </c>
      <c r="D658" s="2" t="s">
        <v>170</v>
      </c>
      <c r="E658" s="2">
        <v>1</v>
      </c>
      <c r="F658" s="8">
        <v>40513.472916666666</v>
      </c>
      <c r="G658" s="2">
        <v>1.65</v>
      </c>
      <c r="H658" s="2">
        <v>15862</v>
      </c>
      <c r="I658" s="2" t="s">
        <v>10</v>
      </c>
      <c r="J658" s="2">
        <f>ABS(DF_2[[#This Row],[Quantity_BEFORE]])</f>
        <v>1</v>
      </c>
      <c r="K658" s="2">
        <f>DF_2[[#This Row],[QUANTITY]]*DF_2[[#This Row],[UnitPrice]]</f>
        <v>1.65</v>
      </c>
    </row>
    <row r="659" spans="2:11" x14ac:dyDescent="0.25">
      <c r="B659" s="2">
        <v>536401</v>
      </c>
      <c r="C659" s="2">
        <v>20725</v>
      </c>
      <c r="D659" s="2" t="s">
        <v>85</v>
      </c>
      <c r="E659" s="2">
        <v>1</v>
      </c>
      <c r="F659" s="8">
        <v>40513.472916666666</v>
      </c>
      <c r="G659" s="2">
        <v>1.65</v>
      </c>
      <c r="H659" s="2">
        <v>15862</v>
      </c>
      <c r="I659" s="2" t="s">
        <v>10</v>
      </c>
      <c r="J659" s="2">
        <f>ABS(DF_2[[#This Row],[Quantity_BEFORE]])</f>
        <v>1</v>
      </c>
      <c r="K659" s="2">
        <f>DF_2[[#This Row],[QUANTITY]]*DF_2[[#This Row],[UnitPrice]]</f>
        <v>1.65</v>
      </c>
    </row>
    <row r="660" spans="2:11" x14ac:dyDescent="0.25">
      <c r="B660" s="2">
        <v>536401</v>
      </c>
      <c r="C660" s="2">
        <v>20726</v>
      </c>
      <c r="D660" s="2" t="s">
        <v>312</v>
      </c>
      <c r="E660" s="2">
        <v>1</v>
      </c>
      <c r="F660" s="8">
        <v>40513.472916666666</v>
      </c>
      <c r="G660" s="2">
        <v>1.65</v>
      </c>
      <c r="H660" s="2">
        <v>15862</v>
      </c>
      <c r="I660" s="2" t="s">
        <v>10</v>
      </c>
      <c r="J660" s="2">
        <f>ABS(DF_2[[#This Row],[Quantity_BEFORE]])</f>
        <v>1</v>
      </c>
      <c r="K660" s="2">
        <f>DF_2[[#This Row],[QUANTITY]]*DF_2[[#This Row],[UnitPrice]]</f>
        <v>1.65</v>
      </c>
    </row>
    <row r="661" spans="2:11" x14ac:dyDescent="0.25">
      <c r="B661" s="2">
        <v>536401</v>
      </c>
      <c r="C661" s="2">
        <v>22384</v>
      </c>
      <c r="D661" s="2" t="s">
        <v>313</v>
      </c>
      <c r="E661" s="2">
        <v>1</v>
      </c>
      <c r="F661" s="8">
        <v>40513.472916666666</v>
      </c>
      <c r="G661" s="2">
        <v>1.65</v>
      </c>
      <c r="H661" s="2">
        <v>15862</v>
      </c>
      <c r="I661" s="2" t="s">
        <v>10</v>
      </c>
      <c r="J661" s="2">
        <f>ABS(DF_2[[#This Row],[Quantity_BEFORE]])</f>
        <v>1</v>
      </c>
      <c r="K661" s="2">
        <f>DF_2[[#This Row],[QUANTITY]]*DF_2[[#This Row],[UnitPrice]]</f>
        <v>1.65</v>
      </c>
    </row>
    <row r="662" spans="2:11" x14ac:dyDescent="0.25">
      <c r="B662" s="2">
        <v>536409</v>
      </c>
      <c r="C662" s="2">
        <v>22972</v>
      </c>
      <c r="D662" s="2" t="s">
        <v>385</v>
      </c>
      <c r="E662" s="2">
        <v>1</v>
      </c>
      <c r="F662" s="8">
        <v>40513.489583333336</v>
      </c>
      <c r="G662" s="2">
        <v>1.65</v>
      </c>
      <c r="H662" s="2">
        <v>17908</v>
      </c>
      <c r="I662" s="2" t="s">
        <v>10</v>
      </c>
      <c r="J662" s="2">
        <f>ABS(DF_2[[#This Row],[Quantity_BEFORE]])</f>
        <v>1</v>
      </c>
      <c r="K662" s="2">
        <f>DF_2[[#This Row],[QUANTITY]]*DF_2[[#This Row],[UnitPrice]]</f>
        <v>1.65</v>
      </c>
    </row>
    <row r="663" spans="2:11" x14ac:dyDescent="0.25">
      <c r="B663" s="2">
        <v>536409</v>
      </c>
      <c r="C663" s="2">
        <v>22075</v>
      </c>
      <c r="D663" s="2" t="s">
        <v>410</v>
      </c>
      <c r="E663" s="2">
        <v>1</v>
      </c>
      <c r="F663" s="8">
        <v>40513.489583333336</v>
      </c>
      <c r="G663" s="2">
        <v>1.65</v>
      </c>
      <c r="H663" s="2">
        <v>17908</v>
      </c>
      <c r="I663" s="2" t="s">
        <v>10</v>
      </c>
      <c r="J663" s="2">
        <f>ABS(DF_2[[#This Row],[Quantity_BEFORE]])</f>
        <v>1</v>
      </c>
      <c r="K663" s="2">
        <f>DF_2[[#This Row],[QUANTITY]]*DF_2[[#This Row],[UnitPrice]]</f>
        <v>1.65</v>
      </c>
    </row>
    <row r="664" spans="2:11" x14ac:dyDescent="0.25">
      <c r="B664" s="2">
        <v>536409</v>
      </c>
      <c r="C664" s="2">
        <v>22074</v>
      </c>
      <c r="D664" s="2" t="s">
        <v>413</v>
      </c>
      <c r="E664" s="2">
        <v>1</v>
      </c>
      <c r="F664" s="8">
        <v>40513.489583333336</v>
      </c>
      <c r="G664" s="2">
        <v>1.65</v>
      </c>
      <c r="H664" s="2">
        <v>17908</v>
      </c>
      <c r="I664" s="2" t="s">
        <v>10</v>
      </c>
      <c r="J664" s="2">
        <f>ABS(DF_2[[#This Row],[Quantity_BEFORE]])</f>
        <v>1</v>
      </c>
      <c r="K664" s="2">
        <f>DF_2[[#This Row],[QUANTITY]]*DF_2[[#This Row],[UnitPrice]]</f>
        <v>1.65</v>
      </c>
    </row>
    <row r="665" spans="2:11" x14ac:dyDescent="0.25">
      <c r="B665" s="2">
        <v>536409</v>
      </c>
      <c r="C665" s="2">
        <v>22198</v>
      </c>
      <c r="D665" s="2" t="s">
        <v>209</v>
      </c>
      <c r="E665" s="2">
        <v>1</v>
      </c>
      <c r="F665" s="8">
        <v>40513.489583333336</v>
      </c>
      <c r="G665" s="2">
        <v>1.65</v>
      </c>
      <c r="H665" s="2">
        <v>17908</v>
      </c>
      <c r="I665" s="2" t="s">
        <v>10</v>
      </c>
      <c r="J665" s="2">
        <f>ABS(DF_2[[#This Row],[Quantity_BEFORE]])</f>
        <v>1</v>
      </c>
      <c r="K665" s="2">
        <f>DF_2[[#This Row],[QUANTITY]]*DF_2[[#This Row],[UnitPrice]]</f>
        <v>1.65</v>
      </c>
    </row>
    <row r="666" spans="2:11" x14ac:dyDescent="0.25">
      <c r="B666" s="2">
        <v>536412</v>
      </c>
      <c r="C666" s="2">
        <v>22759</v>
      </c>
      <c r="D666" s="2" t="s">
        <v>431</v>
      </c>
      <c r="E666" s="2">
        <v>1</v>
      </c>
      <c r="F666" s="8">
        <v>40513.492361111108</v>
      </c>
      <c r="G666" s="2">
        <v>1.65</v>
      </c>
      <c r="H666" s="2">
        <v>17920</v>
      </c>
      <c r="I666" s="2" t="s">
        <v>10</v>
      </c>
      <c r="J666" s="2">
        <f>ABS(DF_2[[#This Row],[Quantity_BEFORE]])</f>
        <v>1</v>
      </c>
      <c r="K666" s="2">
        <f>DF_2[[#This Row],[QUANTITY]]*DF_2[[#This Row],[UnitPrice]]</f>
        <v>1.65</v>
      </c>
    </row>
    <row r="667" spans="2:11" x14ac:dyDescent="0.25">
      <c r="B667" s="2">
        <v>536412</v>
      </c>
      <c r="C667" s="2">
        <v>22077</v>
      </c>
      <c r="D667" s="2" t="s">
        <v>434</v>
      </c>
      <c r="E667" s="2">
        <v>1</v>
      </c>
      <c r="F667" s="8">
        <v>40513.492361111108</v>
      </c>
      <c r="G667" s="2">
        <v>1.65</v>
      </c>
      <c r="H667" s="2">
        <v>17920</v>
      </c>
      <c r="I667" s="2" t="s">
        <v>10</v>
      </c>
      <c r="J667" s="2">
        <f>ABS(DF_2[[#This Row],[Quantity_BEFORE]])</f>
        <v>1</v>
      </c>
      <c r="K667" s="2">
        <f>DF_2[[#This Row],[QUANTITY]]*DF_2[[#This Row],[UnitPrice]]</f>
        <v>1.65</v>
      </c>
    </row>
    <row r="668" spans="2:11" x14ac:dyDescent="0.25">
      <c r="B668" s="2">
        <v>536412</v>
      </c>
      <c r="C668" s="2">
        <v>21448</v>
      </c>
      <c r="D668" s="2" t="s">
        <v>435</v>
      </c>
      <c r="E668" s="2">
        <v>1</v>
      </c>
      <c r="F668" s="8">
        <v>40513.492361111108</v>
      </c>
      <c r="G668" s="2">
        <v>1.65</v>
      </c>
      <c r="H668" s="2">
        <v>17920</v>
      </c>
      <c r="I668" s="2" t="s">
        <v>10</v>
      </c>
      <c r="J668" s="2">
        <f>ABS(DF_2[[#This Row],[Quantity_BEFORE]])</f>
        <v>1</v>
      </c>
      <c r="K668" s="2">
        <f>DF_2[[#This Row],[QUANTITY]]*DF_2[[#This Row],[UnitPrice]]</f>
        <v>1.65</v>
      </c>
    </row>
    <row r="669" spans="2:11" x14ac:dyDescent="0.25">
      <c r="B669" s="2">
        <v>536412</v>
      </c>
      <c r="C669" s="2">
        <v>22243</v>
      </c>
      <c r="D669" s="2" t="s">
        <v>436</v>
      </c>
      <c r="E669" s="2">
        <v>1</v>
      </c>
      <c r="F669" s="8">
        <v>40513.492361111108</v>
      </c>
      <c r="G669" s="2">
        <v>1.65</v>
      </c>
      <c r="H669" s="2">
        <v>17920</v>
      </c>
      <c r="I669" s="2" t="s">
        <v>10</v>
      </c>
      <c r="J669" s="2">
        <f>ABS(DF_2[[#This Row],[Quantity_BEFORE]])</f>
        <v>1</v>
      </c>
      <c r="K669" s="2">
        <f>DF_2[[#This Row],[QUANTITY]]*DF_2[[#This Row],[UnitPrice]]</f>
        <v>1.65</v>
      </c>
    </row>
    <row r="670" spans="2:11" x14ac:dyDescent="0.25">
      <c r="B670" s="2">
        <v>536412</v>
      </c>
      <c r="C670" s="2">
        <v>21448</v>
      </c>
      <c r="D670" s="2" t="s">
        <v>435</v>
      </c>
      <c r="E670" s="2">
        <v>1</v>
      </c>
      <c r="F670" s="8">
        <v>40513.492361111108</v>
      </c>
      <c r="G670" s="2">
        <v>1.65</v>
      </c>
      <c r="H670" s="2">
        <v>17920</v>
      </c>
      <c r="I670" s="2" t="s">
        <v>10</v>
      </c>
      <c r="J670" s="2">
        <f>ABS(DF_2[[#This Row],[Quantity_BEFORE]])</f>
        <v>1</v>
      </c>
      <c r="K670" s="2">
        <f>DF_2[[#This Row],[QUANTITY]]*DF_2[[#This Row],[UnitPrice]]</f>
        <v>1.65</v>
      </c>
    </row>
    <row r="671" spans="2:11" x14ac:dyDescent="0.25">
      <c r="B671" s="2">
        <v>536412</v>
      </c>
      <c r="C671" s="2">
        <v>20725</v>
      </c>
      <c r="D671" s="2" t="s">
        <v>85</v>
      </c>
      <c r="E671" s="2">
        <v>1</v>
      </c>
      <c r="F671" s="8">
        <v>40513.492361111108</v>
      </c>
      <c r="G671" s="2">
        <v>1.65</v>
      </c>
      <c r="H671" s="2">
        <v>17920</v>
      </c>
      <c r="I671" s="2" t="s">
        <v>10</v>
      </c>
      <c r="J671" s="2">
        <f>ABS(DF_2[[#This Row],[Quantity_BEFORE]])</f>
        <v>1</v>
      </c>
      <c r="K671" s="2">
        <f>DF_2[[#This Row],[QUANTITY]]*DF_2[[#This Row],[UnitPrice]]</f>
        <v>1.65</v>
      </c>
    </row>
    <row r="672" spans="2:11" x14ac:dyDescent="0.25">
      <c r="B672" s="2">
        <v>536464</v>
      </c>
      <c r="C672" s="2" t="s">
        <v>559</v>
      </c>
      <c r="D672" s="2" t="s">
        <v>560</v>
      </c>
      <c r="E672" s="2">
        <v>1</v>
      </c>
      <c r="F672" s="8">
        <v>40513.515972222223</v>
      </c>
      <c r="G672" s="2">
        <v>1.65</v>
      </c>
      <c r="H672" s="2">
        <v>17968</v>
      </c>
      <c r="I672" s="2" t="s">
        <v>10</v>
      </c>
      <c r="J672" s="2">
        <f>ABS(DF_2[[#This Row],[Quantity_BEFORE]])</f>
        <v>1</v>
      </c>
      <c r="K672" s="2">
        <f>DF_2[[#This Row],[QUANTITY]]*DF_2[[#This Row],[UnitPrice]]</f>
        <v>1.65</v>
      </c>
    </row>
    <row r="673" spans="2:11" x14ac:dyDescent="0.25">
      <c r="B673" s="2">
        <v>536464</v>
      </c>
      <c r="C673" s="2">
        <v>22737</v>
      </c>
      <c r="D673" s="2" t="s">
        <v>567</v>
      </c>
      <c r="E673" s="2">
        <v>1</v>
      </c>
      <c r="F673" s="8">
        <v>40513.515972222223</v>
      </c>
      <c r="G673" s="2">
        <v>1.65</v>
      </c>
      <c r="H673" s="2">
        <v>17968</v>
      </c>
      <c r="I673" s="2" t="s">
        <v>10</v>
      </c>
      <c r="J673" s="2">
        <f>ABS(DF_2[[#This Row],[Quantity_BEFORE]])</f>
        <v>1</v>
      </c>
      <c r="K673" s="2">
        <f>DF_2[[#This Row],[QUANTITY]]*DF_2[[#This Row],[UnitPrice]]</f>
        <v>1.65</v>
      </c>
    </row>
    <row r="674" spans="2:11" x14ac:dyDescent="0.25">
      <c r="B674" s="2">
        <v>536464</v>
      </c>
      <c r="C674" s="2">
        <v>22295</v>
      </c>
      <c r="D674" s="2" t="s">
        <v>571</v>
      </c>
      <c r="E674" s="2">
        <v>1</v>
      </c>
      <c r="F674" s="8">
        <v>40513.515972222223</v>
      </c>
      <c r="G674" s="2">
        <v>1.65</v>
      </c>
      <c r="H674" s="2">
        <v>17968</v>
      </c>
      <c r="I674" s="2" t="s">
        <v>10</v>
      </c>
      <c r="J674" s="2">
        <f>ABS(DF_2[[#This Row],[Quantity_BEFORE]])</f>
        <v>1</v>
      </c>
      <c r="K674" s="2">
        <f>DF_2[[#This Row],[QUANTITY]]*DF_2[[#This Row],[UnitPrice]]</f>
        <v>1.65</v>
      </c>
    </row>
    <row r="675" spans="2:11" x14ac:dyDescent="0.25">
      <c r="B675" s="2">
        <v>536464</v>
      </c>
      <c r="C675" s="2">
        <v>22333</v>
      </c>
      <c r="D675" s="2" t="s">
        <v>588</v>
      </c>
      <c r="E675" s="2">
        <v>1</v>
      </c>
      <c r="F675" s="8">
        <v>40513.515972222223</v>
      </c>
      <c r="G675" s="2">
        <v>1.65</v>
      </c>
      <c r="H675" s="2">
        <v>17968</v>
      </c>
      <c r="I675" s="2" t="s">
        <v>10</v>
      </c>
      <c r="J675" s="2">
        <f>ABS(DF_2[[#This Row],[Quantity_BEFORE]])</f>
        <v>1</v>
      </c>
      <c r="K675" s="2">
        <f>DF_2[[#This Row],[QUANTITY]]*DF_2[[#This Row],[UnitPrice]]</f>
        <v>1.65</v>
      </c>
    </row>
    <row r="676" spans="2:11" x14ac:dyDescent="0.25">
      <c r="B676" s="2">
        <v>536464</v>
      </c>
      <c r="C676" s="2">
        <v>22557</v>
      </c>
      <c r="D676" s="2" t="s">
        <v>224</v>
      </c>
      <c r="E676" s="2">
        <v>1</v>
      </c>
      <c r="F676" s="8">
        <v>40513.515972222223</v>
      </c>
      <c r="G676" s="2">
        <v>1.65</v>
      </c>
      <c r="H676" s="2">
        <v>17968</v>
      </c>
      <c r="I676" s="2" t="s">
        <v>10</v>
      </c>
      <c r="J676" s="2">
        <f>ABS(DF_2[[#This Row],[Quantity_BEFORE]])</f>
        <v>1</v>
      </c>
      <c r="K676" s="2">
        <f>DF_2[[#This Row],[QUANTITY]]*DF_2[[#This Row],[UnitPrice]]</f>
        <v>1.65</v>
      </c>
    </row>
    <row r="677" spans="2:11" x14ac:dyDescent="0.25">
      <c r="B677" s="2">
        <v>536464</v>
      </c>
      <c r="C677" s="2">
        <v>21584</v>
      </c>
      <c r="D677" s="2" t="s">
        <v>589</v>
      </c>
      <c r="E677" s="2">
        <v>1</v>
      </c>
      <c r="F677" s="8">
        <v>40513.515972222223</v>
      </c>
      <c r="G677" s="2">
        <v>1.65</v>
      </c>
      <c r="H677" s="2">
        <v>17968</v>
      </c>
      <c r="I677" s="2" t="s">
        <v>10</v>
      </c>
      <c r="J677" s="2">
        <f>ABS(DF_2[[#This Row],[Quantity_BEFORE]])</f>
        <v>1</v>
      </c>
      <c r="K677" s="2">
        <f>DF_2[[#This Row],[QUANTITY]]*DF_2[[#This Row],[UnitPrice]]</f>
        <v>1.65</v>
      </c>
    </row>
    <row r="678" spans="2:11" x14ac:dyDescent="0.25">
      <c r="B678" s="2">
        <v>536464</v>
      </c>
      <c r="C678" s="2">
        <v>22759</v>
      </c>
      <c r="D678" s="2" t="s">
        <v>431</v>
      </c>
      <c r="E678" s="2">
        <v>1</v>
      </c>
      <c r="F678" s="8">
        <v>40513.515972222223</v>
      </c>
      <c r="G678" s="2">
        <v>1.65</v>
      </c>
      <c r="H678" s="2">
        <v>17968</v>
      </c>
      <c r="I678" s="2" t="s">
        <v>10</v>
      </c>
      <c r="J678" s="2">
        <f>ABS(DF_2[[#This Row],[Quantity_BEFORE]])</f>
        <v>1</v>
      </c>
      <c r="K678" s="2">
        <f>DF_2[[#This Row],[QUANTITY]]*DF_2[[#This Row],[UnitPrice]]</f>
        <v>1.65</v>
      </c>
    </row>
    <row r="679" spans="2:11" x14ac:dyDescent="0.25">
      <c r="B679" s="2">
        <v>536464</v>
      </c>
      <c r="C679" s="2">
        <v>21329</v>
      </c>
      <c r="D679" s="2" t="s">
        <v>600</v>
      </c>
      <c r="E679" s="2">
        <v>1</v>
      </c>
      <c r="F679" s="8">
        <v>40513.515972222223</v>
      </c>
      <c r="G679" s="2">
        <v>1.65</v>
      </c>
      <c r="H679" s="2">
        <v>17968</v>
      </c>
      <c r="I679" s="2" t="s">
        <v>10</v>
      </c>
      <c r="J679" s="2">
        <f>ABS(DF_2[[#This Row],[Quantity_BEFORE]])</f>
        <v>1</v>
      </c>
      <c r="K679" s="2">
        <f>DF_2[[#This Row],[QUANTITY]]*DF_2[[#This Row],[UnitPrice]]</f>
        <v>1.65</v>
      </c>
    </row>
    <row r="680" spans="2:11" x14ac:dyDescent="0.25">
      <c r="B680" s="2">
        <v>536464</v>
      </c>
      <c r="C680" s="2">
        <v>21328</v>
      </c>
      <c r="D680" s="2" t="s">
        <v>271</v>
      </c>
      <c r="E680" s="2">
        <v>1</v>
      </c>
      <c r="F680" s="8">
        <v>40513.515972222223</v>
      </c>
      <c r="G680" s="2">
        <v>1.65</v>
      </c>
      <c r="H680" s="2">
        <v>17968</v>
      </c>
      <c r="I680" s="2" t="s">
        <v>10</v>
      </c>
      <c r="J680" s="2">
        <f>ABS(DF_2[[#This Row],[Quantity_BEFORE]])</f>
        <v>1</v>
      </c>
      <c r="K680" s="2">
        <f>DF_2[[#This Row],[QUANTITY]]*DF_2[[#This Row],[UnitPrice]]</f>
        <v>1.65</v>
      </c>
    </row>
    <row r="681" spans="2:11" x14ac:dyDescent="0.25">
      <c r="B681" s="2">
        <v>536464</v>
      </c>
      <c r="C681" s="2">
        <v>21327</v>
      </c>
      <c r="D681" s="2" t="s">
        <v>601</v>
      </c>
      <c r="E681" s="2">
        <v>1</v>
      </c>
      <c r="F681" s="8">
        <v>40513.515972222223</v>
      </c>
      <c r="G681" s="2">
        <v>1.65</v>
      </c>
      <c r="H681" s="2">
        <v>17968</v>
      </c>
      <c r="I681" s="2" t="s">
        <v>10</v>
      </c>
      <c r="J681" s="2">
        <f>ABS(DF_2[[#This Row],[Quantity_BEFORE]])</f>
        <v>1</v>
      </c>
      <c r="K681" s="2">
        <f>DF_2[[#This Row],[QUANTITY]]*DF_2[[#This Row],[UnitPrice]]</f>
        <v>1.65</v>
      </c>
    </row>
    <row r="682" spans="2:11" x14ac:dyDescent="0.25">
      <c r="B682" s="2">
        <v>536488</v>
      </c>
      <c r="C682" s="2">
        <v>21190</v>
      </c>
      <c r="D682" s="2" t="s">
        <v>626</v>
      </c>
      <c r="E682" s="2">
        <v>1</v>
      </c>
      <c r="F682" s="8">
        <v>40513.521527777775</v>
      </c>
      <c r="G682" s="2">
        <v>1.65</v>
      </c>
      <c r="H682" s="2">
        <v>17897</v>
      </c>
      <c r="I682" s="2" t="s">
        <v>10</v>
      </c>
      <c r="J682" s="2">
        <f>ABS(DF_2[[#This Row],[Quantity_BEFORE]])</f>
        <v>1</v>
      </c>
      <c r="K682" s="2">
        <f>DF_2[[#This Row],[QUANTITY]]*DF_2[[#This Row],[UnitPrice]]</f>
        <v>1.65</v>
      </c>
    </row>
    <row r="683" spans="2:11" x14ac:dyDescent="0.25">
      <c r="B683" s="2">
        <v>536488</v>
      </c>
      <c r="C683" s="2">
        <v>70007</v>
      </c>
      <c r="D683" s="2" t="s">
        <v>628</v>
      </c>
      <c r="E683" s="2">
        <v>1</v>
      </c>
      <c r="F683" s="8">
        <v>40513.521527777775</v>
      </c>
      <c r="G683" s="2">
        <v>1.65</v>
      </c>
      <c r="H683" s="2">
        <v>17897</v>
      </c>
      <c r="I683" s="2" t="s">
        <v>10</v>
      </c>
      <c r="J683" s="2">
        <f>ABS(DF_2[[#This Row],[Quantity_BEFORE]])</f>
        <v>1</v>
      </c>
      <c r="K683" s="2">
        <f>DF_2[[#This Row],[QUANTITY]]*DF_2[[#This Row],[UnitPrice]]</f>
        <v>1.65</v>
      </c>
    </row>
    <row r="684" spans="2:11" x14ac:dyDescent="0.25">
      <c r="B684" s="2">
        <v>536520</v>
      </c>
      <c r="C684" s="2">
        <v>22553</v>
      </c>
      <c r="D684" s="2" t="s">
        <v>225</v>
      </c>
      <c r="E684" s="2">
        <v>1</v>
      </c>
      <c r="F684" s="8">
        <v>40513.529861111114</v>
      </c>
      <c r="G684" s="2">
        <v>1.65</v>
      </c>
      <c r="H684" s="2">
        <v>14729</v>
      </c>
      <c r="I684" s="2" t="s">
        <v>10</v>
      </c>
      <c r="J684" s="2">
        <f>ABS(DF_2[[#This Row],[Quantity_BEFORE]])</f>
        <v>1</v>
      </c>
      <c r="K684" s="2">
        <f>DF_2[[#This Row],[QUANTITY]]*DF_2[[#This Row],[UnitPrice]]</f>
        <v>1.65</v>
      </c>
    </row>
    <row r="685" spans="2:11" x14ac:dyDescent="0.25">
      <c r="B685" s="2">
        <v>536520</v>
      </c>
      <c r="C685" s="2">
        <v>22551</v>
      </c>
      <c r="D685" s="2" t="s">
        <v>489</v>
      </c>
      <c r="E685" s="2">
        <v>1</v>
      </c>
      <c r="F685" s="8">
        <v>40513.529861111114</v>
      </c>
      <c r="G685" s="2">
        <v>1.65</v>
      </c>
      <c r="H685" s="2">
        <v>14729</v>
      </c>
      <c r="I685" s="2" t="s">
        <v>10</v>
      </c>
      <c r="J685" s="2">
        <f>ABS(DF_2[[#This Row],[Quantity_BEFORE]])</f>
        <v>1</v>
      </c>
      <c r="K685" s="2">
        <f>DF_2[[#This Row],[QUANTITY]]*DF_2[[#This Row],[UnitPrice]]</f>
        <v>1.65</v>
      </c>
    </row>
    <row r="686" spans="2:11" x14ac:dyDescent="0.25">
      <c r="B686" s="2">
        <v>536520</v>
      </c>
      <c r="C686" s="2">
        <v>22469</v>
      </c>
      <c r="D686" s="2" t="s">
        <v>158</v>
      </c>
      <c r="E686" s="2">
        <v>1</v>
      </c>
      <c r="F686" s="8">
        <v>40513.529861111114</v>
      </c>
      <c r="G686" s="2">
        <v>1.65</v>
      </c>
      <c r="H686" s="2">
        <v>14729</v>
      </c>
      <c r="I686" s="2" t="s">
        <v>10</v>
      </c>
      <c r="J686" s="2">
        <f>ABS(DF_2[[#This Row],[Quantity_BEFORE]])</f>
        <v>1</v>
      </c>
      <c r="K686" s="2">
        <f>DF_2[[#This Row],[QUANTITY]]*DF_2[[#This Row],[UnitPrice]]</f>
        <v>1.65</v>
      </c>
    </row>
    <row r="687" spans="2:11" x14ac:dyDescent="0.25">
      <c r="B687" s="2">
        <v>536500</v>
      </c>
      <c r="C687" s="2" t="s">
        <v>629</v>
      </c>
      <c r="D687" s="2" t="s">
        <v>630</v>
      </c>
      <c r="E687" s="2">
        <v>10</v>
      </c>
      <c r="F687" s="8">
        <v>40513.524305555555</v>
      </c>
      <c r="G687" s="2">
        <v>1.55</v>
      </c>
      <c r="H687" s="2">
        <v>17377</v>
      </c>
      <c r="I687" s="2" t="s">
        <v>10</v>
      </c>
      <c r="J687" s="2">
        <f>ABS(DF_2[[#This Row],[Quantity_BEFORE]])</f>
        <v>10</v>
      </c>
      <c r="K687" s="2">
        <f>DF_2[[#This Row],[QUANTITY]]*DF_2[[#This Row],[UnitPrice]]</f>
        <v>15.5</v>
      </c>
    </row>
    <row r="688" spans="2:11" x14ac:dyDescent="0.25">
      <c r="B688" s="2">
        <v>536464</v>
      </c>
      <c r="C688" s="2">
        <v>22558</v>
      </c>
      <c r="D688" s="2" t="s">
        <v>241</v>
      </c>
      <c r="E688" s="2">
        <v>2</v>
      </c>
      <c r="F688" s="8">
        <v>40513.515972222223</v>
      </c>
      <c r="G688" s="2">
        <v>1.49</v>
      </c>
      <c r="H688" s="2">
        <v>17968</v>
      </c>
      <c r="I688" s="2" t="s">
        <v>10</v>
      </c>
      <c r="J688" s="2">
        <f>ABS(DF_2[[#This Row],[Quantity_BEFORE]])</f>
        <v>2</v>
      </c>
      <c r="K688" s="2">
        <f>DF_2[[#This Row],[QUANTITY]]*DF_2[[#This Row],[UnitPrice]]</f>
        <v>2.98</v>
      </c>
    </row>
    <row r="689" spans="2:11" x14ac:dyDescent="0.25">
      <c r="B689" s="2">
        <v>536390</v>
      </c>
      <c r="C689" s="2">
        <v>22174</v>
      </c>
      <c r="D689" s="2" t="s">
        <v>217</v>
      </c>
      <c r="E689" s="2">
        <v>48</v>
      </c>
      <c r="F689" s="8">
        <v>40513.429861111108</v>
      </c>
      <c r="G689" s="2">
        <v>1.48</v>
      </c>
      <c r="H689" s="2">
        <v>17511</v>
      </c>
      <c r="I689" s="2" t="s">
        <v>10</v>
      </c>
      <c r="J689" s="2">
        <f>ABS(DF_2[[#This Row],[Quantity_BEFORE]])</f>
        <v>48</v>
      </c>
      <c r="K689" s="2">
        <f>DF_2[[#This Row],[QUANTITY]]*DF_2[[#This Row],[UnitPrice]]</f>
        <v>71.039999999999992</v>
      </c>
    </row>
    <row r="690" spans="2:11" x14ac:dyDescent="0.25">
      <c r="B690" s="2">
        <v>536387</v>
      </c>
      <c r="C690" s="2">
        <v>22466</v>
      </c>
      <c r="D690" s="2" t="s">
        <v>177</v>
      </c>
      <c r="E690" s="2">
        <v>432</v>
      </c>
      <c r="F690" s="8">
        <v>40513.415277777778</v>
      </c>
      <c r="G690" s="2">
        <v>1.45</v>
      </c>
      <c r="H690" s="2">
        <v>16029</v>
      </c>
      <c r="I690" s="2" t="s">
        <v>10</v>
      </c>
      <c r="J690" s="2">
        <f>ABS(DF_2[[#This Row],[Quantity_BEFORE]])</f>
        <v>432</v>
      </c>
      <c r="K690" s="2">
        <f>DF_2[[#This Row],[QUANTITY]]*DF_2[[#This Row],[UnitPrice]]</f>
        <v>626.4</v>
      </c>
    </row>
    <row r="691" spans="2:11" x14ac:dyDescent="0.25">
      <c r="B691" s="2">
        <v>536390</v>
      </c>
      <c r="C691" s="2">
        <v>22198</v>
      </c>
      <c r="D691" s="2" t="s">
        <v>209</v>
      </c>
      <c r="E691" s="2">
        <v>50</v>
      </c>
      <c r="F691" s="8">
        <v>40513.429861111108</v>
      </c>
      <c r="G691" s="2">
        <v>1.45</v>
      </c>
      <c r="H691" s="2">
        <v>17511</v>
      </c>
      <c r="I691" s="2" t="s">
        <v>10</v>
      </c>
      <c r="J691" s="2">
        <f>ABS(DF_2[[#This Row],[Quantity_BEFORE]])</f>
        <v>50</v>
      </c>
      <c r="K691" s="2">
        <f>DF_2[[#This Row],[QUANTITY]]*DF_2[[#This Row],[UnitPrice]]</f>
        <v>72.5</v>
      </c>
    </row>
    <row r="692" spans="2:11" x14ac:dyDescent="0.25">
      <c r="B692" s="2">
        <v>536384</v>
      </c>
      <c r="C692" s="2">
        <v>22469</v>
      </c>
      <c r="D692" s="2" t="s">
        <v>158</v>
      </c>
      <c r="E692" s="2">
        <v>40</v>
      </c>
      <c r="F692" s="8">
        <v>40513.411805555559</v>
      </c>
      <c r="G692" s="2">
        <v>1.45</v>
      </c>
      <c r="H692" s="2">
        <v>18074</v>
      </c>
      <c r="I692" s="2" t="s">
        <v>10</v>
      </c>
      <c r="J692" s="2">
        <f>ABS(DF_2[[#This Row],[Quantity_BEFORE]])</f>
        <v>40</v>
      </c>
      <c r="K692" s="2">
        <f>DF_2[[#This Row],[QUANTITY]]*DF_2[[#This Row],[UnitPrice]]</f>
        <v>58</v>
      </c>
    </row>
    <row r="693" spans="2:11" x14ac:dyDescent="0.25">
      <c r="B693" s="2">
        <v>536380</v>
      </c>
      <c r="C693" s="2">
        <v>22961</v>
      </c>
      <c r="D693" s="2" t="s">
        <v>100</v>
      </c>
      <c r="E693" s="2">
        <v>24</v>
      </c>
      <c r="F693" s="8">
        <v>40513.40347222222</v>
      </c>
      <c r="G693" s="2">
        <v>1.45</v>
      </c>
      <c r="H693" s="2">
        <v>17809</v>
      </c>
      <c r="I693" s="2" t="s">
        <v>10</v>
      </c>
      <c r="J693" s="2">
        <f>ABS(DF_2[[#This Row],[Quantity_BEFORE]])</f>
        <v>24</v>
      </c>
      <c r="K693" s="2">
        <f>DF_2[[#This Row],[QUANTITY]]*DF_2[[#This Row],[UnitPrice]]</f>
        <v>34.799999999999997</v>
      </c>
    </row>
    <row r="694" spans="2:11" x14ac:dyDescent="0.25">
      <c r="B694" s="2">
        <v>536412</v>
      </c>
      <c r="C694" s="2">
        <v>22961</v>
      </c>
      <c r="D694" s="2" t="s">
        <v>100</v>
      </c>
      <c r="E694" s="2">
        <v>24</v>
      </c>
      <c r="F694" s="8">
        <v>40513.492361111108</v>
      </c>
      <c r="G694" s="2">
        <v>1.45</v>
      </c>
      <c r="H694" s="2">
        <v>17920</v>
      </c>
      <c r="I694" s="2" t="s">
        <v>10</v>
      </c>
      <c r="J694" s="2">
        <f>ABS(DF_2[[#This Row],[Quantity_BEFORE]])</f>
        <v>24</v>
      </c>
      <c r="K694" s="2">
        <f>DF_2[[#This Row],[QUANTITY]]*DF_2[[#This Row],[UnitPrice]]</f>
        <v>34.799999999999997</v>
      </c>
    </row>
    <row r="695" spans="2:11" x14ac:dyDescent="0.25">
      <c r="B695" s="2">
        <v>536385</v>
      </c>
      <c r="C695" s="2">
        <v>22961</v>
      </c>
      <c r="D695" s="2" t="s">
        <v>100</v>
      </c>
      <c r="E695" s="2">
        <v>12</v>
      </c>
      <c r="F695" s="8">
        <v>40513.413888888892</v>
      </c>
      <c r="G695" s="2">
        <v>1.45</v>
      </c>
      <c r="H695" s="2">
        <v>17420</v>
      </c>
      <c r="I695" s="2" t="s">
        <v>10</v>
      </c>
      <c r="J695" s="2">
        <f>ABS(DF_2[[#This Row],[Quantity_BEFORE]])</f>
        <v>12</v>
      </c>
      <c r="K695" s="2">
        <f>DF_2[[#This Row],[QUANTITY]]*DF_2[[#This Row],[UnitPrice]]</f>
        <v>17.399999999999999</v>
      </c>
    </row>
    <row r="696" spans="2:11" x14ac:dyDescent="0.25">
      <c r="B696" s="2">
        <v>536388</v>
      </c>
      <c r="C696" s="2">
        <v>22969</v>
      </c>
      <c r="D696" s="2" t="s">
        <v>183</v>
      </c>
      <c r="E696" s="2">
        <v>12</v>
      </c>
      <c r="F696" s="8">
        <v>40513.415972222225</v>
      </c>
      <c r="G696" s="2">
        <v>1.45</v>
      </c>
      <c r="H696" s="2">
        <v>16250</v>
      </c>
      <c r="I696" s="2" t="s">
        <v>10</v>
      </c>
      <c r="J696" s="2">
        <f>ABS(DF_2[[#This Row],[Quantity_BEFORE]])</f>
        <v>12</v>
      </c>
      <c r="K696" s="2">
        <f>DF_2[[#This Row],[QUANTITY]]*DF_2[[#This Row],[UnitPrice]]</f>
        <v>17.399999999999999</v>
      </c>
    </row>
    <row r="697" spans="2:11" x14ac:dyDescent="0.25">
      <c r="B697" s="2">
        <v>536390</v>
      </c>
      <c r="C697" s="2">
        <v>22961</v>
      </c>
      <c r="D697" s="2" t="s">
        <v>100</v>
      </c>
      <c r="E697" s="2">
        <v>12</v>
      </c>
      <c r="F697" s="8">
        <v>40513.429861111108</v>
      </c>
      <c r="G697" s="2">
        <v>1.45</v>
      </c>
      <c r="H697" s="2">
        <v>17511</v>
      </c>
      <c r="I697" s="2" t="s">
        <v>10</v>
      </c>
      <c r="J697" s="2">
        <f>ABS(DF_2[[#This Row],[Quantity_BEFORE]])</f>
        <v>12</v>
      </c>
      <c r="K697" s="2">
        <f>DF_2[[#This Row],[QUANTITY]]*DF_2[[#This Row],[UnitPrice]]</f>
        <v>17.399999999999999</v>
      </c>
    </row>
    <row r="698" spans="2:11" x14ac:dyDescent="0.25">
      <c r="B698" s="2">
        <v>536400</v>
      </c>
      <c r="C698" s="2">
        <v>22969</v>
      </c>
      <c r="D698" s="2" t="s">
        <v>183</v>
      </c>
      <c r="E698" s="2">
        <v>12</v>
      </c>
      <c r="F698" s="8">
        <v>40513.453472222223</v>
      </c>
      <c r="G698" s="2">
        <v>1.45</v>
      </c>
      <c r="H698" s="2">
        <v>13448</v>
      </c>
      <c r="I698" s="2" t="s">
        <v>10</v>
      </c>
      <c r="J698" s="2">
        <f>ABS(DF_2[[#This Row],[Quantity_BEFORE]])</f>
        <v>12</v>
      </c>
      <c r="K698" s="2">
        <f>DF_2[[#This Row],[QUANTITY]]*DF_2[[#This Row],[UnitPrice]]</f>
        <v>17.399999999999999</v>
      </c>
    </row>
    <row r="699" spans="2:11" x14ac:dyDescent="0.25">
      <c r="B699" s="2">
        <v>536408</v>
      </c>
      <c r="C699" s="2">
        <v>21210</v>
      </c>
      <c r="D699" s="2" t="s">
        <v>373</v>
      </c>
      <c r="E699" s="2">
        <v>12</v>
      </c>
      <c r="F699" s="8">
        <v>40513.486805555556</v>
      </c>
      <c r="G699" s="2">
        <v>1.45</v>
      </c>
      <c r="H699" s="2">
        <v>14307</v>
      </c>
      <c r="I699" s="2" t="s">
        <v>10</v>
      </c>
      <c r="J699" s="2">
        <f>ABS(DF_2[[#This Row],[Quantity_BEFORE]])</f>
        <v>12</v>
      </c>
      <c r="K699" s="2">
        <f>DF_2[[#This Row],[QUANTITY]]*DF_2[[#This Row],[UnitPrice]]</f>
        <v>17.399999999999999</v>
      </c>
    </row>
    <row r="700" spans="2:11" x14ac:dyDescent="0.25">
      <c r="B700" s="2">
        <v>536420</v>
      </c>
      <c r="C700" s="2">
        <v>22969</v>
      </c>
      <c r="D700" s="2" t="s">
        <v>183</v>
      </c>
      <c r="E700" s="2">
        <v>12</v>
      </c>
      <c r="F700" s="8">
        <v>40513.502083333333</v>
      </c>
      <c r="G700" s="2">
        <v>1.45</v>
      </c>
      <c r="H700" s="2">
        <v>16583</v>
      </c>
      <c r="I700" s="2" t="s">
        <v>10</v>
      </c>
      <c r="J700" s="2">
        <f>ABS(DF_2[[#This Row],[Quantity_BEFORE]])</f>
        <v>12</v>
      </c>
      <c r="K700" s="2">
        <f>DF_2[[#This Row],[QUANTITY]]*DF_2[[#This Row],[UnitPrice]]</f>
        <v>17.399999999999999</v>
      </c>
    </row>
    <row r="701" spans="2:11" x14ac:dyDescent="0.25">
      <c r="B701" s="2">
        <v>536425</v>
      </c>
      <c r="C701" s="2">
        <v>22646</v>
      </c>
      <c r="D701" s="2" t="s">
        <v>132</v>
      </c>
      <c r="E701" s="2">
        <v>12</v>
      </c>
      <c r="F701" s="8">
        <v>40513.505555555559</v>
      </c>
      <c r="G701" s="2">
        <v>1.45</v>
      </c>
      <c r="H701" s="2">
        <v>13758</v>
      </c>
      <c r="I701" s="2" t="s">
        <v>10</v>
      </c>
      <c r="J701" s="2">
        <f>ABS(DF_2[[#This Row],[Quantity_BEFORE]])</f>
        <v>12</v>
      </c>
      <c r="K701" s="2">
        <f>DF_2[[#This Row],[QUANTITY]]*DF_2[[#This Row],[UnitPrice]]</f>
        <v>17.399999999999999</v>
      </c>
    </row>
    <row r="702" spans="2:11" x14ac:dyDescent="0.25">
      <c r="B702" s="2">
        <v>536425</v>
      </c>
      <c r="C702" s="2">
        <v>22644</v>
      </c>
      <c r="D702" s="2" t="s">
        <v>125</v>
      </c>
      <c r="E702" s="2">
        <v>12</v>
      </c>
      <c r="F702" s="8">
        <v>40513.505555555559</v>
      </c>
      <c r="G702" s="2">
        <v>1.45</v>
      </c>
      <c r="H702" s="2">
        <v>13758</v>
      </c>
      <c r="I702" s="2" t="s">
        <v>10</v>
      </c>
      <c r="J702" s="2">
        <f>ABS(DF_2[[#This Row],[Quantity_BEFORE]])</f>
        <v>12</v>
      </c>
      <c r="K702" s="2">
        <f>DF_2[[#This Row],[QUANTITY]]*DF_2[[#This Row],[UnitPrice]]</f>
        <v>17.399999999999999</v>
      </c>
    </row>
    <row r="703" spans="2:11" x14ac:dyDescent="0.25">
      <c r="B703" s="2">
        <v>536425</v>
      </c>
      <c r="C703" s="2">
        <v>22645</v>
      </c>
      <c r="D703" s="2" t="s">
        <v>513</v>
      </c>
      <c r="E703" s="2">
        <v>12</v>
      </c>
      <c r="F703" s="8">
        <v>40513.505555555559</v>
      </c>
      <c r="G703" s="2">
        <v>1.45</v>
      </c>
      <c r="H703" s="2">
        <v>13758</v>
      </c>
      <c r="I703" s="2" t="s">
        <v>10</v>
      </c>
      <c r="J703" s="2">
        <f>ABS(DF_2[[#This Row],[Quantity_BEFORE]])</f>
        <v>12</v>
      </c>
      <c r="K703" s="2">
        <f>DF_2[[#This Row],[QUANTITY]]*DF_2[[#This Row],[UnitPrice]]</f>
        <v>17.399999999999999</v>
      </c>
    </row>
    <row r="704" spans="2:11" x14ac:dyDescent="0.25">
      <c r="B704" s="2">
        <v>536425</v>
      </c>
      <c r="C704" s="2">
        <v>22650</v>
      </c>
      <c r="D704" s="2" t="s">
        <v>514</v>
      </c>
      <c r="E704" s="2">
        <v>12</v>
      </c>
      <c r="F704" s="8">
        <v>40513.505555555559</v>
      </c>
      <c r="G704" s="2">
        <v>1.45</v>
      </c>
      <c r="H704" s="2">
        <v>13758</v>
      </c>
      <c r="I704" s="2" t="s">
        <v>10</v>
      </c>
      <c r="J704" s="2">
        <f>ABS(DF_2[[#This Row],[Quantity_BEFORE]])</f>
        <v>12</v>
      </c>
      <c r="K704" s="2">
        <f>DF_2[[#This Row],[QUANTITY]]*DF_2[[#This Row],[UnitPrice]]</f>
        <v>17.399999999999999</v>
      </c>
    </row>
    <row r="705" spans="2:11" x14ac:dyDescent="0.25">
      <c r="B705" s="2">
        <v>536425</v>
      </c>
      <c r="C705" s="2">
        <v>22961</v>
      </c>
      <c r="D705" s="2" t="s">
        <v>100</v>
      </c>
      <c r="E705" s="2">
        <v>12</v>
      </c>
      <c r="F705" s="8">
        <v>40513.505555555559</v>
      </c>
      <c r="G705" s="2">
        <v>1.45</v>
      </c>
      <c r="H705" s="2">
        <v>13758</v>
      </c>
      <c r="I705" s="2" t="s">
        <v>10</v>
      </c>
      <c r="J705" s="2">
        <f>ABS(DF_2[[#This Row],[Quantity_BEFORE]])</f>
        <v>12</v>
      </c>
      <c r="K705" s="2">
        <f>DF_2[[#This Row],[QUANTITY]]*DF_2[[#This Row],[UnitPrice]]</f>
        <v>17.399999999999999</v>
      </c>
    </row>
    <row r="706" spans="2:11" x14ac:dyDescent="0.25">
      <c r="B706" s="2">
        <v>536463</v>
      </c>
      <c r="C706" s="2">
        <v>82552</v>
      </c>
      <c r="D706" s="2" t="s">
        <v>550</v>
      </c>
      <c r="E706" s="2">
        <v>12</v>
      </c>
      <c r="F706" s="8">
        <v>40513.515277777777</v>
      </c>
      <c r="G706" s="2">
        <v>1.45</v>
      </c>
      <c r="H706" s="2">
        <v>14849</v>
      </c>
      <c r="I706" s="2" t="s">
        <v>10</v>
      </c>
      <c r="J706" s="2">
        <f>ABS(DF_2[[#This Row],[Quantity_BEFORE]])</f>
        <v>12</v>
      </c>
      <c r="K706" s="2">
        <f>DF_2[[#This Row],[QUANTITY]]*DF_2[[#This Row],[UnitPrice]]</f>
        <v>17.399999999999999</v>
      </c>
    </row>
    <row r="707" spans="2:11" x14ac:dyDescent="0.25">
      <c r="B707" s="2">
        <v>536466</v>
      </c>
      <c r="C707" s="2">
        <v>22961</v>
      </c>
      <c r="D707" s="2" t="s">
        <v>100</v>
      </c>
      <c r="E707" s="2">
        <v>12</v>
      </c>
      <c r="F707" s="8">
        <v>40513.515972222223</v>
      </c>
      <c r="G707" s="2">
        <v>1.45</v>
      </c>
      <c r="H707" s="2">
        <v>14849</v>
      </c>
      <c r="I707" s="2" t="s">
        <v>10</v>
      </c>
      <c r="J707" s="2">
        <f>ABS(DF_2[[#This Row],[Quantity_BEFORE]])</f>
        <v>12</v>
      </c>
      <c r="K707" s="2">
        <f>DF_2[[#This Row],[QUANTITY]]*DF_2[[#This Row],[UnitPrice]]</f>
        <v>17.399999999999999</v>
      </c>
    </row>
    <row r="708" spans="2:11" x14ac:dyDescent="0.25">
      <c r="B708" s="2">
        <v>536464</v>
      </c>
      <c r="C708" s="2">
        <v>21814</v>
      </c>
      <c r="D708" s="2" t="s">
        <v>580</v>
      </c>
      <c r="E708" s="2">
        <v>8</v>
      </c>
      <c r="F708" s="8">
        <v>40513.515972222223</v>
      </c>
      <c r="G708" s="2">
        <v>1.45</v>
      </c>
      <c r="H708" s="2">
        <v>17968</v>
      </c>
      <c r="I708" s="2" t="s">
        <v>10</v>
      </c>
      <c r="J708" s="2">
        <f>ABS(DF_2[[#This Row],[Quantity_BEFORE]])</f>
        <v>8</v>
      </c>
      <c r="K708" s="2">
        <f>DF_2[[#This Row],[QUANTITY]]*DF_2[[#This Row],[UnitPrice]]</f>
        <v>11.6</v>
      </c>
    </row>
    <row r="709" spans="2:11" x14ac:dyDescent="0.25">
      <c r="B709" s="2">
        <v>536381</v>
      </c>
      <c r="C709" s="2">
        <v>22646</v>
      </c>
      <c r="D709" s="2" t="s">
        <v>132</v>
      </c>
      <c r="E709" s="2">
        <v>4</v>
      </c>
      <c r="F709" s="8">
        <v>40513.40347222222</v>
      </c>
      <c r="G709" s="2">
        <v>1.45</v>
      </c>
      <c r="H709" s="2">
        <v>15311</v>
      </c>
      <c r="I709" s="2" t="s">
        <v>10</v>
      </c>
      <c r="J709" s="2">
        <f>ABS(DF_2[[#This Row],[Quantity_BEFORE]])</f>
        <v>4</v>
      </c>
      <c r="K709" s="2">
        <f>DF_2[[#This Row],[QUANTITY]]*DF_2[[#This Row],[UnitPrice]]</f>
        <v>5.8</v>
      </c>
    </row>
    <row r="710" spans="2:11" x14ac:dyDescent="0.25">
      <c r="B710" s="2">
        <v>536401</v>
      </c>
      <c r="C710" s="2">
        <v>22961</v>
      </c>
      <c r="D710" s="2" t="s">
        <v>100</v>
      </c>
      <c r="E710" s="2">
        <v>4</v>
      </c>
      <c r="F710" s="8">
        <v>40513.472916666666</v>
      </c>
      <c r="G710" s="2">
        <v>1.45</v>
      </c>
      <c r="H710" s="2">
        <v>15862</v>
      </c>
      <c r="I710" s="2" t="s">
        <v>10</v>
      </c>
      <c r="J710" s="2">
        <f>ABS(DF_2[[#This Row],[Quantity_BEFORE]])</f>
        <v>4</v>
      </c>
      <c r="K710" s="2">
        <f>DF_2[[#This Row],[QUANTITY]]*DF_2[[#This Row],[UnitPrice]]</f>
        <v>5.8</v>
      </c>
    </row>
    <row r="711" spans="2:11" x14ac:dyDescent="0.25">
      <c r="B711" s="2">
        <v>536415</v>
      </c>
      <c r="C711" s="2">
        <v>22147</v>
      </c>
      <c r="D711" s="2" t="s">
        <v>465</v>
      </c>
      <c r="E711" s="2">
        <v>4</v>
      </c>
      <c r="F711" s="8">
        <v>40513.497916666667</v>
      </c>
      <c r="G711" s="2">
        <v>1.45</v>
      </c>
      <c r="H711" s="2">
        <v>12838</v>
      </c>
      <c r="I711" s="2" t="s">
        <v>10</v>
      </c>
      <c r="J711" s="2">
        <f>ABS(DF_2[[#This Row],[Quantity_BEFORE]])</f>
        <v>4</v>
      </c>
      <c r="K711" s="2">
        <f>DF_2[[#This Row],[QUANTITY]]*DF_2[[#This Row],[UnitPrice]]</f>
        <v>5.8</v>
      </c>
    </row>
    <row r="712" spans="2:11" x14ac:dyDescent="0.25">
      <c r="B712" s="2">
        <v>536464</v>
      </c>
      <c r="C712" s="2">
        <v>21815</v>
      </c>
      <c r="D712" s="2" t="s">
        <v>579</v>
      </c>
      <c r="E712" s="2">
        <v>4</v>
      </c>
      <c r="F712" s="8">
        <v>40513.515972222223</v>
      </c>
      <c r="G712" s="2">
        <v>1.45</v>
      </c>
      <c r="H712" s="2">
        <v>17968</v>
      </c>
      <c r="I712" s="2" t="s">
        <v>10</v>
      </c>
      <c r="J712" s="2">
        <f>ABS(DF_2[[#This Row],[Quantity_BEFORE]])</f>
        <v>4</v>
      </c>
      <c r="K712" s="2">
        <f>DF_2[[#This Row],[QUANTITY]]*DF_2[[#This Row],[UnitPrice]]</f>
        <v>5.8</v>
      </c>
    </row>
    <row r="713" spans="2:11" x14ac:dyDescent="0.25">
      <c r="B713" s="2">
        <v>536409</v>
      </c>
      <c r="C713" s="2">
        <v>21824</v>
      </c>
      <c r="D713" s="2" t="s">
        <v>416</v>
      </c>
      <c r="E713" s="2">
        <v>3</v>
      </c>
      <c r="F713" s="8">
        <v>40513.489583333336</v>
      </c>
      <c r="G713" s="2">
        <v>1.45</v>
      </c>
      <c r="H713" s="2">
        <v>17908</v>
      </c>
      <c r="I713" s="2" t="s">
        <v>10</v>
      </c>
      <c r="J713" s="2">
        <f>ABS(DF_2[[#This Row],[Quantity_BEFORE]])</f>
        <v>3</v>
      </c>
      <c r="K713" s="2">
        <f>DF_2[[#This Row],[QUANTITY]]*DF_2[[#This Row],[UnitPrice]]</f>
        <v>4.3499999999999996</v>
      </c>
    </row>
    <row r="714" spans="2:11" x14ac:dyDescent="0.25">
      <c r="B714" s="2">
        <v>536409</v>
      </c>
      <c r="C714" s="2">
        <v>21823</v>
      </c>
      <c r="D714" s="2" t="s">
        <v>417</v>
      </c>
      <c r="E714" s="2">
        <v>3</v>
      </c>
      <c r="F714" s="8">
        <v>40513.489583333336</v>
      </c>
      <c r="G714" s="2">
        <v>1.45</v>
      </c>
      <c r="H714" s="2">
        <v>17908</v>
      </c>
      <c r="I714" s="2" t="s">
        <v>10</v>
      </c>
      <c r="J714" s="2">
        <f>ABS(DF_2[[#This Row],[Quantity_BEFORE]])</f>
        <v>3</v>
      </c>
      <c r="K714" s="2">
        <f>DF_2[[#This Row],[QUANTITY]]*DF_2[[#This Row],[UnitPrice]]</f>
        <v>4.3499999999999996</v>
      </c>
    </row>
    <row r="715" spans="2:11" x14ac:dyDescent="0.25">
      <c r="B715" s="2">
        <v>536415</v>
      </c>
      <c r="C715" s="2">
        <v>22695</v>
      </c>
      <c r="D715" s="2" t="s">
        <v>463</v>
      </c>
      <c r="E715" s="2">
        <v>3</v>
      </c>
      <c r="F715" s="8">
        <v>40513.497916666667</v>
      </c>
      <c r="G715" s="2">
        <v>1.45</v>
      </c>
      <c r="H715" s="2">
        <v>12838</v>
      </c>
      <c r="I715" s="2" t="s">
        <v>10</v>
      </c>
      <c r="J715" s="2">
        <f>ABS(DF_2[[#This Row],[Quantity_BEFORE]])</f>
        <v>3</v>
      </c>
      <c r="K715" s="2">
        <f>DF_2[[#This Row],[QUANTITY]]*DF_2[[#This Row],[UnitPrice]]</f>
        <v>4.3499999999999996</v>
      </c>
    </row>
    <row r="716" spans="2:11" x14ac:dyDescent="0.25">
      <c r="B716" s="2">
        <v>536415</v>
      </c>
      <c r="C716" s="2">
        <v>22961</v>
      </c>
      <c r="D716" s="2" t="s">
        <v>100</v>
      </c>
      <c r="E716" s="2">
        <v>3</v>
      </c>
      <c r="F716" s="8">
        <v>40513.497916666667</v>
      </c>
      <c r="G716" s="2">
        <v>1.45</v>
      </c>
      <c r="H716" s="2">
        <v>12838</v>
      </c>
      <c r="I716" s="2" t="s">
        <v>10</v>
      </c>
      <c r="J716" s="2">
        <f>ABS(DF_2[[#This Row],[Quantity_BEFORE]])</f>
        <v>3</v>
      </c>
      <c r="K716" s="2">
        <f>DF_2[[#This Row],[QUANTITY]]*DF_2[[#This Row],[UnitPrice]]</f>
        <v>4.3499999999999996</v>
      </c>
    </row>
    <row r="717" spans="2:11" x14ac:dyDescent="0.25">
      <c r="B717" s="2">
        <v>536446</v>
      </c>
      <c r="C717" s="2">
        <v>22142</v>
      </c>
      <c r="D717" s="2" t="s">
        <v>523</v>
      </c>
      <c r="E717" s="2">
        <v>2</v>
      </c>
      <c r="F717" s="8">
        <v>40513.510416666664</v>
      </c>
      <c r="G717" s="2">
        <v>1.45</v>
      </c>
      <c r="H717" s="2">
        <v>15983</v>
      </c>
      <c r="I717" s="2" t="s">
        <v>10</v>
      </c>
      <c r="J717" s="2">
        <f>ABS(DF_2[[#This Row],[Quantity_BEFORE]])</f>
        <v>2</v>
      </c>
      <c r="K717" s="2">
        <f>DF_2[[#This Row],[QUANTITY]]*DF_2[[#This Row],[UnitPrice]]</f>
        <v>2.9</v>
      </c>
    </row>
    <row r="718" spans="2:11" x14ac:dyDescent="0.25">
      <c r="B718" s="2">
        <v>536464</v>
      </c>
      <c r="C718" s="2">
        <v>21816</v>
      </c>
      <c r="D718" s="2" t="s">
        <v>578</v>
      </c>
      <c r="E718" s="2">
        <v>2</v>
      </c>
      <c r="F718" s="8">
        <v>40513.515972222223</v>
      </c>
      <c r="G718" s="2">
        <v>1.45</v>
      </c>
      <c r="H718" s="2">
        <v>17968</v>
      </c>
      <c r="I718" s="2" t="s">
        <v>10</v>
      </c>
      <c r="J718" s="2">
        <f>ABS(DF_2[[#This Row],[Quantity_BEFORE]])</f>
        <v>2</v>
      </c>
      <c r="K718" s="2">
        <f>DF_2[[#This Row],[QUANTITY]]*DF_2[[#This Row],[UnitPrice]]</f>
        <v>2.9</v>
      </c>
    </row>
    <row r="719" spans="2:11" x14ac:dyDescent="0.25">
      <c r="B719" s="2">
        <v>536464</v>
      </c>
      <c r="C719" s="2">
        <v>21814</v>
      </c>
      <c r="D719" s="2" t="s">
        <v>580</v>
      </c>
      <c r="E719" s="2">
        <v>2</v>
      </c>
      <c r="F719" s="8">
        <v>40513.515972222223</v>
      </c>
      <c r="G719" s="2">
        <v>1.45</v>
      </c>
      <c r="H719" s="2">
        <v>17968</v>
      </c>
      <c r="I719" s="2" t="s">
        <v>10</v>
      </c>
      <c r="J719" s="2">
        <f>ABS(DF_2[[#This Row],[Quantity_BEFORE]])</f>
        <v>2</v>
      </c>
      <c r="K719" s="2">
        <f>DF_2[[#This Row],[QUANTITY]]*DF_2[[#This Row],[UnitPrice]]</f>
        <v>2.9</v>
      </c>
    </row>
    <row r="720" spans="2:11" x14ac:dyDescent="0.25">
      <c r="B720" s="2">
        <v>536381</v>
      </c>
      <c r="C720" s="2">
        <v>22644</v>
      </c>
      <c r="D720" s="2" t="s">
        <v>125</v>
      </c>
      <c r="E720" s="2">
        <v>1</v>
      </c>
      <c r="F720" s="8">
        <v>40513.40347222222</v>
      </c>
      <c r="G720" s="2">
        <v>1.45</v>
      </c>
      <c r="H720" s="2">
        <v>15311</v>
      </c>
      <c r="I720" s="2" t="s">
        <v>10</v>
      </c>
      <c r="J720" s="2">
        <f>ABS(DF_2[[#This Row],[Quantity_BEFORE]])</f>
        <v>1</v>
      </c>
      <c r="K720" s="2">
        <f>DF_2[[#This Row],[QUANTITY]]*DF_2[[#This Row],[UnitPrice]]</f>
        <v>1.45</v>
      </c>
    </row>
    <row r="721" spans="2:11" x14ac:dyDescent="0.25">
      <c r="B721" s="2">
        <v>536401</v>
      </c>
      <c r="C721" s="2">
        <v>22549</v>
      </c>
      <c r="D721" s="2" t="s">
        <v>267</v>
      </c>
      <c r="E721" s="2">
        <v>1</v>
      </c>
      <c r="F721" s="8">
        <v>40513.472916666666</v>
      </c>
      <c r="G721" s="2">
        <v>1.45</v>
      </c>
      <c r="H721" s="2">
        <v>15862</v>
      </c>
      <c r="I721" s="2" t="s">
        <v>10</v>
      </c>
      <c r="J721" s="2">
        <f>ABS(DF_2[[#This Row],[Quantity_BEFORE]])</f>
        <v>1</v>
      </c>
      <c r="K721" s="2">
        <f>DF_2[[#This Row],[QUANTITY]]*DF_2[[#This Row],[UnitPrice]]</f>
        <v>1.45</v>
      </c>
    </row>
    <row r="722" spans="2:11" x14ac:dyDescent="0.25">
      <c r="B722" s="2">
        <v>536464</v>
      </c>
      <c r="C722" s="2">
        <v>21815</v>
      </c>
      <c r="D722" s="2" t="s">
        <v>579</v>
      </c>
      <c r="E722" s="2">
        <v>1</v>
      </c>
      <c r="F722" s="8">
        <v>40513.515972222223</v>
      </c>
      <c r="G722" s="2">
        <v>1.45</v>
      </c>
      <c r="H722" s="2">
        <v>17968</v>
      </c>
      <c r="I722" s="2" t="s">
        <v>10</v>
      </c>
      <c r="J722" s="2">
        <f>ABS(DF_2[[#This Row],[Quantity_BEFORE]])</f>
        <v>1</v>
      </c>
      <c r="K722" s="2">
        <f>DF_2[[#This Row],[QUANTITY]]*DF_2[[#This Row],[UnitPrice]]</f>
        <v>1.45</v>
      </c>
    </row>
    <row r="723" spans="2:11" x14ac:dyDescent="0.25">
      <c r="B723" s="2">
        <v>536488</v>
      </c>
      <c r="C723" s="2">
        <v>22961</v>
      </c>
      <c r="D723" s="2" t="s">
        <v>100</v>
      </c>
      <c r="E723" s="2">
        <v>1</v>
      </c>
      <c r="F723" s="8">
        <v>40513.521527777775</v>
      </c>
      <c r="G723" s="2">
        <v>1.45</v>
      </c>
      <c r="H723" s="2">
        <v>17897</v>
      </c>
      <c r="I723" s="2" t="s">
        <v>10</v>
      </c>
      <c r="J723" s="2">
        <f>ABS(DF_2[[#This Row],[Quantity_BEFORE]])</f>
        <v>1</v>
      </c>
      <c r="K723" s="2">
        <f>DF_2[[#This Row],[QUANTITY]]*DF_2[[#This Row],[UnitPrice]]</f>
        <v>1.45</v>
      </c>
    </row>
    <row r="724" spans="2:11" x14ac:dyDescent="0.25">
      <c r="B724" s="2">
        <v>536520</v>
      </c>
      <c r="C724" s="2" t="s">
        <v>679</v>
      </c>
      <c r="D724" s="2" t="s">
        <v>680</v>
      </c>
      <c r="E724" s="2">
        <v>1</v>
      </c>
      <c r="F724" s="8">
        <v>40513.529861111114</v>
      </c>
      <c r="G724" s="2">
        <v>1.45</v>
      </c>
      <c r="H724" s="2">
        <v>14729</v>
      </c>
      <c r="I724" s="2" t="s">
        <v>10</v>
      </c>
      <c r="J724" s="2">
        <f>ABS(DF_2[[#This Row],[Quantity_BEFORE]])</f>
        <v>1</v>
      </c>
      <c r="K724" s="2">
        <f>DF_2[[#This Row],[QUANTITY]]*DF_2[[#This Row],[UnitPrice]]</f>
        <v>1.45</v>
      </c>
    </row>
    <row r="725" spans="2:11" x14ac:dyDescent="0.25">
      <c r="B725" s="2">
        <v>536387</v>
      </c>
      <c r="C725" s="2">
        <v>21731</v>
      </c>
      <c r="D725" s="2" t="s">
        <v>53</v>
      </c>
      <c r="E725" s="2">
        <v>432</v>
      </c>
      <c r="F725" s="8">
        <v>40513.415277777778</v>
      </c>
      <c r="G725" s="2">
        <v>1.25</v>
      </c>
      <c r="H725" s="2">
        <v>16029</v>
      </c>
      <c r="I725" s="2" t="s">
        <v>10</v>
      </c>
      <c r="J725" s="2">
        <f>ABS(DF_2[[#This Row],[Quantity_BEFORE]])</f>
        <v>432</v>
      </c>
      <c r="K725" s="2">
        <f>DF_2[[#This Row],[QUANTITY]]*DF_2[[#This Row],[UnitPrice]]</f>
        <v>540</v>
      </c>
    </row>
    <row r="726" spans="2:11" x14ac:dyDescent="0.25">
      <c r="B726" s="2">
        <v>536390</v>
      </c>
      <c r="C726" s="2">
        <v>22969</v>
      </c>
      <c r="D726" s="2" t="s">
        <v>183</v>
      </c>
      <c r="E726" s="2">
        <v>96</v>
      </c>
      <c r="F726" s="8">
        <v>40513.429861111108</v>
      </c>
      <c r="G726" s="2">
        <v>1.25</v>
      </c>
      <c r="H726" s="2">
        <v>17511</v>
      </c>
      <c r="I726" s="2" t="s">
        <v>10</v>
      </c>
      <c r="J726" s="2">
        <f>ABS(DF_2[[#This Row],[Quantity_BEFORE]])</f>
        <v>96</v>
      </c>
      <c r="K726" s="2">
        <f>DF_2[[#This Row],[QUANTITY]]*DF_2[[#This Row],[UnitPrice]]</f>
        <v>120</v>
      </c>
    </row>
    <row r="727" spans="2:11" x14ac:dyDescent="0.25">
      <c r="B727" s="2">
        <v>536416</v>
      </c>
      <c r="C727" s="2">
        <v>21915</v>
      </c>
      <c r="D727" s="2" t="s">
        <v>354</v>
      </c>
      <c r="E727" s="2">
        <v>72</v>
      </c>
      <c r="F727" s="8">
        <v>40513.498611111114</v>
      </c>
      <c r="G727" s="2">
        <v>1.25</v>
      </c>
      <c r="H727" s="2">
        <v>13255</v>
      </c>
      <c r="I727" s="2" t="s">
        <v>10</v>
      </c>
      <c r="J727" s="2">
        <f>ABS(DF_2[[#This Row],[Quantity_BEFORE]])</f>
        <v>72</v>
      </c>
      <c r="K727" s="2">
        <f>DF_2[[#This Row],[QUANTITY]]*DF_2[[#This Row],[UnitPrice]]</f>
        <v>90</v>
      </c>
    </row>
    <row r="728" spans="2:11" x14ac:dyDescent="0.25">
      <c r="B728" s="2">
        <v>536378</v>
      </c>
      <c r="C728" s="2" t="s">
        <v>94</v>
      </c>
      <c r="D728" s="2" t="s">
        <v>95</v>
      </c>
      <c r="E728" s="2">
        <v>48</v>
      </c>
      <c r="F728" s="8">
        <v>40513.400694444441</v>
      </c>
      <c r="G728" s="2">
        <v>1.25</v>
      </c>
      <c r="H728" s="2">
        <v>14688</v>
      </c>
      <c r="I728" s="2" t="s">
        <v>10</v>
      </c>
      <c r="J728" s="2">
        <f>ABS(DF_2[[#This Row],[Quantity_BEFORE]])</f>
        <v>48</v>
      </c>
      <c r="K728" s="2">
        <f>DF_2[[#This Row],[QUANTITY]]*DF_2[[#This Row],[UnitPrice]]</f>
        <v>60</v>
      </c>
    </row>
    <row r="729" spans="2:11" x14ac:dyDescent="0.25">
      <c r="B729" s="2">
        <v>536394</v>
      </c>
      <c r="C729" s="2">
        <v>22558</v>
      </c>
      <c r="D729" s="2" t="s">
        <v>241</v>
      </c>
      <c r="E729" s="2">
        <v>48</v>
      </c>
      <c r="F729" s="8">
        <v>40513.443749999999</v>
      </c>
      <c r="G729" s="2">
        <v>1.25</v>
      </c>
      <c r="H729" s="2">
        <v>13408</v>
      </c>
      <c r="I729" s="2" t="s">
        <v>10</v>
      </c>
      <c r="J729" s="2">
        <f>ABS(DF_2[[#This Row],[Quantity_BEFORE]])</f>
        <v>48</v>
      </c>
      <c r="K729" s="2">
        <f>DF_2[[#This Row],[QUANTITY]]*DF_2[[#This Row],[UnitPrice]]</f>
        <v>60</v>
      </c>
    </row>
    <row r="730" spans="2:11" x14ac:dyDescent="0.25">
      <c r="B730" s="2">
        <v>536437</v>
      </c>
      <c r="C730" s="2">
        <v>22059</v>
      </c>
      <c r="D730" s="2" t="s">
        <v>520</v>
      </c>
      <c r="E730" s="2">
        <v>48</v>
      </c>
      <c r="F730" s="8">
        <v>40513.508333333331</v>
      </c>
      <c r="G730" s="2">
        <v>1.25</v>
      </c>
      <c r="H730" s="2">
        <v>13694</v>
      </c>
      <c r="I730" s="2" t="s">
        <v>10</v>
      </c>
      <c r="J730" s="2">
        <f>ABS(DF_2[[#This Row],[Quantity_BEFORE]])</f>
        <v>48</v>
      </c>
      <c r="K730" s="2">
        <f>DF_2[[#This Row],[QUANTITY]]*DF_2[[#This Row],[UnitPrice]]</f>
        <v>60</v>
      </c>
    </row>
    <row r="731" spans="2:11" x14ac:dyDescent="0.25">
      <c r="B731" s="2">
        <v>536437</v>
      </c>
      <c r="C731" s="2">
        <v>84678</v>
      </c>
      <c r="D731" s="2" t="s">
        <v>521</v>
      </c>
      <c r="E731" s="2">
        <v>48</v>
      </c>
      <c r="F731" s="8">
        <v>40513.508333333331</v>
      </c>
      <c r="G731" s="2">
        <v>1.25</v>
      </c>
      <c r="H731" s="2">
        <v>13694</v>
      </c>
      <c r="I731" s="2" t="s">
        <v>10</v>
      </c>
      <c r="J731" s="2">
        <f>ABS(DF_2[[#This Row],[Quantity_BEFORE]])</f>
        <v>48</v>
      </c>
      <c r="K731" s="2">
        <f>DF_2[[#This Row],[QUANTITY]]*DF_2[[#This Row],[UnitPrice]]</f>
        <v>60</v>
      </c>
    </row>
    <row r="732" spans="2:11" x14ac:dyDescent="0.25">
      <c r="B732" s="2">
        <v>536446</v>
      </c>
      <c r="C732" s="2">
        <v>22294</v>
      </c>
      <c r="D732" s="2" t="s">
        <v>526</v>
      </c>
      <c r="E732" s="2">
        <v>48</v>
      </c>
      <c r="F732" s="8">
        <v>40513.510416666664</v>
      </c>
      <c r="G732" s="2">
        <v>1.25</v>
      </c>
      <c r="H732" s="2">
        <v>15983</v>
      </c>
      <c r="I732" s="2" t="s">
        <v>10</v>
      </c>
      <c r="J732" s="2">
        <f>ABS(DF_2[[#This Row],[Quantity_BEFORE]])</f>
        <v>48</v>
      </c>
      <c r="K732" s="2">
        <f>DF_2[[#This Row],[QUANTITY]]*DF_2[[#This Row],[UnitPrice]]</f>
        <v>60</v>
      </c>
    </row>
    <row r="733" spans="2:11" x14ac:dyDescent="0.25">
      <c r="B733" s="2">
        <v>536370</v>
      </c>
      <c r="C733" s="2">
        <v>21791</v>
      </c>
      <c r="D733" s="2" t="s">
        <v>46</v>
      </c>
      <c r="E733" s="2">
        <v>24</v>
      </c>
      <c r="F733" s="8">
        <v>40513.364583333336</v>
      </c>
      <c r="G733" s="2">
        <v>1.25</v>
      </c>
      <c r="H733" s="2">
        <v>12583</v>
      </c>
      <c r="I733" s="2" t="s">
        <v>40</v>
      </c>
      <c r="J733" s="2">
        <f>ABS(DF_2[[#This Row],[Quantity_BEFORE]])</f>
        <v>24</v>
      </c>
      <c r="K733" s="2">
        <f>DF_2[[#This Row],[QUANTITY]]*DF_2[[#This Row],[UnitPrice]]</f>
        <v>30</v>
      </c>
    </row>
    <row r="734" spans="2:11" x14ac:dyDescent="0.25">
      <c r="B734" s="2">
        <v>536381</v>
      </c>
      <c r="C734" s="2">
        <v>22774</v>
      </c>
      <c r="D734" s="2" t="s">
        <v>106</v>
      </c>
      <c r="E734" s="2">
        <v>24</v>
      </c>
      <c r="F734" s="8">
        <v>40513.40347222222</v>
      </c>
      <c r="G734" s="2">
        <v>1.25</v>
      </c>
      <c r="H734" s="2">
        <v>15311</v>
      </c>
      <c r="I734" s="2" t="s">
        <v>10</v>
      </c>
      <c r="J734" s="2">
        <f>ABS(DF_2[[#This Row],[Quantity_BEFORE]])</f>
        <v>24</v>
      </c>
      <c r="K734" s="2">
        <f>DF_2[[#This Row],[QUANTITY]]*DF_2[[#This Row],[UnitPrice]]</f>
        <v>30</v>
      </c>
    </row>
    <row r="735" spans="2:11" x14ac:dyDescent="0.25">
      <c r="B735" s="2">
        <v>536381</v>
      </c>
      <c r="C735" s="2">
        <v>22771</v>
      </c>
      <c r="D735" s="2" t="s">
        <v>107</v>
      </c>
      <c r="E735" s="2">
        <v>24</v>
      </c>
      <c r="F735" s="8">
        <v>40513.40347222222</v>
      </c>
      <c r="G735" s="2">
        <v>1.25</v>
      </c>
      <c r="H735" s="2">
        <v>15311</v>
      </c>
      <c r="I735" s="2" t="s">
        <v>10</v>
      </c>
      <c r="J735" s="2">
        <f>ABS(DF_2[[#This Row],[Quantity_BEFORE]])</f>
        <v>24</v>
      </c>
      <c r="K735" s="2">
        <f>DF_2[[#This Row],[QUANTITY]]*DF_2[[#This Row],[UnitPrice]]</f>
        <v>30</v>
      </c>
    </row>
    <row r="736" spans="2:11" x14ac:dyDescent="0.25">
      <c r="B736" s="2">
        <v>536404</v>
      </c>
      <c r="C736" s="2">
        <v>22297</v>
      </c>
      <c r="D736" s="2" t="s">
        <v>325</v>
      </c>
      <c r="E736" s="2">
        <v>24</v>
      </c>
      <c r="F736" s="8">
        <v>40513.478472222225</v>
      </c>
      <c r="G736" s="2">
        <v>1.25</v>
      </c>
      <c r="H736" s="2">
        <v>16218</v>
      </c>
      <c r="I736" s="2" t="s">
        <v>10</v>
      </c>
      <c r="J736" s="2">
        <f>ABS(DF_2[[#This Row],[Quantity_BEFORE]])</f>
        <v>24</v>
      </c>
      <c r="K736" s="2">
        <f>DF_2[[#This Row],[QUANTITY]]*DF_2[[#This Row],[UnitPrice]]</f>
        <v>30</v>
      </c>
    </row>
    <row r="737" spans="2:11" x14ac:dyDescent="0.25">
      <c r="B737" s="2">
        <v>536446</v>
      </c>
      <c r="C737" s="2">
        <v>22294</v>
      </c>
      <c r="D737" s="2" t="s">
        <v>526</v>
      </c>
      <c r="E737" s="2">
        <v>24</v>
      </c>
      <c r="F737" s="8">
        <v>40513.510416666664</v>
      </c>
      <c r="G737" s="2">
        <v>1.25</v>
      </c>
      <c r="H737" s="2">
        <v>15983</v>
      </c>
      <c r="I737" s="2" t="s">
        <v>10</v>
      </c>
      <c r="J737" s="2">
        <f>ABS(DF_2[[#This Row],[Quantity_BEFORE]])</f>
        <v>24</v>
      </c>
      <c r="K737" s="2">
        <f>DF_2[[#This Row],[QUANTITY]]*DF_2[[#This Row],[UnitPrice]]</f>
        <v>30</v>
      </c>
    </row>
    <row r="738" spans="2:11" x14ac:dyDescent="0.25">
      <c r="B738" s="2">
        <v>536446</v>
      </c>
      <c r="C738" s="2" t="s">
        <v>405</v>
      </c>
      <c r="D738" s="2" t="s">
        <v>406</v>
      </c>
      <c r="E738" s="2">
        <v>24</v>
      </c>
      <c r="F738" s="8">
        <v>40513.510416666664</v>
      </c>
      <c r="G738" s="2">
        <v>1.25</v>
      </c>
      <c r="H738" s="2">
        <v>15983</v>
      </c>
      <c r="I738" s="2" t="s">
        <v>10</v>
      </c>
      <c r="J738" s="2">
        <f>ABS(DF_2[[#This Row],[Quantity_BEFORE]])</f>
        <v>24</v>
      </c>
      <c r="K738" s="2">
        <f>DF_2[[#This Row],[QUANTITY]]*DF_2[[#This Row],[UnitPrice]]</f>
        <v>30</v>
      </c>
    </row>
    <row r="739" spans="2:11" x14ac:dyDescent="0.25">
      <c r="B739" s="2">
        <v>536446</v>
      </c>
      <c r="C739" s="2">
        <v>84754</v>
      </c>
      <c r="D739" s="2" t="s">
        <v>541</v>
      </c>
      <c r="E739" s="2">
        <v>24</v>
      </c>
      <c r="F739" s="8">
        <v>40513.510416666664</v>
      </c>
      <c r="G739" s="2">
        <v>1.25</v>
      </c>
      <c r="H739" s="2">
        <v>15983</v>
      </c>
      <c r="I739" s="2" t="s">
        <v>10</v>
      </c>
      <c r="J739" s="2">
        <f>ABS(DF_2[[#This Row],[Quantity_BEFORE]])</f>
        <v>24</v>
      </c>
      <c r="K739" s="2">
        <f>DF_2[[#This Row],[QUANTITY]]*DF_2[[#This Row],[UnitPrice]]</f>
        <v>30</v>
      </c>
    </row>
    <row r="740" spans="2:11" x14ac:dyDescent="0.25">
      <c r="B740" s="2">
        <v>536460</v>
      </c>
      <c r="C740" s="2">
        <v>21121</v>
      </c>
      <c r="D740" s="2" t="s">
        <v>549</v>
      </c>
      <c r="E740" s="2">
        <v>24</v>
      </c>
      <c r="F740" s="8">
        <v>40513.515277777777</v>
      </c>
      <c r="G740" s="2">
        <v>1.25</v>
      </c>
      <c r="H740" s="2">
        <v>14849</v>
      </c>
      <c r="I740" s="2" t="s">
        <v>10</v>
      </c>
      <c r="J740" s="2">
        <f>ABS(DF_2[[#This Row],[Quantity_BEFORE]])</f>
        <v>24</v>
      </c>
      <c r="K740" s="2">
        <f>DF_2[[#This Row],[QUANTITY]]*DF_2[[#This Row],[UnitPrice]]</f>
        <v>30</v>
      </c>
    </row>
    <row r="741" spans="2:11" x14ac:dyDescent="0.25">
      <c r="B741" s="2">
        <v>536477</v>
      </c>
      <c r="C741" s="2">
        <v>20979</v>
      </c>
      <c r="D741" s="2" t="s">
        <v>608</v>
      </c>
      <c r="E741" s="2">
        <v>16</v>
      </c>
      <c r="F741" s="8">
        <v>40513.518750000003</v>
      </c>
      <c r="G741" s="2">
        <v>1.25</v>
      </c>
      <c r="H741" s="2">
        <v>16210</v>
      </c>
      <c r="I741" s="2" t="s">
        <v>10</v>
      </c>
      <c r="J741" s="2">
        <f>ABS(DF_2[[#This Row],[Quantity_BEFORE]])</f>
        <v>16</v>
      </c>
      <c r="K741" s="2">
        <f>DF_2[[#This Row],[QUANTITY]]*DF_2[[#This Row],[UnitPrice]]</f>
        <v>20</v>
      </c>
    </row>
    <row r="742" spans="2:11" x14ac:dyDescent="0.25">
      <c r="B742" s="2">
        <v>536477</v>
      </c>
      <c r="C742" s="2">
        <v>20977</v>
      </c>
      <c r="D742" s="2" t="s">
        <v>609</v>
      </c>
      <c r="E742" s="2">
        <v>16</v>
      </c>
      <c r="F742" s="8">
        <v>40513.518750000003</v>
      </c>
      <c r="G742" s="2">
        <v>1.25</v>
      </c>
      <c r="H742" s="2">
        <v>16210</v>
      </c>
      <c r="I742" s="2" t="s">
        <v>10</v>
      </c>
      <c r="J742" s="2">
        <f>ABS(DF_2[[#This Row],[Quantity_BEFORE]])</f>
        <v>16</v>
      </c>
      <c r="K742" s="2">
        <f>DF_2[[#This Row],[QUANTITY]]*DF_2[[#This Row],[UnitPrice]]</f>
        <v>20</v>
      </c>
    </row>
    <row r="743" spans="2:11" x14ac:dyDescent="0.25">
      <c r="B743" s="2">
        <v>536385</v>
      </c>
      <c r="C743" s="2" t="s">
        <v>167</v>
      </c>
      <c r="D743" s="2" t="s">
        <v>168</v>
      </c>
      <c r="E743" s="2">
        <v>12</v>
      </c>
      <c r="F743" s="8">
        <v>40513.413888888892</v>
      </c>
      <c r="G743" s="2">
        <v>1.25</v>
      </c>
      <c r="H743" s="2">
        <v>17420</v>
      </c>
      <c r="I743" s="2" t="s">
        <v>10</v>
      </c>
      <c r="J743" s="2">
        <f>ABS(DF_2[[#This Row],[Quantity_BEFORE]])</f>
        <v>12</v>
      </c>
      <c r="K743" s="2">
        <f>DF_2[[#This Row],[QUANTITY]]*DF_2[[#This Row],[UnitPrice]]</f>
        <v>15</v>
      </c>
    </row>
    <row r="744" spans="2:11" x14ac:dyDescent="0.25">
      <c r="B744" s="2">
        <v>536389</v>
      </c>
      <c r="C744" s="2">
        <v>21791</v>
      </c>
      <c r="D744" s="2" t="s">
        <v>46</v>
      </c>
      <c r="E744" s="2">
        <v>12</v>
      </c>
      <c r="F744" s="8">
        <v>40513.418749999997</v>
      </c>
      <c r="G744" s="2">
        <v>1.25</v>
      </c>
      <c r="H744" s="2">
        <v>12431</v>
      </c>
      <c r="I744" s="2" t="s">
        <v>188</v>
      </c>
      <c r="J744" s="2">
        <f>ABS(DF_2[[#This Row],[Quantity_BEFORE]])</f>
        <v>12</v>
      </c>
      <c r="K744" s="2">
        <f>DF_2[[#This Row],[QUANTITY]]*DF_2[[#This Row],[UnitPrice]]</f>
        <v>15</v>
      </c>
    </row>
    <row r="745" spans="2:11" x14ac:dyDescent="0.25">
      <c r="B745" s="2">
        <v>536392</v>
      </c>
      <c r="C745" s="2">
        <v>21891</v>
      </c>
      <c r="D745" s="2" t="s">
        <v>228</v>
      </c>
      <c r="E745" s="2">
        <v>12</v>
      </c>
      <c r="F745" s="8">
        <v>40513.436805555553</v>
      </c>
      <c r="G745" s="2">
        <v>1.25</v>
      </c>
      <c r="H745" s="2">
        <v>13705</v>
      </c>
      <c r="I745" s="2" t="s">
        <v>10</v>
      </c>
      <c r="J745" s="2">
        <f>ABS(DF_2[[#This Row],[Quantity_BEFORE]])</f>
        <v>12</v>
      </c>
      <c r="K745" s="2">
        <f>DF_2[[#This Row],[QUANTITY]]*DF_2[[#This Row],[UnitPrice]]</f>
        <v>15</v>
      </c>
    </row>
    <row r="746" spans="2:11" x14ac:dyDescent="0.25">
      <c r="B746" s="2">
        <v>536392</v>
      </c>
      <c r="C746" s="2">
        <v>21889</v>
      </c>
      <c r="D746" s="2" t="s">
        <v>229</v>
      </c>
      <c r="E746" s="2">
        <v>12</v>
      </c>
      <c r="F746" s="8">
        <v>40513.436805555553</v>
      </c>
      <c r="G746" s="2">
        <v>1.25</v>
      </c>
      <c r="H746" s="2">
        <v>13705</v>
      </c>
      <c r="I746" s="2" t="s">
        <v>10</v>
      </c>
      <c r="J746" s="2">
        <f>ABS(DF_2[[#This Row],[Quantity_BEFORE]])</f>
        <v>12</v>
      </c>
      <c r="K746" s="2">
        <f>DF_2[[#This Row],[QUANTITY]]*DF_2[[#This Row],[UnitPrice]]</f>
        <v>15</v>
      </c>
    </row>
    <row r="747" spans="2:11" x14ac:dyDescent="0.25">
      <c r="B747" s="2">
        <v>536392</v>
      </c>
      <c r="C747" s="2">
        <v>22127</v>
      </c>
      <c r="D747" s="2" t="s">
        <v>231</v>
      </c>
      <c r="E747" s="2">
        <v>12</v>
      </c>
      <c r="F747" s="8">
        <v>40513.436805555553</v>
      </c>
      <c r="G747" s="2">
        <v>1.25</v>
      </c>
      <c r="H747" s="2">
        <v>13705</v>
      </c>
      <c r="I747" s="2" t="s">
        <v>10</v>
      </c>
      <c r="J747" s="2">
        <f>ABS(DF_2[[#This Row],[Quantity_BEFORE]])</f>
        <v>12</v>
      </c>
      <c r="K747" s="2">
        <f>DF_2[[#This Row],[QUANTITY]]*DF_2[[#This Row],[UnitPrice]]</f>
        <v>15</v>
      </c>
    </row>
    <row r="748" spans="2:11" x14ac:dyDescent="0.25">
      <c r="B748" s="2">
        <v>536392</v>
      </c>
      <c r="C748" s="2">
        <v>22128</v>
      </c>
      <c r="D748" s="2" t="s">
        <v>232</v>
      </c>
      <c r="E748" s="2">
        <v>12</v>
      </c>
      <c r="F748" s="8">
        <v>40513.436805555553</v>
      </c>
      <c r="G748" s="2">
        <v>1.25</v>
      </c>
      <c r="H748" s="2">
        <v>13705</v>
      </c>
      <c r="I748" s="2" t="s">
        <v>10</v>
      </c>
      <c r="J748" s="2">
        <f>ABS(DF_2[[#This Row],[Quantity_BEFORE]])</f>
        <v>12</v>
      </c>
      <c r="K748" s="2">
        <f>DF_2[[#This Row],[QUANTITY]]*DF_2[[#This Row],[UnitPrice]]</f>
        <v>15</v>
      </c>
    </row>
    <row r="749" spans="2:11" x14ac:dyDescent="0.25">
      <c r="B749" s="2">
        <v>536398</v>
      </c>
      <c r="C749" s="2">
        <v>21232</v>
      </c>
      <c r="D749" s="2" t="s">
        <v>255</v>
      </c>
      <c r="E749" s="2">
        <v>12</v>
      </c>
      <c r="F749" s="8">
        <v>40513.452777777777</v>
      </c>
      <c r="G749" s="2">
        <v>1.25</v>
      </c>
      <c r="H749" s="2">
        <v>13448</v>
      </c>
      <c r="I749" s="2" t="s">
        <v>10</v>
      </c>
      <c r="J749" s="2">
        <f>ABS(DF_2[[#This Row],[Quantity_BEFORE]])</f>
        <v>12</v>
      </c>
      <c r="K749" s="2">
        <f>DF_2[[#This Row],[QUANTITY]]*DF_2[[#This Row],[UnitPrice]]</f>
        <v>15</v>
      </c>
    </row>
    <row r="750" spans="2:11" x14ac:dyDescent="0.25">
      <c r="B750" s="2">
        <v>536404</v>
      </c>
      <c r="C750" s="2">
        <v>22771</v>
      </c>
      <c r="D750" s="2" t="s">
        <v>107</v>
      </c>
      <c r="E750" s="2">
        <v>12</v>
      </c>
      <c r="F750" s="8">
        <v>40513.478472222225</v>
      </c>
      <c r="G750" s="2">
        <v>1.25</v>
      </c>
      <c r="H750" s="2">
        <v>16218</v>
      </c>
      <c r="I750" s="2" t="s">
        <v>10</v>
      </c>
      <c r="J750" s="2">
        <f>ABS(DF_2[[#This Row],[Quantity_BEFORE]])</f>
        <v>12</v>
      </c>
      <c r="K750" s="2">
        <f>DF_2[[#This Row],[QUANTITY]]*DF_2[[#This Row],[UnitPrice]]</f>
        <v>15</v>
      </c>
    </row>
    <row r="751" spans="2:11" x14ac:dyDescent="0.25">
      <c r="B751" s="2">
        <v>536404</v>
      </c>
      <c r="C751" s="2">
        <v>22772</v>
      </c>
      <c r="D751" s="2" t="s">
        <v>326</v>
      </c>
      <c r="E751" s="2">
        <v>12</v>
      </c>
      <c r="F751" s="8">
        <v>40513.478472222225</v>
      </c>
      <c r="G751" s="2">
        <v>1.25</v>
      </c>
      <c r="H751" s="2">
        <v>16218</v>
      </c>
      <c r="I751" s="2" t="s">
        <v>10</v>
      </c>
      <c r="J751" s="2">
        <f>ABS(DF_2[[#This Row],[Quantity_BEFORE]])</f>
        <v>12</v>
      </c>
      <c r="K751" s="2">
        <f>DF_2[[#This Row],[QUANTITY]]*DF_2[[#This Row],[UnitPrice]]</f>
        <v>15</v>
      </c>
    </row>
    <row r="752" spans="2:11" x14ac:dyDescent="0.25">
      <c r="B752" s="2">
        <v>536404</v>
      </c>
      <c r="C752" s="2">
        <v>22773</v>
      </c>
      <c r="D752" s="2" t="s">
        <v>327</v>
      </c>
      <c r="E752" s="2">
        <v>12</v>
      </c>
      <c r="F752" s="8">
        <v>40513.478472222225</v>
      </c>
      <c r="G752" s="2">
        <v>1.25</v>
      </c>
      <c r="H752" s="2">
        <v>16218</v>
      </c>
      <c r="I752" s="2" t="s">
        <v>10</v>
      </c>
      <c r="J752" s="2">
        <f>ABS(DF_2[[#This Row],[Quantity_BEFORE]])</f>
        <v>12</v>
      </c>
      <c r="K752" s="2">
        <f>DF_2[[#This Row],[QUANTITY]]*DF_2[[#This Row],[UnitPrice]]</f>
        <v>15</v>
      </c>
    </row>
    <row r="753" spans="2:11" x14ac:dyDescent="0.25">
      <c r="B753" s="2">
        <v>536404</v>
      </c>
      <c r="C753" s="2">
        <v>22805</v>
      </c>
      <c r="D753" s="2" t="s">
        <v>328</v>
      </c>
      <c r="E753" s="2">
        <v>12</v>
      </c>
      <c r="F753" s="8">
        <v>40513.478472222225</v>
      </c>
      <c r="G753" s="2">
        <v>1.25</v>
      </c>
      <c r="H753" s="2">
        <v>16218</v>
      </c>
      <c r="I753" s="2" t="s">
        <v>10</v>
      </c>
      <c r="J753" s="2">
        <f>ABS(DF_2[[#This Row],[Quantity_BEFORE]])</f>
        <v>12</v>
      </c>
      <c r="K753" s="2">
        <f>DF_2[[#This Row],[QUANTITY]]*DF_2[[#This Row],[UnitPrice]]</f>
        <v>15</v>
      </c>
    </row>
    <row r="754" spans="2:11" x14ac:dyDescent="0.25">
      <c r="B754" s="2">
        <v>536404</v>
      </c>
      <c r="C754" s="2">
        <v>21125</v>
      </c>
      <c r="D754" s="2" t="s">
        <v>329</v>
      </c>
      <c r="E754" s="2">
        <v>12</v>
      </c>
      <c r="F754" s="8">
        <v>40513.478472222225</v>
      </c>
      <c r="G754" s="2">
        <v>1.25</v>
      </c>
      <c r="H754" s="2">
        <v>16218</v>
      </c>
      <c r="I754" s="2" t="s">
        <v>10</v>
      </c>
      <c r="J754" s="2">
        <f>ABS(DF_2[[#This Row],[Quantity_BEFORE]])</f>
        <v>12</v>
      </c>
      <c r="K754" s="2">
        <f>DF_2[[#This Row],[QUANTITY]]*DF_2[[#This Row],[UnitPrice]]</f>
        <v>15</v>
      </c>
    </row>
    <row r="755" spans="2:11" x14ac:dyDescent="0.25">
      <c r="B755" s="2">
        <v>536404</v>
      </c>
      <c r="C755" s="2">
        <v>21126</v>
      </c>
      <c r="D755" s="2" t="s">
        <v>330</v>
      </c>
      <c r="E755" s="2">
        <v>12</v>
      </c>
      <c r="F755" s="8">
        <v>40513.478472222225</v>
      </c>
      <c r="G755" s="2">
        <v>1.25</v>
      </c>
      <c r="H755" s="2">
        <v>16218</v>
      </c>
      <c r="I755" s="2" t="s">
        <v>10</v>
      </c>
      <c r="J755" s="2">
        <f>ABS(DF_2[[#This Row],[Quantity_BEFORE]])</f>
        <v>12</v>
      </c>
      <c r="K755" s="2">
        <f>DF_2[[#This Row],[QUANTITY]]*DF_2[[#This Row],[UnitPrice]]</f>
        <v>15</v>
      </c>
    </row>
    <row r="756" spans="2:11" x14ac:dyDescent="0.25">
      <c r="B756" s="2">
        <v>536404</v>
      </c>
      <c r="C756" s="2" t="s">
        <v>331</v>
      </c>
      <c r="D756" s="2" t="s">
        <v>332</v>
      </c>
      <c r="E756" s="2">
        <v>12</v>
      </c>
      <c r="F756" s="8">
        <v>40513.478472222225</v>
      </c>
      <c r="G756" s="2">
        <v>1.25</v>
      </c>
      <c r="H756" s="2">
        <v>16218</v>
      </c>
      <c r="I756" s="2" t="s">
        <v>10</v>
      </c>
      <c r="J756" s="2">
        <f>ABS(DF_2[[#This Row],[Quantity_BEFORE]])</f>
        <v>12</v>
      </c>
      <c r="K756" s="2">
        <f>DF_2[[#This Row],[QUANTITY]]*DF_2[[#This Row],[UnitPrice]]</f>
        <v>15</v>
      </c>
    </row>
    <row r="757" spans="2:11" x14ac:dyDescent="0.25">
      <c r="B757" s="2">
        <v>536404</v>
      </c>
      <c r="C757" s="2" t="s">
        <v>333</v>
      </c>
      <c r="D757" s="2" t="s">
        <v>334</v>
      </c>
      <c r="E757" s="2">
        <v>12</v>
      </c>
      <c r="F757" s="8">
        <v>40513.478472222225</v>
      </c>
      <c r="G757" s="2">
        <v>1.25</v>
      </c>
      <c r="H757" s="2">
        <v>16218</v>
      </c>
      <c r="I757" s="2" t="s">
        <v>10</v>
      </c>
      <c r="J757" s="2">
        <f>ABS(DF_2[[#This Row],[Quantity_BEFORE]])</f>
        <v>12</v>
      </c>
      <c r="K757" s="2">
        <f>DF_2[[#This Row],[QUANTITY]]*DF_2[[#This Row],[UnitPrice]]</f>
        <v>15</v>
      </c>
    </row>
    <row r="758" spans="2:11" x14ac:dyDescent="0.25">
      <c r="B758" s="2">
        <v>536404</v>
      </c>
      <c r="C758" s="2" t="s">
        <v>269</v>
      </c>
      <c r="D758" s="2" t="s">
        <v>270</v>
      </c>
      <c r="E758" s="2">
        <v>12</v>
      </c>
      <c r="F758" s="8">
        <v>40513.478472222225</v>
      </c>
      <c r="G758" s="2">
        <v>1.25</v>
      </c>
      <c r="H758" s="2">
        <v>16218</v>
      </c>
      <c r="I758" s="2" t="s">
        <v>10</v>
      </c>
      <c r="J758" s="2">
        <f>ABS(DF_2[[#This Row],[Quantity_BEFORE]])</f>
        <v>12</v>
      </c>
      <c r="K758" s="2">
        <f>DF_2[[#This Row],[QUANTITY]]*DF_2[[#This Row],[UnitPrice]]</f>
        <v>15</v>
      </c>
    </row>
    <row r="759" spans="2:11" x14ac:dyDescent="0.25">
      <c r="B759" s="2">
        <v>536404</v>
      </c>
      <c r="C759" s="2" t="s">
        <v>335</v>
      </c>
      <c r="D759" s="2" t="s">
        <v>336</v>
      </c>
      <c r="E759" s="2">
        <v>12</v>
      </c>
      <c r="F759" s="8">
        <v>40513.478472222225</v>
      </c>
      <c r="G759" s="2">
        <v>1.25</v>
      </c>
      <c r="H759" s="2">
        <v>16218</v>
      </c>
      <c r="I759" s="2" t="s">
        <v>10</v>
      </c>
      <c r="J759" s="2">
        <f>ABS(DF_2[[#This Row],[Quantity_BEFORE]])</f>
        <v>12</v>
      </c>
      <c r="K759" s="2">
        <f>DF_2[[#This Row],[QUANTITY]]*DF_2[[#This Row],[UnitPrice]]</f>
        <v>15</v>
      </c>
    </row>
    <row r="760" spans="2:11" x14ac:dyDescent="0.25">
      <c r="B760" s="2">
        <v>536404</v>
      </c>
      <c r="C760" s="2">
        <v>84380</v>
      </c>
      <c r="D760" s="2" t="s">
        <v>340</v>
      </c>
      <c r="E760" s="2">
        <v>12</v>
      </c>
      <c r="F760" s="8">
        <v>40513.478472222225</v>
      </c>
      <c r="G760" s="2">
        <v>1.25</v>
      </c>
      <c r="H760" s="2">
        <v>16218</v>
      </c>
      <c r="I760" s="2" t="s">
        <v>10</v>
      </c>
      <c r="J760" s="2">
        <f>ABS(DF_2[[#This Row],[Quantity_BEFORE]])</f>
        <v>12</v>
      </c>
      <c r="K760" s="2">
        <f>DF_2[[#This Row],[QUANTITY]]*DF_2[[#This Row],[UnitPrice]]</f>
        <v>15</v>
      </c>
    </row>
    <row r="761" spans="2:11" x14ac:dyDescent="0.25">
      <c r="B761" s="2">
        <v>536404</v>
      </c>
      <c r="C761" s="2">
        <v>84378</v>
      </c>
      <c r="D761" s="2" t="s">
        <v>341</v>
      </c>
      <c r="E761" s="2">
        <v>12</v>
      </c>
      <c r="F761" s="8">
        <v>40513.478472222225</v>
      </c>
      <c r="G761" s="2">
        <v>1.25</v>
      </c>
      <c r="H761" s="2">
        <v>16218</v>
      </c>
      <c r="I761" s="2" t="s">
        <v>10</v>
      </c>
      <c r="J761" s="2">
        <f>ABS(DF_2[[#This Row],[Quantity_BEFORE]])</f>
        <v>12</v>
      </c>
      <c r="K761" s="2">
        <f>DF_2[[#This Row],[QUANTITY]]*DF_2[[#This Row],[UnitPrice]]</f>
        <v>15</v>
      </c>
    </row>
    <row r="762" spans="2:11" x14ac:dyDescent="0.25">
      <c r="B762" s="2">
        <v>536408</v>
      </c>
      <c r="C762" s="2">
        <v>21915</v>
      </c>
      <c r="D762" s="2" t="s">
        <v>354</v>
      </c>
      <c r="E762" s="2">
        <v>12</v>
      </c>
      <c r="F762" s="8">
        <v>40513.486805555556</v>
      </c>
      <c r="G762" s="2">
        <v>1.25</v>
      </c>
      <c r="H762" s="2">
        <v>14307</v>
      </c>
      <c r="I762" s="2" t="s">
        <v>10</v>
      </c>
      <c r="J762" s="2">
        <f>ABS(DF_2[[#This Row],[Quantity_BEFORE]])</f>
        <v>12</v>
      </c>
      <c r="K762" s="2">
        <f>DF_2[[#This Row],[QUANTITY]]*DF_2[[#This Row],[UnitPrice]]</f>
        <v>15</v>
      </c>
    </row>
    <row r="763" spans="2:11" x14ac:dyDescent="0.25">
      <c r="B763" s="2">
        <v>536408</v>
      </c>
      <c r="C763" s="2">
        <v>21914</v>
      </c>
      <c r="D763" s="2" t="s">
        <v>355</v>
      </c>
      <c r="E763" s="2">
        <v>12</v>
      </c>
      <c r="F763" s="8">
        <v>40513.486805555556</v>
      </c>
      <c r="G763" s="2">
        <v>1.25</v>
      </c>
      <c r="H763" s="2">
        <v>14307</v>
      </c>
      <c r="I763" s="2" t="s">
        <v>10</v>
      </c>
      <c r="J763" s="2">
        <f>ABS(DF_2[[#This Row],[Quantity_BEFORE]])</f>
        <v>12</v>
      </c>
      <c r="K763" s="2">
        <f>DF_2[[#This Row],[QUANTITY]]*DF_2[[#This Row],[UnitPrice]]</f>
        <v>15</v>
      </c>
    </row>
    <row r="764" spans="2:11" x14ac:dyDescent="0.25">
      <c r="B764" s="2">
        <v>536408</v>
      </c>
      <c r="C764" s="2">
        <v>22178</v>
      </c>
      <c r="D764" s="2" t="s">
        <v>360</v>
      </c>
      <c r="E764" s="2">
        <v>12</v>
      </c>
      <c r="F764" s="8">
        <v>40513.486805555556</v>
      </c>
      <c r="G764" s="2">
        <v>1.25</v>
      </c>
      <c r="H764" s="2">
        <v>14307</v>
      </c>
      <c r="I764" s="2" t="s">
        <v>10</v>
      </c>
      <c r="J764" s="2">
        <f>ABS(DF_2[[#This Row],[Quantity_BEFORE]])</f>
        <v>12</v>
      </c>
      <c r="K764" s="2">
        <f>DF_2[[#This Row],[QUANTITY]]*DF_2[[#This Row],[UnitPrice]]</f>
        <v>15</v>
      </c>
    </row>
    <row r="765" spans="2:11" x14ac:dyDescent="0.25">
      <c r="B765" s="2">
        <v>536408</v>
      </c>
      <c r="C765" s="2">
        <v>22620</v>
      </c>
      <c r="D765" s="2" t="s">
        <v>379</v>
      </c>
      <c r="E765" s="2">
        <v>12</v>
      </c>
      <c r="F765" s="8">
        <v>40513.486805555556</v>
      </c>
      <c r="G765" s="2">
        <v>1.25</v>
      </c>
      <c r="H765" s="2">
        <v>14307</v>
      </c>
      <c r="I765" s="2" t="s">
        <v>10</v>
      </c>
      <c r="J765" s="2">
        <f>ABS(DF_2[[#This Row],[Quantity_BEFORE]])</f>
        <v>12</v>
      </c>
      <c r="K765" s="2">
        <f>DF_2[[#This Row],[QUANTITY]]*DF_2[[#This Row],[UnitPrice]]</f>
        <v>15</v>
      </c>
    </row>
    <row r="766" spans="2:11" x14ac:dyDescent="0.25">
      <c r="B766" s="2">
        <v>536409</v>
      </c>
      <c r="C766" s="2" t="s">
        <v>405</v>
      </c>
      <c r="D766" s="2" t="s">
        <v>406</v>
      </c>
      <c r="E766" s="2">
        <v>12</v>
      </c>
      <c r="F766" s="8">
        <v>40513.489583333336</v>
      </c>
      <c r="G766" s="2">
        <v>1.25</v>
      </c>
      <c r="H766" s="2">
        <v>17908</v>
      </c>
      <c r="I766" s="2" t="s">
        <v>10</v>
      </c>
      <c r="J766" s="2">
        <f>ABS(DF_2[[#This Row],[Quantity_BEFORE]])</f>
        <v>12</v>
      </c>
      <c r="K766" s="2">
        <f>DF_2[[#This Row],[QUANTITY]]*DF_2[[#This Row],[UnitPrice]]</f>
        <v>15</v>
      </c>
    </row>
    <row r="767" spans="2:11" x14ac:dyDescent="0.25">
      <c r="B767" s="2">
        <v>536412</v>
      </c>
      <c r="C767" s="2" t="s">
        <v>269</v>
      </c>
      <c r="D767" s="2" t="s">
        <v>270</v>
      </c>
      <c r="E767" s="2">
        <v>12</v>
      </c>
      <c r="F767" s="8">
        <v>40513.492361111108</v>
      </c>
      <c r="G767" s="2">
        <v>1.25</v>
      </c>
      <c r="H767" s="2">
        <v>17920</v>
      </c>
      <c r="I767" s="2" t="s">
        <v>10</v>
      </c>
      <c r="J767" s="2">
        <f>ABS(DF_2[[#This Row],[Quantity_BEFORE]])</f>
        <v>12</v>
      </c>
      <c r="K767" s="2">
        <f>DF_2[[#This Row],[QUANTITY]]*DF_2[[#This Row],[UnitPrice]]</f>
        <v>15</v>
      </c>
    </row>
    <row r="768" spans="2:11" x14ac:dyDescent="0.25">
      <c r="B768" s="2">
        <v>536416</v>
      </c>
      <c r="C768" s="2">
        <v>21494</v>
      </c>
      <c r="D768" s="2" t="s">
        <v>499</v>
      </c>
      <c r="E768" s="2">
        <v>12</v>
      </c>
      <c r="F768" s="8">
        <v>40513.498611111114</v>
      </c>
      <c r="G768" s="2">
        <v>1.25</v>
      </c>
      <c r="H768" s="2">
        <v>13255</v>
      </c>
      <c r="I768" s="2" t="s">
        <v>10</v>
      </c>
      <c r="J768" s="2">
        <f>ABS(DF_2[[#This Row],[Quantity_BEFORE]])</f>
        <v>12</v>
      </c>
      <c r="K768" s="2">
        <f>DF_2[[#This Row],[QUANTITY]]*DF_2[[#This Row],[UnitPrice]]</f>
        <v>15</v>
      </c>
    </row>
    <row r="769" spans="2:11" x14ac:dyDescent="0.25">
      <c r="B769" s="2">
        <v>536420</v>
      </c>
      <c r="C769" s="2">
        <v>21889</v>
      </c>
      <c r="D769" s="2" t="s">
        <v>229</v>
      </c>
      <c r="E769" s="2">
        <v>12</v>
      </c>
      <c r="F769" s="8">
        <v>40513.502083333333</v>
      </c>
      <c r="G769" s="2">
        <v>1.25</v>
      </c>
      <c r="H769" s="2">
        <v>16583</v>
      </c>
      <c r="I769" s="2" t="s">
        <v>10</v>
      </c>
      <c r="J769" s="2">
        <f>ABS(DF_2[[#This Row],[Quantity_BEFORE]])</f>
        <v>12</v>
      </c>
      <c r="K769" s="2">
        <f>DF_2[[#This Row],[QUANTITY]]*DF_2[[#This Row],[UnitPrice]]</f>
        <v>15</v>
      </c>
    </row>
    <row r="770" spans="2:11" x14ac:dyDescent="0.25">
      <c r="B770" s="2">
        <v>536420</v>
      </c>
      <c r="C770" s="2">
        <v>21892</v>
      </c>
      <c r="D770" s="2" t="s">
        <v>501</v>
      </c>
      <c r="E770" s="2">
        <v>12</v>
      </c>
      <c r="F770" s="8">
        <v>40513.502083333333</v>
      </c>
      <c r="G770" s="2">
        <v>1.25</v>
      </c>
      <c r="H770" s="2">
        <v>16583</v>
      </c>
      <c r="I770" s="2" t="s">
        <v>10</v>
      </c>
      <c r="J770" s="2">
        <f>ABS(DF_2[[#This Row],[Quantity_BEFORE]])</f>
        <v>12</v>
      </c>
      <c r="K770" s="2">
        <f>DF_2[[#This Row],[QUANTITY]]*DF_2[[#This Row],[UnitPrice]]</f>
        <v>15</v>
      </c>
    </row>
    <row r="771" spans="2:11" x14ac:dyDescent="0.25">
      <c r="B771" s="2">
        <v>536420</v>
      </c>
      <c r="C771" s="2">
        <v>21891</v>
      </c>
      <c r="D771" s="2" t="s">
        <v>228</v>
      </c>
      <c r="E771" s="2">
        <v>12</v>
      </c>
      <c r="F771" s="8">
        <v>40513.502083333333</v>
      </c>
      <c r="G771" s="2">
        <v>1.25</v>
      </c>
      <c r="H771" s="2">
        <v>16583</v>
      </c>
      <c r="I771" s="2" t="s">
        <v>10</v>
      </c>
      <c r="J771" s="2">
        <f>ABS(DF_2[[#This Row],[Quantity_BEFORE]])</f>
        <v>12</v>
      </c>
      <c r="K771" s="2">
        <f>DF_2[[#This Row],[QUANTITY]]*DF_2[[#This Row],[UnitPrice]]</f>
        <v>15</v>
      </c>
    </row>
    <row r="772" spans="2:11" x14ac:dyDescent="0.25">
      <c r="B772" s="2">
        <v>536420</v>
      </c>
      <c r="C772" s="2">
        <v>21718</v>
      </c>
      <c r="D772" s="2" t="s">
        <v>503</v>
      </c>
      <c r="E772" s="2">
        <v>12</v>
      </c>
      <c r="F772" s="8">
        <v>40513.502083333333</v>
      </c>
      <c r="G772" s="2">
        <v>1.25</v>
      </c>
      <c r="H772" s="2">
        <v>16583</v>
      </c>
      <c r="I772" s="2" t="s">
        <v>10</v>
      </c>
      <c r="J772" s="2">
        <f>ABS(DF_2[[#This Row],[Quantity_BEFORE]])</f>
        <v>12</v>
      </c>
      <c r="K772" s="2">
        <f>DF_2[[#This Row],[QUANTITY]]*DF_2[[#This Row],[UnitPrice]]</f>
        <v>15</v>
      </c>
    </row>
    <row r="773" spans="2:11" x14ac:dyDescent="0.25">
      <c r="B773" s="2">
        <v>536425</v>
      </c>
      <c r="C773" s="2">
        <v>22585</v>
      </c>
      <c r="D773" s="2" t="s">
        <v>511</v>
      </c>
      <c r="E773" s="2">
        <v>12</v>
      </c>
      <c r="F773" s="8">
        <v>40513.505555555559</v>
      </c>
      <c r="G773" s="2">
        <v>1.25</v>
      </c>
      <c r="H773" s="2">
        <v>13758</v>
      </c>
      <c r="I773" s="2" t="s">
        <v>10</v>
      </c>
      <c r="J773" s="2">
        <f>ABS(DF_2[[#This Row],[Quantity_BEFORE]])</f>
        <v>12</v>
      </c>
      <c r="K773" s="2">
        <f>DF_2[[#This Row],[QUANTITY]]*DF_2[[#This Row],[UnitPrice]]</f>
        <v>15</v>
      </c>
    </row>
    <row r="774" spans="2:11" x14ac:dyDescent="0.25">
      <c r="B774" s="2">
        <v>536446</v>
      </c>
      <c r="C774" s="2">
        <v>22480</v>
      </c>
      <c r="D774" s="2" t="s">
        <v>525</v>
      </c>
      <c r="E774" s="2">
        <v>12</v>
      </c>
      <c r="F774" s="8">
        <v>40513.510416666664</v>
      </c>
      <c r="G774" s="2">
        <v>1.25</v>
      </c>
      <c r="H774" s="2">
        <v>15983</v>
      </c>
      <c r="I774" s="2" t="s">
        <v>10</v>
      </c>
      <c r="J774" s="2">
        <f>ABS(DF_2[[#This Row],[Quantity_BEFORE]])</f>
        <v>12</v>
      </c>
      <c r="K774" s="2">
        <f>DF_2[[#This Row],[QUANTITY]]*DF_2[[#This Row],[UnitPrice]]</f>
        <v>15</v>
      </c>
    </row>
    <row r="775" spans="2:11" x14ac:dyDescent="0.25">
      <c r="B775" s="2">
        <v>536446</v>
      </c>
      <c r="C775" s="2">
        <v>84836</v>
      </c>
      <c r="D775" s="2" t="s">
        <v>531</v>
      </c>
      <c r="E775" s="2">
        <v>12</v>
      </c>
      <c r="F775" s="8">
        <v>40513.510416666664</v>
      </c>
      <c r="G775" s="2">
        <v>1.25</v>
      </c>
      <c r="H775" s="2">
        <v>15983</v>
      </c>
      <c r="I775" s="2" t="s">
        <v>10</v>
      </c>
      <c r="J775" s="2">
        <f>ABS(DF_2[[#This Row],[Quantity_BEFORE]])</f>
        <v>12</v>
      </c>
      <c r="K775" s="2">
        <f>DF_2[[#This Row],[QUANTITY]]*DF_2[[#This Row],[UnitPrice]]</f>
        <v>15</v>
      </c>
    </row>
    <row r="776" spans="2:11" x14ac:dyDescent="0.25">
      <c r="B776" s="2">
        <v>536460</v>
      </c>
      <c r="C776" s="2">
        <v>22670</v>
      </c>
      <c r="D776" s="2" t="s">
        <v>542</v>
      </c>
      <c r="E776" s="2">
        <v>12</v>
      </c>
      <c r="F776" s="8">
        <v>40513.515277777777</v>
      </c>
      <c r="G776" s="2">
        <v>1.25</v>
      </c>
      <c r="H776" s="2">
        <v>14849</v>
      </c>
      <c r="I776" s="2" t="s">
        <v>10</v>
      </c>
      <c r="J776" s="2">
        <f>ABS(DF_2[[#This Row],[Quantity_BEFORE]])</f>
        <v>12</v>
      </c>
      <c r="K776" s="2">
        <f>DF_2[[#This Row],[QUANTITY]]*DF_2[[#This Row],[UnitPrice]]</f>
        <v>15</v>
      </c>
    </row>
    <row r="777" spans="2:11" x14ac:dyDescent="0.25">
      <c r="B777" s="2">
        <v>536381</v>
      </c>
      <c r="C777" s="2">
        <v>21672</v>
      </c>
      <c r="D777" s="2" t="s">
        <v>105</v>
      </c>
      <c r="E777" s="2">
        <v>6</v>
      </c>
      <c r="F777" s="8">
        <v>40513.40347222222</v>
      </c>
      <c r="G777" s="2">
        <v>1.25</v>
      </c>
      <c r="H777" s="2">
        <v>15311</v>
      </c>
      <c r="I777" s="2" t="s">
        <v>10</v>
      </c>
      <c r="J777" s="2">
        <f>ABS(DF_2[[#This Row],[Quantity_BEFORE]])</f>
        <v>6</v>
      </c>
      <c r="K777" s="2">
        <f>DF_2[[#This Row],[QUANTITY]]*DF_2[[#This Row],[UnitPrice]]</f>
        <v>7.5</v>
      </c>
    </row>
    <row r="778" spans="2:11" x14ac:dyDescent="0.25">
      <c r="B778" s="2">
        <v>536412</v>
      </c>
      <c r="C778" s="2">
        <v>22988</v>
      </c>
      <c r="D778" s="2" t="s">
        <v>454</v>
      </c>
      <c r="E778" s="2">
        <v>6</v>
      </c>
      <c r="F778" s="8">
        <v>40513.492361111108</v>
      </c>
      <c r="G778" s="2">
        <v>1.25</v>
      </c>
      <c r="H778" s="2">
        <v>17920</v>
      </c>
      <c r="I778" s="2" t="s">
        <v>10</v>
      </c>
      <c r="J778" s="2">
        <f>ABS(DF_2[[#This Row],[Quantity_BEFORE]])</f>
        <v>6</v>
      </c>
      <c r="K778" s="2">
        <f>DF_2[[#This Row],[QUANTITY]]*DF_2[[#This Row],[UnitPrice]]</f>
        <v>7.5</v>
      </c>
    </row>
    <row r="779" spans="2:11" x14ac:dyDescent="0.25">
      <c r="B779" s="2">
        <v>536446</v>
      </c>
      <c r="C779" s="2">
        <v>21591</v>
      </c>
      <c r="D779" s="2" t="s">
        <v>524</v>
      </c>
      <c r="E779" s="2">
        <v>6</v>
      </c>
      <c r="F779" s="8">
        <v>40513.510416666664</v>
      </c>
      <c r="G779" s="2">
        <v>1.25</v>
      </c>
      <c r="H779" s="2">
        <v>15983</v>
      </c>
      <c r="I779" s="2" t="s">
        <v>10</v>
      </c>
      <c r="J779" s="2">
        <f>ABS(DF_2[[#This Row],[Quantity_BEFORE]])</f>
        <v>6</v>
      </c>
      <c r="K779" s="2">
        <f>DF_2[[#This Row],[QUANTITY]]*DF_2[[#This Row],[UnitPrice]]</f>
        <v>7.5</v>
      </c>
    </row>
    <row r="780" spans="2:11" x14ac:dyDescent="0.25">
      <c r="B780" s="2">
        <v>536446</v>
      </c>
      <c r="C780" s="2">
        <v>22620</v>
      </c>
      <c r="D780" s="2" t="s">
        <v>379</v>
      </c>
      <c r="E780" s="2">
        <v>6</v>
      </c>
      <c r="F780" s="8">
        <v>40513.510416666664</v>
      </c>
      <c r="G780" s="2">
        <v>1.25</v>
      </c>
      <c r="H780" s="2">
        <v>15983</v>
      </c>
      <c r="I780" s="2" t="s">
        <v>10</v>
      </c>
      <c r="J780" s="2">
        <f>ABS(DF_2[[#This Row],[Quantity_BEFORE]])</f>
        <v>6</v>
      </c>
      <c r="K780" s="2">
        <f>DF_2[[#This Row],[QUANTITY]]*DF_2[[#This Row],[UnitPrice]]</f>
        <v>7.5</v>
      </c>
    </row>
    <row r="781" spans="2:11" x14ac:dyDescent="0.25">
      <c r="B781" s="2">
        <v>536381</v>
      </c>
      <c r="C781" s="2">
        <v>71270</v>
      </c>
      <c r="D781" s="2" t="s">
        <v>108</v>
      </c>
      <c r="E781" s="2">
        <v>3</v>
      </c>
      <c r="F781" s="8">
        <v>40513.40347222222</v>
      </c>
      <c r="G781" s="2">
        <v>1.25</v>
      </c>
      <c r="H781" s="2">
        <v>15311</v>
      </c>
      <c r="I781" s="2" t="s">
        <v>10</v>
      </c>
      <c r="J781" s="2">
        <f>ABS(DF_2[[#This Row],[Quantity_BEFORE]])</f>
        <v>3</v>
      </c>
      <c r="K781" s="2">
        <f>DF_2[[#This Row],[QUANTITY]]*DF_2[[#This Row],[UnitPrice]]</f>
        <v>3.75</v>
      </c>
    </row>
    <row r="782" spans="2:11" x14ac:dyDescent="0.25">
      <c r="B782" s="2">
        <v>536401</v>
      </c>
      <c r="C782" s="2">
        <v>20966</v>
      </c>
      <c r="D782" s="2" t="s">
        <v>298</v>
      </c>
      <c r="E782" s="2">
        <v>3</v>
      </c>
      <c r="F782" s="8">
        <v>40513.472916666666</v>
      </c>
      <c r="G782" s="2">
        <v>1.25</v>
      </c>
      <c r="H782" s="2">
        <v>15862</v>
      </c>
      <c r="I782" s="2" t="s">
        <v>10</v>
      </c>
      <c r="J782" s="2">
        <f>ABS(DF_2[[#This Row],[Quantity_BEFORE]])</f>
        <v>3</v>
      </c>
      <c r="K782" s="2">
        <f>DF_2[[#This Row],[QUANTITY]]*DF_2[[#This Row],[UnitPrice]]</f>
        <v>3.75</v>
      </c>
    </row>
    <row r="783" spans="2:11" x14ac:dyDescent="0.25">
      <c r="B783" s="2">
        <v>536412</v>
      </c>
      <c r="C783" s="2" t="s">
        <v>269</v>
      </c>
      <c r="D783" s="2" t="s">
        <v>270</v>
      </c>
      <c r="E783" s="2">
        <v>3</v>
      </c>
      <c r="F783" s="8">
        <v>40513.492361111108</v>
      </c>
      <c r="G783" s="2">
        <v>1.25</v>
      </c>
      <c r="H783" s="2">
        <v>17920</v>
      </c>
      <c r="I783" s="2" t="s">
        <v>10</v>
      </c>
      <c r="J783" s="2">
        <f>ABS(DF_2[[#This Row],[Quantity_BEFORE]])</f>
        <v>3</v>
      </c>
      <c r="K783" s="2">
        <f>DF_2[[#This Row],[QUANTITY]]*DF_2[[#This Row],[UnitPrice]]</f>
        <v>3.75</v>
      </c>
    </row>
    <row r="784" spans="2:11" x14ac:dyDescent="0.25">
      <c r="B784" s="2">
        <v>536415</v>
      </c>
      <c r="C784" s="2">
        <v>21791</v>
      </c>
      <c r="D784" s="2" t="s">
        <v>46</v>
      </c>
      <c r="E784" s="2">
        <v>3</v>
      </c>
      <c r="F784" s="8">
        <v>40513.497916666667</v>
      </c>
      <c r="G784" s="2">
        <v>1.25</v>
      </c>
      <c r="H784" s="2">
        <v>12838</v>
      </c>
      <c r="I784" s="2" t="s">
        <v>10</v>
      </c>
      <c r="J784" s="2">
        <f>ABS(DF_2[[#This Row],[Quantity_BEFORE]])</f>
        <v>3</v>
      </c>
      <c r="K784" s="2">
        <f>DF_2[[#This Row],[QUANTITY]]*DF_2[[#This Row],[UnitPrice]]</f>
        <v>3.75</v>
      </c>
    </row>
    <row r="785" spans="2:11" x14ac:dyDescent="0.25">
      <c r="B785" s="2">
        <v>536464</v>
      </c>
      <c r="C785" s="2">
        <v>22585</v>
      </c>
      <c r="D785" s="2" t="s">
        <v>511</v>
      </c>
      <c r="E785" s="2">
        <v>3</v>
      </c>
      <c r="F785" s="8">
        <v>40513.515972222223</v>
      </c>
      <c r="G785" s="2">
        <v>1.25</v>
      </c>
      <c r="H785" s="2">
        <v>17968</v>
      </c>
      <c r="I785" s="2" t="s">
        <v>10</v>
      </c>
      <c r="J785" s="2">
        <f>ABS(DF_2[[#This Row],[Quantity_BEFORE]])</f>
        <v>3</v>
      </c>
      <c r="K785" s="2">
        <f>DF_2[[#This Row],[QUANTITY]]*DF_2[[#This Row],[UnitPrice]]</f>
        <v>3.75</v>
      </c>
    </row>
    <row r="786" spans="2:11" x14ac:dyDescent="0.25">
      <c r="B786" s="2">
        <v>536488</v>
      </c>
      <c r="C786" s="2">
        <v>21894</v>
      </c>
      <c r="D786" s="2" t="s">
        <v>627</v>
      </c>
      <c r="E786" s="2">
        <v>3</v>
      </c>
      <c r="F786" s="8">
        <v>40513.521527777775</v>
      </c>
      <c r="G786" s="2">
        <v>1.25</v>
      </c>
      <c r="H786" s="2">
        <v>17897</v>
      </c>
      <c r="I786" s="2" t="s">
        <v>10</v>
      </c>
      <c r="J786" s="2">
        <f>ABS(DF_2[[#This Row],[Quantity_BEFORE]])</f>
        <v>3</v>
      </c>
      <c r="K786" s="2">
        <f>DF_2[[#This Row],[QUANTITY]]*DF_2[[#This Row],[UnitPrice]]</f>
        <v>3.75</v>
      </c>
    </row>
    <row r="787" spans="2:11" x14ac:dyDescent="0.25">
      <c r="B787" s="2">
        <v>536401</v>
      </c>
      <c r="C787" s="2">
        <v>22100</v>
      </c>
      <c r="D787" s="2" t="s">
        <v>264</v>
      </c>
      <c r="E787" s="2">
        <v>2</v>
      </c>
      <c r="F787" s="8">
        <v>40513.472916666666</v>
      </c>
      <c r="G787" s="2">
        <v>1.25</v>
      </c>
      <c r="H787" s="2">
        <v>15862</v>
      </c>
      <c r="I787" s="2" t="s">
        <v>10</v>
      </c>
      <c r="J787" s="2">
        <f>ABS(DF_2[[#This Row],[Quantity_BEFORE]])</f>
        <v>2</v>
      </c>
      <c r="K787" s="2">
        <f>DF_2[[#This Row],[QUANTITY]]*DF_2[[#This Row],[UnitPrice]]</f>
        <v>2.5</v>
      </c>
    </row>
    <row r="788" spans="2:11" x14ac:dyDescent="0.25">
      <c r="B788" s="2">
        <v>536401</v>
      </c>
      <c r="C788" s="2" t="s">
        <v>269</v>
      </c>
      <c r="D788" s="2" t="s">
        <v>270</v>
      </c>
      <c r="E788" s="2">
        <v>2</v>
      </c>
      <c r="F788" s="8">
        <v>40513.472916666666</v>
      </c>
      <c r="G788" s="2">
        <v>1.25</v>
      </c>
      <c r="H788" s="2">
        <v>15862</v>
      </c>
      <c r="I788" s="2" t="s">
        <v>10</v>
      </c>
      <c r="J788" s="2">
        <f>ABS(DF_2[[#This Row],[Quantity_BEFORE]])</f>
        <v>2</v>
      </c>
      <c r="K788" s="2">
        <f>DF_2[[#This Row],[QUANTITY]]*DF_2[[#This Row],[UnitPrice]]</f>
        <v>2.5</v>
      </c>
    </row>
    <row r="789" spans="2:11" x14ac:dyDescent="0.25">
      <c r="B789" s="2">
        <v>536401</v>
      </c>
      <c r="C789" s="2" t="s">
        <v>277</v>
      </c>
      <c r="D789" s="2" t="s">
        <v>278</v>
      </c>
      <c r="E789" s="2">
        <v>2</v>
      </c>
      <c r="F789" s="8">
        <v>40513.472916666666</v>
      </c>
      <c r="G789" s="2">
        <v>1.25</v>
      </c>
      <c r="H789" s="2">
        <v>15862</v>
      </c>
      <c r="I789" s="2" t="s">
        <v>10</v>
      </c>
      <c r="J789" s="2">
        <f>ABS(DF_2[[#This Row],[Quantity_BEFORE]])</f>
        <v>2</v>
      </c>
      <c r="K789" s="2">
        <f>DF_2[[#This Row],[QUANTITY]]*DF_2[[#This Row],[UnitPrice]]</f>
        <v>2.5</v>
      </c>
    </row>
    <row r="790" spans="2:11" x14ac:dyDescent="0.25">
      <c r="B790" s="2">
        <v>536401</v>
      </c>
      <c r="C790" s="2">
        <v>22435</v>
      </c>
      <c r="D790" s="2" t="s">
        <v>297</v>
      </c>
      <c r="E790" s="2">
        <v>2</v>
      </c>
      <c r="F790" s="8">
        <v>40513.472916666666</v>
      </c>
      <c r="G790" s="2">
        <v>1.25</v>
      </c>
      <c r="H790" s="2">
        <v>15862</v>
      </c>
      <c r="I790" s="2" t="s">
        <v>10</v>
      </c>
      <c r="J790" s="2">
        <f>ABS(DF_2[[#This Row],[Quantity_BEFORE]])</f>
        <v>2</v>
      </c>
      <c r="K790" s="2">
        <f>DF_2[[#This Row],[QUANTITY]]*DF_2[[#This Row],[UnitPrice]]</f>
        <v>2.5</v>
      </c>
    </row>
    <row r="791" spans="2:11" x14ac:dyDescent="0.25">
      <c r="B791" s="2">
        <v>536409</v>
      </c>
      <c r="C791" s="2">
        <v>20966</v>
      </c>
      <c r="D791" s="2" t="s">
        <v>298</v>
      </c>
      <c r="E791" s="2">
        <v>2</v>
      </c>
      <c r="F791" s="8">
        <v>40513.489583333336</v>
      </c>
      <c r="G791" s="2">
        <v>1.25</v>
      </c>
      <c r="H791" s="2">
        <v>17908</v>
      </c>
      <c r="I791" s="2" t="s">
        <v>10</v>
      </c>
      <c r="J791" s="2">
        <f>ABS(DF_2[[#This Row],[Quantity_BEFORE]])</f>
        <v>2</v>
      </c>
      <c r="K791" s="2">
        <f>DF_2[[#This Row],[QUANTITY]]*DF_2[[#This Row],[UnitPrice]]</f>
        <v>2.5</v>
      </c>
    </row>
    <row r="792" spans="2:11" x14ac:dyDescent="0.25">
      <c r="B792" s="2">
        <v>536415</v>
      </c>
      <c r="C792" s="2" t="s">
        <v>460</v>
      </c>
      <c r="D792" s="2" t="s">
        <v>461</v>
      </c>
      <c r="E792" s="2">
        <v>2</v>
      </c>
      <c r="F792" s="8">
        <v>40513.497916666667</v>
      </c>
      <c r="G792" s="2">
        <v>1.25</v>
      </c>
      <c r="H792" s="2">
        <v>12838</v>
      </c>
      <c r="I792" s="2" t="s">
        <v>10</v>
      </c>
      <c r="J792" s="2">
        <f>ABS(DF_2[[#This Row],[Quantity_BEFORE]])</f>
        <v>2</v>
      </c>
      <c r="K792" s="2">
        <f>DF_2[[#This Row],[QUANTITY]]*DF_2[[#This Row],[UnitPrice]]</f>
        <v>2.5</v>
      </c>
    </row>
    <row r="793" spans="2:11" x14ac:dyDescent="0.25">
      <c r="B793" s="2">
        <v>536415</v>
      </c>
      <c r="C793" s="2" t="s">
        <v>496</v>
      </c>
      <c r="D793" s="2" t="s">
        <v>497</v>
      </c>
      <c r="E793" s="2">
        <v>2</v>
      </c>
      <c r="F793" s="8">
        <v>40513.497916666667</v>
      </c>
      <c r="G793" s="2">
        <v>1.25</v>
      </c>
      <c r="H793" s="2">
        <v>12838</v>
      </c>
      <c r="I793" s="2" t="s">
        <v>10</v>
      </c>
      <c r="J793" s="2">
        <f>ABS(DF_2[[#This Row],[Quantity_BEFORE]])</f>
        <v>2</v>
      </c>
      <c r="K793" s="2">
        <f>DF_2[[#This Row],[QUANTITY]]*DF_2[[#This Row],[UnitPrice]]</f>
        <v>2.5</v>
      </c>
    </row>
    <row r="794" spans="2:11" x14ac:dyDescent="0.25">
      <c r="B794" s="2">
        <v>536446</v>
      </c>
      <c r="C794" s="2">
        <v>21891</v>
      </c>
      <c r="D794" s="2" t="s">
        <v>228</v>
      </c>
      <c r="E794" s="2">
        <v>2</v>
      </c>
      <c r="F794" s="8">
        <v>40513.510416666664</v>
      </c>
      <c r="G794" s="2">
        <v>1.25</v>
      </c>
      <c r="H794" s="2">
        <v>15983</v>
      </c>
      <c r="I794" s="2" t="s">
        <v>10</v>
      </c>
      <c r="J794" s="2">
        <f>ABS(DF_2[[#This Row],[Quantity_BEFORE]])</f>
        <v>2</v>
      </c>
      <c r="K794" s="2">
        <f>DF_2[[#This Row],[QUANTITY]]*DF_2[[#This Row],[UnitPrice]]</f>
        <v>2.5</v>
      </c>
    </row>
    <row r="795" spans="2:11" x14ac:dyDescent="0.25">
      <c r="B795" s="2">
        <v>536464</v>
      </c>
      <c r="C795" s="2">
        <v>22731</v>
      </c>
      <c r="D795" s="2" t="s">
        <v>590</v>
      </c>
      <c r="E795" s="2">
        <v>2</v>
      </c>
      <c r="F795" s="8">
        <v>40513.515972222223</v>
      </c>
      <c r="G795" s="2">
        <v>1.25</v>
      </c>
      <c r="H795" s="2">
        <v>17968</v>
      </c>
      <c r="I795" s="2" t="s">
        <v>10</v>
      </c>
      <c r="J795" s="2">
        <f>ABS(DF_2[[#This Row],[Quantity_BEFORE]])</f>
        <v>2</v>
      </c>
      <c r="K795" s="2">
        <f>DF_2[[#This Row],[QUANTITY]]*DF_2[[#This Row],[UnitPrice]]</f>
        <v>2.5</v>
      </c>
    </row>
    <row r="796" spans="2:11" x14ac:dyDescent="0.25">
      <c r="B796" s="2">
        <v>536488</v>
      </c>
      <c r="C796" s="2">
        <v>20878</v>
      </c>
      <c r="D796" s="2" t="s">
        <v>585</v>
      </c>
      <c r="E796" s="2">
        <v>2</v>
      </c>
      <c r="F796" s="8">
        <v>40513.521527777775</v>
      </c>
      <c r="G796" s="2">
        <v>1.25</v>
      </c>
      <c r="H796" s="2">
        <v>17897</v>
      </c>
      <c r="I796" s="2" t="s">
        <v>10</v>
      </c>
      <c r="J796" s="2">
        <f>ABS(DF_2[[#This Row],[Quantity_BEFORE]])</f>
        <v>2</v>
      </c>
      <c r="K796" s="2">
        <f>DF_2[[#This Row],[QUANTITY]]*DF_2[[#This Row],[UnitPrice]]</f>
        <v>2.5</v>
      </c>
    </row>
    <row r="797" spans="2:11" x14ac:dyDescent="0.25">
      <c r="B797" s="2">
        <v>536520</v>
      </c>
      <c r="C797" s="2">
        <v>22099</v>
      </c>
      <c r="D797" s="2" t="s">
        <v>652</v>
      </c>
      <c r="E797" s="2">
        <v>2</v>
      </c>
      <c r="F797" s="8">
        <v>40513.529861111114</v>
      </c>
      <c r="G797" s="2">
        <v>1.25</v>
      </c>
      <c r="H797" s="2">
        <v>14729</v>
      </c>
      <c r="I797" s="2" t="s">
        <v>10</v>
      </c>
      <c r="J797" s="2">
        <f>ABS(DF_2[[#This Row],[Quantity_BEFORE]])</f>
        <v>2</v>
      </c>
      <c r="K797" s="2">
        <f>DF_2[[#This Row],[QUANTITY]]*DF_2[[#This Row],[UnitPrice]]</f>
        <v>2.5</v>
      </c>
    </row>
    <row r="798" spans="2:11" x14ac:dyDescent="0.25">
      <c r="B798" s="2">
        <v>536520</v>
      </c>
      <c r="C798" s="2">
        <v>22241</v>
      </c>
      <c r="D798" s="2" t="s">
        <v>667</v>
      </c>
      <c r="E798" s="2">
        <v>2</v>
      </c>
      <c r="F798" s="8">
        <v>40513.529861111114</v>
      </c>
      <c r="G798" s="2">
        <v>1.25</v>
      </c>
      <c r="H798" s="2">
        <v>14729</v>
      </c>
      <c r="I798" s="2" t="s">
        <v>10</v>
      </c>
      <c r="J798" s="2">
        <f>ABS(DF_2[[#This Row],[Quantity_BEFORE]])</f>
        <v>2</v>
      </c>
      <c r="K798" s="2">
        <f>DF_2[[#This Row],[QUANTITY]]*DF_2[[#This Row],[UnitPrice]]</f>
        <v>2.5</v>
      </c>
    </row>
    <row r="799" spans="2:11" x14ac:dyDescent="0.25">
      <c r="B799" s="2">
        <v>536520</v>
      </c>
      <c r="C799" s="2">
        <v>21358</v>
      </c>
      <c r="D799" s="2" t="s">
        <v>672</v>
      </c>
      <c r="E799" s="2">
        <v>2</v>
      </c>
      <c r="F799" s="8">
        <v>40513.529861111114</v>
      </c>
      <c r="G799" s="2">
        <v>1.25</v>
      </c>
      <c r="H799" s="2">
        <v>14729</v>
      </c>
      <c r="I799" s="2" t="s">
        <v>10</v>
      </c>
      <c r="J799" s="2">
        <f>ABS(DF_2[[#This Row],[Quantity_BEFORE]])</f>
        <v>2</v>
      </c>
      <c r="K799" s="2">
        <f>DF_2[[#This Row],[QUANTITY]]*DF_2[[#This Row],[UnitPrice]]</f>
        <v>2.5</v>
      </c>
    </row>
    <row r="800" spans="2:11" x14ac:dyDescent="0.25">
      <c r="B800" s="2">
        <v>536381</v>
      </c>
      <c r="C800" s="2">
        <v>71270</v>
      </c>
      <c r="D800" s="2" t="s">
        <v>108</v>
      </c>
      <c r="E800" s="2">
        <v>1</v>
      </c>
      <c r="F800" s="8">
        <v>40513.40347222222</v>
      </c>
      <c r="G800" s="2">
        <v>1.25</v>
      </c>
      <c r="H800" s="2">
        <v>15311</v>
      </c>
      <c r="I800" s="2" t="s">
        <v>10</v>
      </c>
      <c r="J800" s="2">
        <f>ABS(DF_2[[#This Row],[Quantity_BEFORE]])</f>
        <v>1</v>
      </c>
      <c r="K800" s="2">
        <f>DF_2[[#This Row],[QUANTITY]]*DF_2[[#This Row],[UnitPrice]]</f>
        <v>1.25</v>
      </c>
    </row>
    <row r="801" spans="2:11" x14ac:dyDescent="0.25">
      <c r="B801" s="2">
        <v>536401</v>
      </c>
      <c r="C801" s="2">
        <v>22098</v>
      </c>
      <c r="D801" s="2" t="s">
        <v>263</v>
      </c>
      <c r="E801" s="2">
        <v>1</v>
      </c>
      <c r="F801" s="8">
        <v>40513.472916666666</v>
      </c>
      <c r="G801" s="2">
        <v>1.25</v>
      </c>
      <c r="H801" s="2">
        <v>15862</v>
      </c>
      <c r="I801" s="2" t="s">
        <v>10</v>
      </c>
      <c r="J801" s="2">
        <f>ABS(DF_2[[#This Row],[Quantity_BEFORE]])</f>
        <v>1</v>
      </c>
      <c r="K801" s="2">
        <f>DF_2[[#This Row],[QUANTITY]]*DF_2[[#This Row],[UnitPrice]]</f>
        <v>1.25</v>
      </c>
    </row>
    <row r="802" spans="2:11" x14ac:dyDescent="0.25">
      <c r="B802" s="2">
        <v>536401</v>
      </c>
      <c r="C802" s="2">
        <v>84744</v>
      </c>
      <c r="D802" s="2" t="s">
        <v>268</v>
      </c>
      <c r="E802" s="2">
        <v>1</v>
      </c>
      <c r="F802" s="8">
        <v>40513.472916666666</v>
      </c>
      <c r="G802" s="2">
        <v>1.25</v>
      </c>
      <c r="H802" s="2">
        <v>15862</v>
      </c>
      <c r="I802" s="2" t="s">
        <v>10</v>
      </c>
      <c r="J802" s="2">
        <f>ABS(DF_2[[#This Row],[Quantity_BEFORE]])</f>
        <v>1</v>
      </c>
      <c r="K802" s="2">
        <f>DF_2[[#This Row],[QUANTITY]]*DF_2[[#This Row],[UnitPrice]]</f>
        <v>1.25</v>
      </c>
    </row>
    <row r="803" spans="2:11" x14ac:dyDescent="0.25">
      <c r="B803" s="2">
        <v>536401</v>
      </c>
      <c r="C803" s="2" t="s">
        <v>272</v>
      </c>
      <c r="D803" s="2" t="s">
        <v>273</v>
      </c>
      <c r="E803" s="2">
        <v>1</v>
      </c>
      <c r="F803" s="8">
        <v>40513.472916666666</v>
      </c>
      <c r="G803" s="2">
        <v>1.25</v>
      </c>
      <c r="H803" s="2">
        <v>15862</v>
      </c>
      <c r="I803" s="2" t="s">
        <v>10</v>
      </c>
      <c r="J803" s="2">
        <f>ABS(DF_2[[#This Row],[Quantity_BEFORE]])</f>
        <v>1</v>
      </c>
      <c r="K803" s="2">
        <f>DF_2[[#This Row],[QUANTITY]]*DF_2[[#This Row],[UnitPrice]]</f>
        <v>1.25</v>
      </c>
    </row>
    <row r="804" spans="2:11" x14ac:dyDescent="0.25">
      <c r="B804" s="2">
        <v>536401</v>
      </c>
      <c r="C804" s="2">
        <v>21122</v>
      </c>
      <c r="D804" s="2" t="s">
        <v>293</v>
      </c>
      <c r="E804" s="2">
        <v>1</v>
      </c>
      <c r="F804" s="8">
        <v>40513.472916666666</v>
      </c>
      <c r="G804" s="2">
        <v>1.25</v>
      </c>
      <c r="H804" s="2">
        <v>15862</v>
      </c>
      <c r="I804" s="2" t="s">
        <v>10</v>
      </c>
      <c r="J804" s="2">
        <f>ABS(DF_2[[#This Row],[Quantity_BEFORE]])</f>
        <v>1</v>
      </c>
      <c r="K804" s="2">
        <f>DF_2[[#This Row],[QUANTITY]]*DF_2[[#This Row],[UnitPrice]]</f>
        <v>1.25</v>
      </c>
    </row>
    <row r="805" spans="2:11" x14ac:dyDescent="0.25">
      <c r="B805" s="2">
        <v>536401</v>
      </c>
      <c r="C805" s="2">
        <v>20963</v>
      </c>
      <c r="D805" s="2" t="s">
        <v>299</v>
      </c>
      <c r="E805" s="2">
        <v>1</v>
      </c>
      <c r="F805" s="8">
        <v>40513.472916666666</v>
      </c>
      <c r="G805" s="2">
        <v>1.25</v>
      </c>
      <c r="H805" s="2">
        <v>15862</v>
      </c>
      <c r="I805" s="2" t="s">
        <v>10</v>
      </c>
      <c r="J805" s="2">
        <f>ABS(DF_2[[#This Row],[Quantity_BEFORE]])</f>
        <v>1</v>
      </c>
      <c r="K805" s="2">
        <f>DF_2[[#This Row],[QUANTITY]]*DF_2[[#This Row],[UnitPrice]]</f>
        <v>1.25</v>
      </c>
    </row>
    <row r="806" spans="2:11" x14ac:dyDescent="0.25">
      <c r="B806" s="2">
        <v>536401</v>
      </c>
      <c r="C806" s="2">
        <v>20961</v>
      </c>
      <c r="D806" s="2" t="s">
        <v>300</v>
      </c>
      <c r="E806" s="2">
        <v>1</v>
      </c>
      <c r="F806" s="8">
        <v>40513.472916666666</v>
      </c>
      <c r="G806" s="2">
        <v>1.25</v>
      </c>
      <c r="H806" s="2">
        <v>15862</v>
      </c>
      <c r="I806" s="2" t="s">
        <v>10</v>
      </c>
      <c r="J806" s="2">
        <f>ABS(DF_2[[#This Row],[Quantity_BEFORE]])</f>
        <v>1</v>
      </c>
      <c r="K806" s="2">
        <f>DF_2[[#This Row],[QUANTITY]]*DF_2[[#This Row],[UnitPrice]]</f>
        <v>1.25</v>
      </c>
    </row>
    <row r="807" spans="2:11" x14ac:dyDescent="0.25">
      <c r="B807" s="2">
        <v>536401</v>
      </c>
      <c r="C807" s="2">
        <v>21592</v>
      </c>
      <c r="D807" s="2" t="s">
        <v>306</v>
      </c>
      <c r="E807" s="2">
        <v>1</v>
      </c>
      <c r="F807" s="8">
        <v>40513.472916666666</v>
      </c>
      <c r="G807" s="2">
        <v>1.25</v>
      </c>
      <c r="H807" s="2">
        <v>15862</v>
      </c>
      <c r="I807" s="2" t="s">
        <v>10</v>
      </c>
      <c r="J807" s="2">
        <f>ABS(DF_2[[#This Row],[Quantity_BEFORE]])</f>
        <v>1</v>
      </c>
      <c r="K807" s="2">
        <f>DF_2[[#This Row],[QUANTITY]]*DF_2[[#This Row],[UnitPrice]]</f>
        <v>1.25</v>
      </c>
    </row>
    <row r="808" spans="2:11" x14ac:dyDescent="0.25">
      <c r="B808" s="2">
        <v>536409</v>
      </c>
      <c r="C808" s="2">
        <v>22975</v>
      </c>
      <c r="D808" s="2" t="s">
        <v>384</v>
      </c>
      <c r="E808" s="2">
        <v>1</v>
      </c>
      <c r="F808" s="8">
        <v>40513.489583333336</v>
      </c>
      <c r="G808" s="2">
        <v>1.25</v>
      </c>
      <c r="H808" s="2">
        <v>17908</v>
      </c>
      <c r="I808" s="2" t="s">
        <v>10</v>
      </c>
      <c r="J808" s="2">
        <f>ABS(DF_2[[#This Row],[Quantity_BEFORE]])</f>
        <v>1</v>
      </c>
      <c r="K808" s="2">
        <f>DF_2[[#This Row],[QUANTITY]]*DF_2[[#This Row],[UnitPrice]]</f>
        <v>1.25</v>
      </c>
    </row>
    <row r="809" spans="2:11" x14ac:dyDescent="0.25">
      <c r="B809" s="2">
        <v>536409</v>
      </c>
      <c r="C809" s="2">
        <v>21866</v>
      </c>
      <c r="D809" s="2" t="s">
        <v>390</v>
      </c>
      <c r="E809" s="2">
        <v>1</v>
      </c>
      <c r="F809" s="8">
        <v>40513.489583333336</v>
      </c>
      <c r="G809" s="2">
        <v>1.25</v>
      </c>
      <c r="H809" s="2">
        <v>17908</v>
      </c>
      <c r="I809" s="2" t="s">
        <v>10</v>
      </c>
      <c r="J809" s="2">
        <f>ABS(DF_2[[#This Row],[Quantity_BEFORE]])</f>
        <v>1</v>
      </c>
      <c r="K809" s="2">
        <f>DF_2[[#This Row],[QUANTITY]]*DF_2[[#This Row],[UnitPrice]]</f>
        <v>1.25</v>
      </c>
    </row>
    <row r="810" spans="2:11" x14ac:dyDescent="0.25">
      <c r="B810" s="2">
        <v>536409</v>
      </c>
      <c r="C810" s="2">
        <v>20669</v>
      </c>
      <c r="D810" s="2" t="s">
        <v>391</v>
      </c>
      <c r="E810" s="2">
        <v>1</v>
      </c>
      <c r="F810" s="8">
        <v>40513.489583333336</v>
      </c>
      <c r="G810" s="2">
        <v>1.25</v>
      </c>
      <c r="H810" s="2">
        <v>17908</v>
      </c>
      <c r="I810" s="2" t="s">
        <v>10</v>
      </c>
      <c r="J810" s="2">
        <f>ABS(DF_2[[#This Row],[Quantity_BEFORE]])</f>
        <v>1</v>
      </c>
      <c r="K810" s="2">
        <f>DF_2[[#This Row],[QUANTITY]]*DF_2[[#This Row],[UnitPrice]]</f>
        <v>1.25</v>
      </c>
    </row>
    <row r="811" spans="2:11" x14ac:dyDescent="0.25">
      <c r="B811" s="2">
        <v>536409</v>
      </c>
      <c r="C811" s="2">
        <v>21811</v>
      </c>
      <c r="D811" s="2" t="s">
        <v>401</v>
      </c>
      <c r="E811" s="2">
        <v>1</v>
      </c>
      <c r="F811" s="8">
        <v>40513.489583333336</v>
      </c>
      <c r="G811" s="2">
        <v>1.25</v>
      </c>
      <c r="H811" s="2">
        <v>17908</v>
      </c>
      <c r="I811" s="2" t="s">
        <v>10</v>
      </c>
      <c r="J811" s="2">
        <f>ABS(DF_2[[#This Row],[Quantity_BEFORE]])</f>
        <v>1</v>
      </c>
      <c r="K811" s="2">
        <f>DF_2[[#This Row],[QUANTITY]]*DF_2[[#This Row],[UnitPrice]]</f>
        <v>1.25</v>
      </c>
    </row>
    <row r="812" spans="2:11" x14ac:dyDescent="0.25">
      <c r="B812" s="2">
        <v>536409</v>
      </c>
      <c r="C812" s="2">
        <v>21867</v>
      </c>
      <c r="D812" s="2" t="s">
        <v>409</v>
      </c>
      <c r="E812" s="2">
        <v>1</v>
      </c>
      <c r="F812" s="8">
        <v>40513.489583333336</v>
      </c>
      <c r="G812" s="2">
        <v>1.25</v>
      </c>
      <c r="H812" s="2">
        <v>17908</v>
      </c>
      <c r="I812" s="2" t="s">
        <v>10</v>
      </c>
      <c r="J812" s="2">
        <f>ABS(DF_2[[#This Row],[Quantity_BEFORE]])</f>
        <v>1</v>
      </c>
      <c r="K812" s="2">
        <f>DF_2[[#This Row],[QUANTITY]]*DF_2[[#This Row],[UnitPrice]]</f>
        <v>1.25</v>
      </c>
    </row>
    <row r="813" spans="2:11" x14ac:dyDescent="0.25">
      <c r="B813" s="2">
        <v>536409</v>
      </c>
      <c r="C813" s="2">
        <v>21866</v>
      </c>
      <c r="D813" s="2" t="s">
        <v>390</v>
      </c>
      <c r="E813" s="2">
        <v>1</v>
      </c>
      <c r="F813" s="8">
        <v>40513.489583333336</v>
      </c>
      <c r="G813" s="2">
        <v>1.25</v>
      </c>
      <c r="H813" s="2">
        <v>17908</v>
      </c>
      <c r="I813" s="2" t="s">
        <v>10</v>
      </c>
      <c r="J813" s="2">
        <f>ABS(DF_2[[#This Row],[Quantity_BEFORE]])</f>
        <v>1</v>
      </c>
      <c r="K813" s="2">
        <f>DF_2[[#This Row],[QUANTITY]]*DF_2[[#This Row],[UnitPrice]]</f>
        <v>1.25</v>
      </c>
    </row>
    <row r="814" spans="2:11" x14ac:dyDescent="0.25">
      <c r="B814" s="2">
        <v>536409</v>
      </c>
      <c r="C814" s="2">
        <v>20717</v>
      </c>
      <c r="D814" s="2" t="s">
        <v>421</v>
      </c>
      <c r="E814" s="2">
        <v>1</v>
      </c>
      <c r="F814" s="8">
        <v>40513.489583333336</v>
      </c>
      <c r="G814" s="2">
        <v>1.25</v>
      </c>
      <c r="H814" s="2">
        <v>17908</v>
      </c>
      <c r="I814" s="2" t="s">
        <v>10</v>
      </c>
      <c r="J814" s="2">
        <f>ABS(DF_2[[#This Row],[Quantity_BEFORE]])</f>
        <v>1</v>
      </c>
      <c r="K814" s="2">
        <f>DF_2[[#This Row],[QUANTITY]]*DF_2[[#This Row],[UnitPrice]]</f>
        <v>1.25</v>
      </c>
    </row>
    <row r="815" spans="2:11" x14ac:dyDescent="0.25">
      <c r="B815" s="2">
        <v>536412</v>
      </c>
      <c r="C815" s="2" t="s">
        <v>269</v>
      </c>
      <c r="D815" s="2" t="s">
        <v>270</v>
      </c>
      <c r="E815" s="2">
        <v>1</v>
      </c>
      <c r="F815" s="8">
        <v>40513.492361111108</v>
      </c>
      <c r="G815" s="2">
        <v>1.25</v>
      </c>
      <c r="H815" s="2">
        <v>17920</v>
      </c>
      <c r="I815" s="2" t="s">
        <v>10</v>
      </c>
      <c r="J815" s="2">
        <f>ABS(DF_2[[#This Row],[Quantity_BEFORE]])</f>
        <v>1</v>
      </c>
      <c r="K815" s="2">
        <f>DF_2[[#This Row],[QUANTITY]]*DF_2[[#This Row],[UnitPrice]]</f>
        <v>1.25</v>
      </c>
    </row>
    <row r="816" spans="2:11" x14ac:dyDescent="0.25">
      <c r="B816" s="2">
        <v>536415</v>
      </c>
      <c r="C816" s="2">
        <v>22775</v>
      </c>
      <c r="D816" s="2" t="s">
        <v>477</v>
      </c>
      <c r="E816" s="2">
        <v>1</v>
      </c>
      <c r="F816" s="8">
        <v>40513.497916666667</v>
      </c>
      <c r="G816" s="2">
        <v>1.25</v>
      </c>
      <c r="H816" s="2">
        <v>12838</v>
      </c>
      <c r="I816" s="2" t="s">
        <v>10</v>
      </c>
      <c r="J816" s="2">
        <f>ABS(DF_2[[#This Row],[Quantity_BEFORE]])</f>
        <v>1</v>
      </c>
      <c r="K816" s="2">
        <f>DF_2[[#This Row],[QUANTITY]]*DF_2[[#This Row],[UnitPrice]]</f>
        <v>1.25</v>
      </c>
    </row>
    <row r="817" spans="2:11" x14ac:dyDescent="0.25">
      <c r="B817" s="2">
        <v>536464</v>
      </c>
      <c r="C817" s="2">
        <v>22988</v>
      </c>
      <c r="D817" s="2" t="s">
        <v>454</v>
      </c>
      <c r="E817" s="2">
        <v>1</v>
      </c>
      <c r="F817" s="8">
        <v>40513.515972222223</v>
      </c>
      <c r="G817" s="2">
        <v>1.25</v>
      </c>
      <c r="H817" s="2">
        <v>17968</v>
      </c>
      <c r="I817" s="2" t="s">
        <v>10</v>
      </c>
      <c r="J817" s="2">
        <f>ABS(DF_2[[#This Row],[Quantity_BEFORE]])</f>
        <v>1</v>
      </c>
      <c r="K817" s="2">
        <f>DF_2[[#This Row],[QUANTITY]]*DF_2[[#This Row],[UnitPrice]]</f>
        <v>1.25</v>
      </c>
    </row>
    <row r="818" spans="2:11" x14ac:dyDescent="0.25">
      <c r="B818" s="2">
        <v>536464</v>
      </c>
      <c r="C818" s="2">
        <v>22297</v>
      </c>
      <c r="D818" s="2" t="s">
        <v>325</v>
      </c>
      <c r="E818" s="2">
        <v>1</v>
      </c>
      <c r="F818" s="8">
        <v>40513.515972222223</v>
      </c>
      <c r="G818" s="2">
        <v>1.25</v>
      </c>
      <c r="H818" s="2">
        <v>17968</v>
      </c>
      <c r="I818" s="2" t="s">
        <v>10</v>
      </c>
      <c r="J818" s="2">
        <f>ABS(DF_2[[#This Row],[Quantity_BEFORE]])</f>
        <v>1</v>
      </c>
      <c r="K818" s="2">
        <f>DF_2[[#This Row],[QUANTITY]]*DF_2[[#This Row],[UnitPrice]]</f>
        <v>1.25</v>
      </c>
    </row>
    <row r="819" spans="2:11" x14ac:dyDescent="0.25">
      <c r="B819" s="2">
        <v>536464</v>
      </c>
      <c r="C819" s="2">
        <v>22294</v>
      </c>
      <c r="D819" s="2" t="s">
        <v>526</v>
      </c>
      <c r="E819" s="2">
        <v>1</v>
      </c>
      <c r="F819" s="8">
        <v>40513.515972222223</v>
      </c>
      <c r="G819" s="2">
        <v>1.25</v>
      </c>
      <c r="H819" s="2">
        <v>17968</v>
      </c>
      <c r="I819" s="2" t="s">
        <v>10</v>
      </c>
      <c r="J819" s="2">
        <f>ABS(DF_2[[#This Row],[Quantity_BEFORE]])</f>
        <v>1</v>
      </c>
      <c r="K819" s="2">
        <f>DF_2[[#This Row],[QUANTITY]]*DF_2[[#This Row],[UnitPrice]]</f>
        <v>1.25</v>
      </c>
    </row>
    <row r="820" spans="2:11" x14ac:dyDescent="0.25">
      <c r="B820" s="2">
        <v>536464</v>
      </c>
      <c r="C820" s="2">
        <v>21124</v>
      </c>
      <c r="D820" s="2" t="s">
        <v>575</v>
      </c>
      <c r="E820" s="2">
        <v>1</v>
      </c>
      <c r="F820" s="8">
        <v>40513.515972222223</v>
      </c>
      <c r="G820" s="2">
        <v>1.25</v>
      </c>
      <c r="H820" s="2">
        <v>17968</v>
      </c>
      <c r="I820" s="2" t="s">
        <v>10</v>
      </c>
      <c r="J820" s="2">
        <f>ABS(DF_2[[#This Row],[Quantity_BEFORE]])</f>
        <v>1</v>
      </c>
      <c r="K820" s="2">
        <f>DF_2[[#This Row],[QUANTITY]]*DF_2[[#This Row],[UnitPrice]]</f>
        <v>1.25</v>
      </c>
    </row>
    <row r="821" spans="2:11" x14ac:dyDescent="0.25">
      <c r="B821" s="2">
        <v>536464</v>
      </c>
      <c r="C821" s="2">
        <v>20878</v>
      </c>
      <c r="D821" s="2" t="s">
        <v>585</v>
      </c>
      <c r="E821" s="2">
        <v>1</v>
      </c>
      <c r="F821" s="8">
        <v>40513.515972222223</v>
      </c>
      <c r="G821" s="2">
        <v>1.25</v>
      </c>
      <c r="H821" s="2">
        <v>17968</v>
      </c>
      <c r="I821" s="2" t="s">
        <v>10</v>
      </c>
      <c r="J821" s="2">
        <f>ABS(DF_2[[#This Row],[Quantity_BEFORE]])</f>
        <v>1</v>
      </c>
      <c r="K821" s="2">
        <f>DF_2[[#This Row],[QUANTITY]]*DF_2[[#This Row],[UnitPrice]]</f>
        <v>1.25</v>
      </c>
    </row>
    <row r="822" spans="2:11" x14ac:dyDescent="0.25">
      <c r="B822" s="2">
        <v>536464</v>
      </c>
      <c r="C822" s="2">
        <v>20866</v>
      </c>
      <c r="D822" s="2" t="s">
        <v>586</v>
      </c>
      <c r="E822" s="2">
        <v>1</v>
      </c>
      <c r="F822" s="8">
        <v>40513.515972222223</v>
      </c>
      <c r="G822" s="2">
        <v>1.25</v>
      </c>
      <c r="H822" s="2">
        <v>17968</v>
      </c>
      <c r="I822" s="2" t="s">
        <v>10</v>
      </c>
      <c r="J822" s="2">
        <f>ABS(DF_2[[#This Row],[Quantity_BEFORE]])</f>
        <v>1</v>
      </c>
      <c r="K822" s="2">
        <f>DF_2[[#This Row],[QUANTITY]]*DF_2[[#This Row],[UnitPrice]]</f>
        <v>1.25</v>
      </c>
    </row>
    <row r="823" spans="2:11" x14ac:dyDescent="0.25">
      <c r="B823" s="2">
        <v>536464</v>
      </c>
      <c r="C823" s="2">
        <v>21121</v>
      </c>
      <c r="D823" s="2" t="s">
        <v>549</v>
      </c>
      <c r="E823" s="2">
        <v>1</v>
      </c>
      <c r="F823" s="8">
        <v>40513.515972222223</v>
      </c>
      <c r="G823" s="2">
        <v>1.25</v>
      </c>
      <c r="H823" s="2">
        <v>17968</v>
      </c>
      <c r="I823" s="2" t="s">
        <v>10</v>
      </c>
      <c r="J823" s="2">
        <f>ABS(DF_2[[#This Row],[Quantity_BEFORE]])</f>
        <v>1</v>
      </c>
      <c r="K823" s="2">
        <f>DF_2[[#This Row],[QUANTITY]]*DF_2[[#This Row],[UnitPrice]]</f>
        <v>1.25</v>
      </c>
    </row>
    <row r="824" spans="2:11" x14ac:dyDescent="0.25">
      <c r="B824" s="2">
        <v>536464</v>
      </c>
      <c r="C824" s="2">
        <v>21122</v>
      </c>
      <c r="D824" s="2" t="s">
        <v>293</v>
      </c>
      <c r="E824" s="2">
        <v>1</v>
      </c>
      <c r="F824" s="8">
        <v>40513.515972222223</v>
      </c>
      <c r="G824" s="2">
        <v>1.25</v>
      </c>
      <c r="H824" s="2">
        <v>17968</v>
      </c>
      <c r="I824" s="2" t="s">
        <v>10</v>
      </c>
      <c r="J824" s="2">
        <f>ABS(DF_2[[#This Row],[Quantity_BEFORE]])</f>
        <v>1</v>
      </c>
      <c r="K824" s="2">
        <f>DF_2[[#This Row],[QUANTITY]]*DF_2[[#This Row],[UnitPrice]]</f>
        <v>1.25</v>
      </c>
    </row>
    <row r="825" spans="2:11" x14ac:dyDescent="0.25">
      <c r="B825" s="2">
        <v>536488</v>
      </c>
      <c r="C825" s="2">
        <v>21592</v>
      </c>
      <c r="D825" s="2" t="s">
        <v>306</v>
      </c>
      <c r="E825" s="2">
        <v>1</v>
      </c>
      <c r="F825" s="8">
        <v>40513.521527777775</v>
      </c>
      <c r="G825" s="2">
        <v>1.25</v>
      </c>
      <c r="H825" s="2">
        <v>17897</v>
      </c>
      <c r="I825" s="2" t="s">
        <v>10</v>
      </c>
      <c r="J825" s="2">
        <f>ABS(DF_2[[#This Row],[Quantity_BEFORE]])</f>
        <v>1</v>
      </c>
      <c r="K825" s="2">
        <f>DF_2[[#This Row],[QUANTITY]]*DF_2[[#This Row],[UnitPrice]]</f>
        <v>1.25</v>
      </c>
    </row>
    <row r="826" spans="2:11" x14ac:dyDescent="0.25">
      <c r="B826" s="2">
        <v>536520</v>
      </c>
      <c r="C826" s="2">
        <v>20707</v>
      </c>
      <c r="D826" s="2" t="s">
        <v>642</v>
      </c>
      <c r="E826" s="2">
        <v>1</v>
      </c>
      <c r="F826" s="8">
        <v>40513.529861111114</v>
      </c>
      <c r="G826" s="2">
        <v>1.25</v>
      </c>
      <c r="H826" s="2">
        <v>14729</v>
      </c>
      <c r="I826" s="2" t="s">
        <v>10</v>
      </c>
      <c r="J826" s="2">
        <f>ABS(DF_2[[#This Row],[Quantity_BEFORE]])</f>
        <v>1</v>
      </c>
      <c r="K826" s="2">
        <f>DF_2[[#This Row],[QUANTITY]]*DF_2[[#This Row],[UnitPrice]]</f>
        <v>1.25</v>
      </c>
    </row>
    <row r="827" spans="2:11" x14ac:dyDescent="0.25">
      <c r="B827" s="2">
        <v>536520</v>
      </c>
      <c r="C827" s="2">
        <v>22670</v>
      </c>
      <c r="D827" s="2" t="s">
        <v>542</v>
      </c>
      <c r="E827" s="2">
        <v>1</v>
      </c>
      <c r="F827" s="8">
        <v>40513.529861111114</v>
      </c>
      <c r="G827" s="2">
        <v>1.25</v>
      </c>
      <c r="H827" s="2">
        <v>14729</v>
      </c>
      <c r="I827" s="2" t="s">
        <v>10</v>
      </c>
      <c r="J827" s="2">
        <f>ABS(DF_2[[#This Row],[Quantity_BEFORE]])</f>
        <v>1</v>
      </c>
      <c r="K827" s="2">
        <f>DF_2[[#This Row],[QUANTITY]]*DF_2[[#This Row],[UnitPrice]]</f>
        <v>1.25</v>
      </c>
    </row>
    <row r="828" spans="2:11" x14ac:dyDescent="0.25">
      <c r="B828" s="2">
        <v>536520</v>
      </c>
      <c r="C828" s="2">
        <v>21867</v>
      </c>
      <c r="D828" s="2" t="s">
        <v>409</v>
      </c>
      <c r="E828" s="2">
        <v>1</v>
      </c>
      <c r="F828" s="8">
        <v>40513.529861111114</v>
      </c>
      <c r="G828" s="2">
        <v>1.25</v>
      </c>
      <c r="H828" s="2">
        <v>14729</v>
      </c>
      <c r="I828" s="2" t="s">
        <v>10</v>
      </c>
      <c r="J828" s="2">
        <f>ABS(DF_2[[#This Row],[Quantity_BEFORE]])</f>
        <v>1</v>
      </c>
      <c r="K828" s="2">
        <f>DF_2[[#This Row],[QUANTITY]]*DF_2[[#This Row],[UnitPrice]]</f>
        <v>1.25</v>
      </c>
    </row>
    <row r="829" spans="2:11" x14ac:dyDescent="0.25">
      <c r="B829" s="2">
        <v>536520</v>
      </c>
      <c r="C829" s="2">
        <v>22092</v>
      </c>
      <c r="D829" s="2" t="s">
        <v>670</v>
      </c>
      <c r="E829" s="2">
        <v>1</v>
      </c>
      <c r="F829" s="8">
        <v>40513.529861111114</v>
      </c>
      <c r="G829" s="2">
        <v>1.25</v>
      </c>
      <c r="H829" s="2">
        <v>14729</v>
      </c>
      <c r="I829" s="2" t="s">
        <v>10</v>
      </c>
      <c r="J829" s="2">
        <f>ABS(DF_2[[#This Row],[Quantity_BEFORE]])</f>
        <v>1</v>
      </c>
      <c r="K829" s="2">
        <f>DF_2[[#This Row],[QUANTITY]]*DF_2[[#This Row],[UnitPrice]]</f>
        <v>1.25</v>
      </c>
    </row>
    <row r="830" spans="2:11" x14ac:dyDescent="0.25">
      <c r="B830" s="2">
        <v>536520</v>
      </c>
      <c r="C830" s="2">
        <v>22100</v>
      </c>
      <c r="D830" s="2" t="s">
        <v>264</v>
      </c>
      <c r="E830" s="2">
        <v>1</v>
      </c>
      <c r="F830" s="8">
        <v>40513.529861111114</v>
      </c>
      <c r="G830" s="2">
        <v>1.25</v>
      </c>
      <c r="H830" s="2">
        <v>14729</v>
      </c>
      <c r="I830" s="2" t="s">
        <v>10</v>
      </c>
      <c r="J830" s="2">
        <f>ABS(DF_2[[#This Row],[Quantity_BEFORE]])</f>
        <v>1</v>
      </c>
      <c r="K830" s="2">
        <f>DF_2[[#This Row],[QUANTITY]]*DF_2[[#This Row],[UnitPrice]]</f>
        <v>1.25</v>
      </c>
    </row>
    <row r="831" spans="2:11" x14ac:dyDescent="0.25">
      <c r="B831" s="2">
        <v>536520</v>
      </c>
      <c r="C831" s="2">
        <v>22096</v>
      </c>
      <c r="D831" s="2" t="s">
        <v>671</v>
      </c>
      <c r="E831" s="2">
        <v>1</v>
      </c>
      <c r="F831" s="8">
        <v>40513.529861111114</v>
      </c>
      <c r="G831" s="2">
        <v>1.25</v>
      </c>
      <c r="H831" s="2">
        <v>14729</v>
      </c>
      <c r="I831" s="2" t="s">
        <v>10</v>
      </c>
      <c r="J831" s="2">
        <f>ABS(DF_2[[#This Row],[Quantity_BEFORE]])</f>
        <v>1</v>
      </c>
      <c r="K831" s="2">
        <f>DF_2[[#This Row],[QUANTITY]]*DF_2[[#This Row],[UnitPrice]]</f>
        <v>1.25</v>
      </c>
    </row>
    <row r="832" spans="2:11" x14ac:dyDescent="0.25">
      <c r="B832" s="2">
        <v>536520</v>
      </c>
      <c r="C832" s="2">
        <v>21123</v>
      </c>
      <c r="D832" s="2" t="s">
        <v>673</v>
      </c>
      <c r="E832" s="2">
        <v>1</v>
      </c>
      <c r="F832" s="8">
        <v>40513.529861111114</v>
      </c>
      <c r="G832" s="2">
        <v>1.25</v>
      </c>
      <c r="H832" s="2">
        <v>14729</v>
      </c>
      <c r="I832" s="2" t="s">
        <v>10</v>
      </c>
      <c r="J832" s="2">
        <f>ABS(DF_2[[#This Row],[Quantity_BEFORE]])</f>
        <v>1</v>
      </c>
      <c r="K832" s="2">
        <f>DF_2[[#This Row],[QUANTITY]]*DF_2[[#This Row],[UnitPrice]]</f>
        <v>1.25</v>
      </c>
    </row>
    <row r="833" spans="2:11" x14ac:dyDescent="0.25">
      <c r="B833" s="2">
        <v>536520</v>
      </c>
      <c r="C833" s="2">
        <v>21124</v>
      </c>
      <c r="D833" s="2" t="s">
        <v>575</v>
      </c>
      <c r="E833" s="2">
        <v>1</v>
      </c>
      <c r="F833" s="8">
        <v>40513.529861111114</v>
      </c>
      <c r="G833" s="2">
        <v>1.25</v>
      </c>
      <c r="H833" s="2">
        <v>14729</v>
      </c>
      <c r="I833" s="2" t="s">
        <v>10</v>
      </c>
      <c r="J833" s="2">
        <f>ABS(DF_2[[#This Row],[Quantity_BEFORE]])</f>
        <v>1</v>
      </c>
      <c r="K833" s="2">
        <f>DF_2[[#This Row],[QUANTITY]]*DF_2[[#This Row],[UnitPrice]]</f>
        <v>1.25</v>
      </c>
    </row>
    <row r="834" spans="2:11" x14ac:dyDescent="0.25">
      <c r="B834" s="2">
        <v>536520</v>
      </c>
      <c r="C834" s="2">
        <v>21122</v>
      </c>
      <c r="D834" s="2" t="s">
        <v>293</v>
      </c>
      <c r="E834" s="2">
        <v>1</v>
      </c>
      <c r="F834" s="8">
        <v>40513.529861111114</v>
      </c>
      <c r="G834" s="2">
        <v>1.25</v>
      </c>
      <c r="H834" s="2">
        <v>14729</v>
      </c>
      <c r="I834" s="2" t="s">
        <v>10</v>
      </c>
      <c r="J834" s="2">
        <f>ABS(DF_2[[#This Row],[Quantity_BEFORE]])</f>
        <v>1</v>
      </c>
      <c r="K834" s="2">
        <f>DF_2[[#This Row],[QUANTITY]]*DF_2[[#This Row],[UnitPrice]]</f>
        <v>1.25</v>
      </c>
    </row>
    <row r="835" spans="2:11" x14ac:dyDescent="0.25">
      <c r="B835" s="2">
        <v>536520</v>
      </c>
      <c r="C835" s="2">
        <v>84378</v>
      </c>
      <c r="D835" s="2" t="s">
        <v>341</v>
      </c>
      <c r="E835" s="2">
        <v>1</v>
      </c>
      <c r="F835" s="8">
        <v>40513.529861111114</v>
      </c>
      <c r="G835" s="2">
        <v>1.25</v>
      </c>
      <c r="H835" s="2">
        <v>14729</v>
      </c>
      <c r="I835" s="2" t="s">
        <v>10</v>
      </c>
      <c r="J835" s="2">
        <f>ABS(DF_2[[#This Row],[Quantity_BEFORE]])</f>
        <v>1</v>
      </c>
      <c r="K835" s="2">
        <f>DF_2[[#This Row],[QUANTITY]]*DF_2[[#This Row],[UnitPrice]]</f>
        <v>1.25</v>
      </c>
    </row>
    <row r="836" spans="2:11" x14ac:dyDescent="0.25">
      <c r="B836" s="2">
        <v>536520</v>
      </c>
      <c r="C836" s="2" t="s">
        <v>682</v>
      </c>
      <c r="D836" s="2" t="s">
        <v>683</v>
      </c>
      <c r="E836" s="2">
        <v>1</v>
      </c>
      <c r="F836" s="8">
        <v>40513.529861111114</v>
      </c>
      <c r="G836" s="2">
        <v>1.25</v>
      </c>
      <c r="H836" s="2">
        <v>14729</v>
      </c>
      <c r="I836" s="2" t="s">
        <v>10</v>
      </c>
      <c r="J836" s="2">
        <f>ABS(DF_2[[#This Row],[Quantity_BEFORE]])</f>
        <v>1</v>
      </c>
      <c r="K836" s="2">
        <f>DF_2[[#This Row],[QUANTITY]]*DF_2[[#This Row],[UnitPrice]]</f>
        <v>1.25</v>
      </c>
    </row>
    <row r="837" spans="2:11" x14ac:dyDescent="0.25">
      <c r="B837" s="2">
        <v>536437</v>
      </c>
      <c r="C837" s="2">
        <v>21154</v>
      </c>
      <c r="D837" s="2" t="s">
        <v>518</v>
      </c>
      <c r="E837" s="2">
        <v>200</v>
      </c>
      <c r="F837" s="8">
        <v>40513.508333333331</v>
      </c>
      <c r="G837" s="2">
        <v>1.06</v>
      </c>
      <c r="H837" s="2">
        <v>13694</v>
      </c>
      <c r="I837" s="2" t="s">
        <v>10</v>
      </c>
      <c r="J837" s="2">
        <f>ABS(DF_2[[#This Row],[Quantity_BEFORE]])</f>
        <v>200</v>
      </c>
      <c r="K837" s="2">
        <f>DF_2[[#This Row],[QUANTITY]]*DF_2[[#This Row],[UnitPrice]]</f>
        <v>212</v>
      </c>
    </row>
    <row r="838" spans="2:11" x14ac:dyDescent="0.25">
      <c r="B838" s="2">
        <v>536508</v>
      </c>
      <c r="C838" s="2">
        <v>84947</v>
      </c>
      <c r="D838" s="2" t="s">
        <v>638</v>
      </c>
      <c r="E838" s="2">
        <v>72</v>
      </c>
      <c r="F838" s="8">
        <v>40513.526388888888</v>
      </c>
      <c r="G838" s="2">
        <v>1.06</v>
      </c>
      <c r="H838" s="2">
        <v>17181</v>
      </c>
      <c r="I838" s="2" t="s">
        <v>10</v>
      </c>
      <c r="J838" s="2">
        <f>ABS(DF_2[[#This Row],[Quantity_BEFORE]])</f>
        <v>72</v>
      </c>
      <c r="K838" s="2">
        <f>DF_2[[#This Row],[QUANTITY]]*DF_2[[#This Row],[UnitPrice]]</f>
        <v>76.320000000000007</v>
      </c>
    </row>
    <row r="839" spans="2:11" x14ac:dyDescent="0.25">
      <c r="B839" s="2">
        <v>536381</v>
      </c>
      <c r="C839" s="2">
        <v>22719</v>
      </c>
      <c r="D839" s="2" t="s">
        <v>136</v>
      </c>
      <c r="E839" s="2">
        <v>36</v>
      </c>
      <c r="F839" s="8">
        <v>40513.40347222222</v>
      </c>
      <c r="G839" s="2">
        <v>1.06</v>
      </c>
      <c r="H839" s="2">
        <v>15311</v>
      </c>
      <c r="I839" s="2" t="s">
        <v>10</v>
      </c>
      <c r="J839" s="2">
        <f>ABS(DF_2[[#This Row],[Quantity_BEFORE]])</f>
        <v>36</v>
      </c>
      <c r="K839" s="2">
        <f>DF_2[[#This Row],[QUANTITY]]*DF_2[[#This Row],[UnitPrice]]</f>
        <v>38.160000000000004</v>
      </c>
    </row>
    <row r="840" spans="2:11" x14ac:dyDescent="0.25">
      <c r="B840" s="2">
        <v>536373</v>
      </c>
      <c r="C840" s="2">
        <v>37370</v>
      </c>
      <c r="D840" s="2" t="s">
        <v>63</v>
      </c>
      <c r="E840" s="2">
        <v>6</v>
      </c>
      <c r="F840" s="8">
        <v>40513.376388888886</v>
      </c>
      <c r="G840" s="2">
        <v>1.06</v>
      </c>
      <c r="H840" s="2">
        <v>17850</v>
      </c>
      <c r="I840" s="2" t="s">
        <v>10</v>
      </c>
      <c r="J840" s="2">
        <f>ABS(DF_2[[#This Row],[Quantity_BEFORE]])</f>
        <v>6</v>
      </c>
      <c r="K840" s="2">
        <f>DF_2[[#This Row],[QUANTITY]]*DF_2[[#This Row],[UnitPrice]]</f>
        <v>6.36</v>
      </c>
    </row>
    <row r="841" spans="2:11" x14ac:dyDescent="0.25">
      <c r="B841" s="2">
        <v>536373</v>
      </c>
      <c r="C841" s="2">
        <v>21871</v>
      </c>
      <c r="D841" s="2" t="s">
        <v>64</v>
      </c>
      <c r="E841" s="2">
        <v>6</v>
      </c>
      <c r="F841" s="8">
        <v>40513.376388888886</v>
      </c>
      <c r="G841" s="2">
        <v>1.06</v>
      </c>
      <c r="H841" s="2">
        <v>17850</v>
      </c>
      <c r="I841" s="2" t="s">
        <v>10</v>
      </c>
      <c r="J841" s="2">
        <f>ABS(DF_2[[#This Row],[Quantity_BEFORE]])</f>
        <v>6</v>
      </c>
      <c r="K841" s="2">
        <f>DF_2[[#This Row],[QUANTITY]]*DF_2[[#This Row],[UnitPrice]]</f>
        <v>6.36</v>
      </c>
    </row>
    <row r="842" spans="2:11" x14ac:dyDescent="0.25">
      <c r="B842" s="2">
        <v>536373</v>
      </c>
      <c r="C842" s="2">
        <v>21071</v>
      </c>
      <c r="D842" s="2" t="s">
        <v>65</v>
      </c>
      <c r="E842" s="2">
        <v>6</v>
      </c>
      <c r="F842" s="8">
        <v>40513.376388888886</v>
      </c>
      <c r="G842" s="2">
        <v>1.06</v>
      </c>
      <c r="H842" s="2">
        <v>17850</v>
      </c>
      <c r="I842" s="2" t="s">
        <v>10</v>
      </c>
      <c r="J842" s="2">
        <f>ABS(DF_2[[#This Row],[Quantity_BEFORE]])</f>
        <v>6</v>
      </c>
      <c r="K842" s="2">
        <f>DF_2[[#This Row],[QUANTITY]]*DF_2[[#This Row],[UnitPrice]]</f>
        <v>6.36</v>
      </c>
    </row>
    <row r="843" spans="2:11" x14ac:dyDescent="0.25">
      <c r="B843" s="2">
        <v>536373</v>
      </c>
      <c r="C843" s="2">
        <v>21068</v>
      </c>
      <c r="D843" s="2" t="s">
        <v>66</v>
      </c>
      <c r="E843" s="2">
        <v>6</v>
      </c>
      <c r="F843" s="8">
        <v>40513.376388888886</v>
      </c>
      <c r="G843" s="2">
        <v>1.06</v>
      </c>
      <c r="H843" s="2">
        <v>17850</v>
      </c>
      <c r="I843" s="2" t="s">
        <v>10</v>
      </c>
      <c r="J843" s="2">
        <f>ABS(DF_2[[#This Row],[Quantity_BEFORE]])</f>
        <v>6</v>
      </c>
      <c r="K843" s="2">
        <f>DF_2[[#This Row],[QUANTITY]]*DF_2[[#This Row],[UnitPrice]]</f>
        <v>6.36</v>
      </c>
    </row>
    <row r="844" spans="2:11" x14ac:dyDescent="0.25">
      <c r="B844" s="2">
        <v>536375</v>
      </c>
      <c r="C844" s="2">
        <v>37370</v>
      </c>
      <c r="D844" s="2" t="s">
        <v>63</v>
      </c>
      <c r="E844" s="2">
        <v>6</v>
      </c>
      <c r="F844" s="8">
        <v>40513.397222222222</v>
      </c>
      <c r="G844" s="2">
        <v>1.06</v>
      </c>
      <c r="H844" s="2">
        <v>17850</v>
      </c>
      <c r="I844" s="2" t="s">
        <v>10</v>
      </c>
      <c r="J844" s="2">
        <f>ABS(DF_2[[#This Row],[Quantity_BEFORE]])</f>
        <v>6</v>
      </c>
      <c r="K844" s="2">
        <f>DF_2[[#This Row],[QUANTITY]]*DF_2[[#This Row],[UnitPrice]]</f>
        <v>6.36</v>
      </c>
    </row>
    <row r="845" spans="2:11" x14ac:dyDescent="0.25">
      <c r="B845" s="2">
        <v>536375</v>
      </c>
      <c r="C845" s="2">
        <v>21871</v>
      </c>
      <c r="D845" s="2" t="s">
        <v>64</v>
      </c>
      <c r="E845" s="2">
        <v>6</v>
      </c>
      <c r="F845" s="8">
        <v>40513.397222222222</v>
      </c>
      <c r="G845" s="2">
        <v>1.06</v>
      </c>
      <c r="H845" s="2">
        <v>17850</v>
      </c>
      <c r="I845" s="2" t="s">
        <v>10</v>
      </c>
      <c r="J845" s="2">
        <f>ABS(DF_2[[#This Row],[Quantity_BEFORE]])</f>
        <v>6</v>
      </c>
      <c r="K845" s="2">
        <f>DF_2[[#This Row],[QUANTITY]]*DF_2[[#This Row],[UnitPrice]]</f>
        <v>6.36</v>
      </c>
    </row>
    <row r="846" spans="2:11" x14ac:dyDescent="0.25">
      <c r="B846" s="2">
        <v>536375</v>
      </c>
      <c r="C846" s="2">
        <v>21071</v>
      </c>
      <c r="D846" s="2" t="s">
        <v>65</v>
      </c>
      <c r="E846" s="2">
        <v>6</v>
      </c>
      <c r="F846" s="8">
        <v>40513.397222222222</v>
      </c>
      <c r="G846" s="2">
        <v>1.06</v>
      </c>
      <c r="H846" s="2">
        <v>17850</v>
      </c>
      <c r="I846" s="2" t="s">
        <v>10</v>
      </c>
      <c r="J846" s="2">
        <f>ABS(DF_2[[#This Row],[Quantity_BEFORE]])</f>
        <v>6</v>
      </c>
      <c r="K846" s="2">
        <f>DF_2[[#This Row],[QUANTITY]]*DF_2[[#This Row],[UnitPrice]]</f>
        <v>6.36</v>
      </c>
    </row>
    <row r="847" spans="2:11" x14ac:dyDescent="0.25">
      <c r="B847" s="2">
        <v>536375</v>
      </c>
      <c r="C847" s="2">
        <v>21068</v>
      </c>
      <c r="D847" s="2" t="s">
        <v>66</v>
      </c>
      <c r="E847" s="2">
        <v>6</v>
      </c>
      <c r="F847" s="8">
        <v>40513.397222222222</v>
      </c>
      <c r="G847" s="2">
        <v>1.06</v>
      </c>
      <c r="H847" s="2">
        <v>17850</v>
      </c>
      <c r="I847" s="2" t="s">
        <v>10</v>
      </c>
      <c r="J847" s="2">
        <f>ABS(DF_2[[#This Row],[Quantity_BEFORE]])</f>
        <v>6</v>
      </c>
      <c r="K847" s="2">
        <f>DF_2[[#This Row],[QUANTITY]]*DF_2[[#This Row],[UnitPrice]]</f>
        <v>6.36</v>
      </c>
    </row>
    <row r="848" spans="2:11" x14ac:dyDescent="0.25">
      <c r="B848" s="2">
        <v>536396</v>
      </c>
      <c r="C848" s="2">
        <v>37370</v>
      </c>
      <c r="D848" s="2" t="s">
        <v>63</v>
      </c>
      <c r="E848" s="2">
        <v>6</v>
      </c>
      <c r="F848" s="8">
        <v>40513.45208333333</v>
      </c>
      <c r="G848" s="2">
        <v>1.06</v>
      </c>
      <c r="H848" s="2">
        <v>17850</v>
      </c>
      <c r="I848" s="2" t="s">
        <v>10</v>
      </c>
      <c r="J848" s="2">
        <f>ABS(DF_2[[#This Row],[Quantity_BEFORE]])</f>
        <v>6</v>
      </c>
      <c r="K848" s="2">
        <f>DF_2[[#This Row],[QUANTITY]]*DF_2[[#This Row],[UnitPrice]]</f>
        <v>6.36</v>
      </c>
    </row>
    <row r="849" spans="2:11" x14ac:dyDescent="0.25">
      <c r="B849" s="2">
        <v>536396</v>
      </c>
      <c r="C849" s="2">
        <v>21871</v>
      </c>
      <c r="D849" s="2" t="s">
        <v>64</v>
      </c>
      <c r="E849" s="2">
        <v>6</v>
      </c>
      <c r="F849" s="8">
        <v>40513.45208333333</v>
      </c>
      <c r="G849" s="2">
        <v>1.06</v>
      </c>
      <c r="H849" s="2">
        <v>17850</v>
      </c>
      <c r="I849" s="2" t="s">
        <v>10</v>
      </c>
      <c r="J849" s="2">
        <f>ABS(DF_2[[#This Row],[Quantity_BEFORE]])</f>
        <v>6</v>
      </c>
      <c r="K849" s="2">
        <f>DF_2[[#This Row],[QUANTITY]]*DF_2[[#This Row],[UnitPrice]]</f>
        <v>6.36</v>
      </c>
    </row>
    <row r="850" spans="2:11" x14ac:dyDescent="0.25">
      <c r="B850" s="2">
        <v>536396</v>
      </c>
      <c r="C850" s="2">
        <v>21071</v>
      </c>
      <c r="D850" s="2" t="s">
        <v>65</v>
      </c>
      <c r="E850" s="2">
        <v>6</v>
      </c>
      <c r="F850" s="8">
        <v>40513.45208333333</v>
      </c>
      <c r="G850" s="2">
        <v>1.06</v>
      </c>
      <c r="H850" s="2">
        <v>17850</v>
      </c>
      <c r="I850" s="2" t="s">
        <v>10</v>
      </c>
      <c r="J850" s="2">
        <f>ABS(DF_2[[#This Row],[Quantity_BEFORE]])</f>
        <v>6</v>
      </c>
      <c r="K850" s="2">
        <f>DF_2[[#This Row],[QUANTITY]]*DF_2[[#This Row],[UnitPrice]]</f>
        <v>6.36</v>
      </c>
    </row>
    <row r="851" spans="2:11" x14ac:dyDescent="0.25">
      <c r="B851" s="2">
        <v>536396</v>
      </c>
      <c r="C851" s="2">
        <v>21068</v>
      </c>
      <c r="D851" s="2" t="s">
        <v>66</v>
      </c>
      <c r="E851" s="2">
        <v>6</v>
      </c>
      <c r="F851" s="8">
        <v>40513.45208333333</v>
      </c>
      <c r="G851" s="2">
        <v>1.06</v>
      </c>
      <c r="H851" s="2">
        <v>17850</v>
      </c>
      <c r="I851" s="2" t="s">
        <v>10</v>
      </c>
      <c r="J851" s="2">
        <f>ABS(DF_2[[#This Row],[Quantity_BEFORE]])</f>
        <v>6</v>
      </c>
      <c r="K851" s="2">
        <f>DF_2[[#This Row],[QUANTITY]]*DF_2[[#This Row],[UnitPrice]]</f>
        <v>6.36</v>
      </c>
    </row>
    <row r="852" spans="2:11" x14ac:dyDescent="0.25">
      <c r="B852" s="2">
        <v>536406</v>
      </c>
      <c r="C852" s="2">
        <v>37370</v>
      </c>
      <c r="D852" s="2" t="s">
        <v>63</v>
      </c>
      <c r="E852" s="2">
        <v>6</v>
      </c>
      <c r="F852" s="8">
        <v>40513.481249999997</v>
      </c>
      <c r="G852" s="2">
        <v>1.06</v>
      </c>
      <c r="H852" s="2">
        <v>17850</v>
      </c>
      <c r="I852" s="2" t="s">
        <v>10</v>
      </c>
      <c r="J852" s="2">
        <f>ABS(DF_2[[#This Row],[Quantity_BEFORE]])</f>
        <v>6</v>
      </c>
      <c r="K852" s="2">
        <f>DF_2[[#This Row],[QUANTITY]]*DF_2[[#This Row],[UnitPrice]]</f>
        <v>6.36</v>
      </c>
    </row>
    <row r="853" spans="2:11" x14ac:dyDescent="0.25">
      <c r="B853" s="2">
        <v>536406</v>
      </c>
      <c r="C853" s="2">
        <v>21871</v>
      </c>
      <c r="D853" s="2" t="s">
        <v>64</v>
      </c>
      <c r="E853" s="2">
        <v>6</v>
      </c>
      <c r="F853" s="8">
        <v>40513.481249999997</v>
      </c>
      <c r="G853" s="2">
        <v>1.06</v>
      </c>
      <c r="H853" s="2">
        <v>17850</v>
      </c>
      <c r="I853" s="2" t="s">
        <v>10</v>
      </c>
      <c r="J853" s="2">
        <f>ABS(DF_2[[#This Row],[Quantity_BEFORE]])</f>
        <v>6</v>
      </c>
      <c r="K853" s="2">
        <f>DF_2[[#This Row],[QUANTITY]]*DF_2[[#This Row],[UnitPrice]]</f>
        <v>6.36</v>
      </c>
    </row>
    <row r="854" spans="2:11" x14ac:dyDescent="0.25">
      <c r="B854" s="2">
        <v>536406</v>
      </c>
      <c r="C854" s="2">
        <v>21071</v>
      </c>
      <c r="D854" s="2" t="s">
        <v>65</v>
      </c>
      <c r="E854" s="2">
        <v>6</v>
      </c>
      <c r="F854" s="8">
        <v>40513.481249999997</v>
      </c>
      <c r="G854" s="2">
        <v>1.06</v>
      </c>
      <c r="H854" s="2">
        <v>17850</v>
      </c>
      <c r="I854" s="2" t="s">
        <v>10</v>
      </c>
      <c r="J854" s="2">
        <f>ABS(DF_2[[#This Row],[Quantity_BEFORE]])</f>
        <v>6</v>
      </c>
      <c r="K854" s="2">
        <f>DF_2[[#This Row],[QUANTITY]]*DF_2[[#This Row],[UnitPrice]]</f>
        <v>6.36</v>
      </c>
    </row>
    <row r="855" spans="2:11" x14ac:dyDescent="0.25">
      <c r="B855" s="2">
        <v>536406</v>
      </c>
      <c r="C855" s="2">
        <v>21068</v>
      </c>
      <c r="D855" s="2" t="s">
        <v>66</v>
      </c>
      <c r="E855" s="2">
        <v>6</v>
      </c>
      <c r="F855" s="8">
        <v>40513.481249999997</v>
      </c>
      <c r="G855" s="2">
        <v>1.06</v>
      </c>
      <c r="H855" s="2">
        <v>17850</v>
      </c>
      <c r="I855" s="2" t="s">
        <v>10</v>
      </c>
      <c r="J855" s="2">
        <f>ABS(DF_2[[#This Row],[Quantity_BEFORE]])</f>
        <v>6</v>
      </c>
      <c r="K855" s="2">
        <f>DF_2[[#This Row],[QUANTITY]]*DF_2[[#This Row],[UnitPrice]]</f>
        <v>6.36</v>
      </c>
    </row>
    <row r="856" spans="2:11" x14ac:dyDescent="0.25">
      <c r="B856" s="2">
        <v>536408</v>
      </c>
      <c r="C856" s="2" t="s">
        <v>361</v>
      </c>
      <c r="D856" s="2" t="s">
        <v>362</v>
      </c>
      <c r="E856" s="2">
        <v>12</v>
      </c>
      <c r="F856" s="8">
        <v>40513.486805555556</v>
      </c>
      <c r="G856" s="2">
        <v>0.95</v>
      </c>
      <c r="H856" s="2">
        <v>14307</v>
      </c>
      <c r="I856" s="2" t="s">
        <v>10</v>
      </c>
      <c r="J856" s="2">
        <f>ABS(DF_2[[#This Row],[Quantity_BEFORE]])</f>
        <v>12</v>
      </c>
      <c r="K856" s="2">
        <f>DF_2[[#This Row],[QUANTITY]]*DF_2[[#This Row],[UnitPrice]]</f>
        <v>11.399999999999999</v>
      </c>
    </row>
    <row r="857" spans="2:11" x14ac:dyDescent="0.25">
      <c r="B857" s="2">
        <v>536520</v>
      </c>
      <c r="C857" s="2">
        <v>21034</v>
      </c>
      <c r="D857" s="2" t="s">
        <v>443</v>
      </c>
      <c r="E857" s="2">
        <v>2</v>
      </c>
      <c r="F857" s="8">
        <v>40513.529861111114</v>
      </c>
      <c r="G857" s="2">
        <v>0.95</v>
      </c>
      <c r="H857" s="2">
        <v>14729</v>
      </c>
      <c r="I857" s="2" t="s">
        <v>10</v>
      </c>
      <c r="J857" s="2">
        <f>ABS(DF_2[[#This Row],[Quantity_BEFORE]])</f>
        <v>2</v>
      </c>
      <c r="K857" s="2">
        <f>DF_2[[#This Row],[QUANTITY]]*DF_2[[#This Row],[UnitPrice]]</f>
        <v>1.9</v>
      </c>
    </row>
    <row r="858" spans="2:11" x14ac:dyDescent="0.25">
      <c r="B858" s="2">
        <v>536412</v>
      </c>
      <c r="C858" s="2">
        <v>21034</v>
      </c>
      <c r="D858" s="2" t="s">
        <v>443</v>
      </c>
      <c r="E858" s="2">
        <v>1</v>
      </c>
      <c r="F858" s="8">
        <v>40513.492361111108</v>
      </c>
      <c r="G858" s="2">
        <v>0.95</v>
      </c>
      <c r="H858" s="2">
        <v>17920</v>
      </c>
      <c r="I858" s="2" t="s">
        <v>10</v>
      </c>
      <c r="J858" s="2">
        <f>ABS(DF_2[[#This Row],[Quantity_BEFORE]])</f>
        <v>1</v>
      </c>
      <c r="K858" s="2">
        <f>DF_2[[#This Row],[QUANTITY]]*DF_2[[#This Row],[UnitPrice]]</f>
        <v>0.95</v>
      </c>
    </row>
    <row r="859" spans="2:11" x14ac:dyDescent="0.25">
      <c r="B859" s="2">
        <v>536488</v>
      </c>
      <c r="C859" s="2">
        <v>21034</v>
      </c>
      <c r="D859" s="2" t="s">
        <v>443</v>
      </c>
      <c r="E859" s="2">
        <v>1</v>
      </c>
      <c r="F859" s="8">
        <v>40513.521527777775</v>
      </c>
      <c r="G859" s="2">
        <v>0.95</v>
      </c>
      <c r="H859" s="2">
        <v>17897</v>
      </c>
      <c r="I859" s="2" t="s">
        <v>10</v>
      </c>
      <c r="J859" s="2">
        <f>ABS(DF_2[[#This Row],[Quantity_BEFORE]])</f>
        <v>1</v>
      </c>
      <c r="K859" s="2">
        <f>DF_2[[#This Row],[QUANTITY]]*DF_2[[#This Row],[UnitPrice]]</f>
        <v>0.95</v>
      </c>
    </row>
    <row r="860" spans="2:11" x14ac:dyDescent="0.25">
      <c r="B860" s="2">
        <v>536370</v>
      </c>
      <c r="C860" s="2">
        <v>10002</v>
      </c>
      <c r="D860" s="2" t="s">
        <v>45</v>
      </c>
      <c r="E860" s="2">
        <v>48</v>
      </c>
      <c r="F860" s="8">
        <v>40513.364583333336</v>
      </c>
      <c r="G860" s="2">
        <v>0.85</v>
      </c>
      <c r="H860" s="2">
        <v>12583</v>
      </c>
      <c r="I860" s="2" t="s">
        <v>40</v>
      </c>
      <c r="J860" s="2">
        <f>ABS(DF_2[[#This Row],[Quantity_BEFORE]])</f>
        <v>48</v>
      </c>
      <c r="K860" s="2">
        <f>DF_2[[#This Row],[QUANTITY]]*DF_2[[#This Row],[UnitPrice]]</f>
        <v>40.799999999999997</v>
      </c>
    </row>
    <row r="861" spans="2:11" x14ac:dyDescent="0.25">
      <c r="B861" s="2">
        <v>536404</v>
      </c>
      <c r="C861" s="2">
        <v>22197</v>
      </c>
      <c r="D861" s="2" t="s">
        <v>208</v>
      </c>
      <c r="E861" s="2">
        <v>36</v>
      </c>
      <c r="F861" s="8">
        <v>40513.478472222225</v>
      </c>
      <c r="G861" s="2">
        <v>0.85</v>
      </c>
      <c r="H861" s="2">
        <v>16218</v>
      </c>
      <c r="I861" s="2" t="s">
        <v>10</v>
      </c>
      <c r="J861" s="2">
        <f>ABS(DF_2[[#This Row],[Quantity_BEFORE]])</f>
        <v>36</v>
      </c>
      <c r="K861" s="2">
        <f>DF_2[[#This Row],[QUANTITY]]*DF_2[[#This Row],[UnitPrice]]</f>
        <v>30.599999999999998</v>
      </c>
    </row>
    <row r="862" spans="2:11" x14ac:dyDescent="0.25">
      <c r="B862" s="2">
        <v>536408</v>
      </c>
      <c r="C862" s="2">
        <v>22610</v>
      </c>
      <c r="D862" s="2" t="s">
        <v>369</v>
      </c>
      <c r="E862" s="2">
        <v>36</v>
      </c>
      <c r="F862" s="8">
        <v>40513.486805555556</v>
      </c>
      <c r="G862" s="2">
        <v>0.85</v>
      </c>
      <c r="H862" s="2">
        <v>14307</v>
      </c>
      <c r="I862" s="2" t="s">
        <v>10</v>
      </c>
      <c r="J862" s="2">
        <f>ABS(DF_2[[#This Row],[Quantity_BEFORE]])</f>
        <v>36</v>
      </c>
      <c r="K862" s="2">
        <f>DF_2[[#This Row],[QUANTITY]]*DF_2[[#This Row],[UnitPrice]]</f>
        <v>30.599999999999998</v>
      </c>
    </row>
    <row r="863" spans="2:11" x14ac:dyDescent="0.25">
      <c r="B863" s="2">
        <v>536389</v>
      </c>
      <c r="C863" s="2">
        <v>22196</v>
      </c>
      <c r="D863" s="2" t="s">
        <v>200</v>
      </c>
      <c r="E863" s="2">
        <v>24</v>
      </c>
      <c r="F863" s="8">
        <v>40513.418749999997</v>
      </c>
      <c r="G863" s="2">
        <v>0.85</v>
      </c>
      <c r="H863" s="2">
        <v>12431</v>
      </c>
      <c r="I863" s="2" t="s">
        <v>188</v>
      </c>
      <c r="J863" s="2">
        <f>ABS(DF_2[[#This Row],[Quantity_BEFORE]])</f>
        <v>24</v>
      </c>
      <c r="K863" s="2">
        <f>DF_2[[#This Row],[QUANTITY]]*DF_2[[#This Row],[UnitPrice]]</f>
        <v>20.399999999999999</v>
      </c>
    </row>
    <row r="864" spans="2:11" x14ac:dyDescent="0.25">
      <c r="B864" s="2">
        <v>536408</v>
      </c>
      <c r="C864" s="2">
        <v>22418</v>
      </c>
      <c r="D864" s="2" t="s">
        <v>359</v>
      </c>
      <c r="E864" s="2">
        <v>24</v>
      </c>
      <c r="F864" s="8">
        <v>40513.486805555556</v>
      </c>
      <c r="G864" s="2">
        <v>0.85</v>
      </c>
      <c r="H864" s="2">
        <v>14307</v>
      </c>
      <c r="I864" s="2" t="s">
        <v>10</v>
      </c>
      <c r="J864" s="2">
        <f>ABS(DF_2[[#This Row],[Quantity_BEFORE]])</f>
        <v>24</v>
      </c>
      <c r="K864" s="2">
        <f>DF_2[[#This Row],[QUANTITY]]*DF_2[[#This Row],[UnitPrice]]</f>
        <v>20.399999999999999</v>
      </c>
    </row>
    <row r="865" spans="2:11" x14ac:dyDescent="0.25">
      <c r="B865" s="2">
        <v>536370</v>
      </c>
      <c r="C865" s="2">
        <v>22661</v>
      </c>
      <c r="D865" s="2" t="s">
        <v>52</v>
      </c>
      <c r="E865" s="2">
        <v>20</v>
      </c>
      <c r="F865" s="8">
        <v>40513.364583333336</v>
      </c>
      <c r="G865" s="2">
        <v>0.85</v>
      </c>
      <c r="H865" s="2">
        <v>12583</v>
      </c>
      <c r="I865" s="2" t="s">
        <v>40</v>
      </c>
      <c r="J865" s="2">
        <f>ABS(DF_2[[#This Row],[Quantity_BEFORE]])</f>
        <v>20</v>
      </c>
      <c r="K865" s="2">
        <f>DF_2[[#This Row],[QUANTITY]]*DF_2[[#This Row],[UnitPrice]]</f>
        <v>17</v>
      </c>
    </row>
    <row r="866" spans="2:11" x14ac:dyDescent="0.25">
      <c r="B866" s="2">
        <v>536520</v>
      </c>
      <c r="C866" s="2">
        <v>21292</v>
      </c>
      <c r="D866" s="2" t="s">
        <v>644</v>
      </c>
      <c r="E866" s="2">
        <v>16</v>
      </c>
      <c r="F866" s="8">
        <v>40513.529861111114</v>
      </c>
      <c r="G866" s="2">
        <v>0.85</v>
      </c>
      <c r="H866" s="2">
        <v>14729</v>
      </c>
      <c r="I866" s="2" t="s">
        <v>10</v>
      </c>
      <c r="J866" s="2">
        <f>ABS(DF_2[[#This Row],[Quantity_BEFORE]])</f>
        <v>16</v>
      </c>
      <c r="K866" s="2">
        <f>DF_2[[#This Row],[QUANTITY]]*DF_2[[#This Row],[UnitPrice]]</f>
        <v>13.6</v>
      </c>
    </row>
    <row r="867" spans="2:11" x14ac:dyDescent="0.25">
      <c r="B867" s="2">
        <v>536370</v>
      </c>
      <c r="C867" s="2">
        <v>21724</v>
      </c>
      <c r="D867" s="2" t="s">
        <v>43</v>
      </c>
      <c r="E867" s="2">
        <v>12</v>
      </c>
      <c r="F867" s="8">
        <v>40513.364583333336</v>
      </c>
      <c r="G867" s="2">
        <v>0.85</v>
      </c>
      <c r="H867" s="2">
        <v>12583</v>
      </c>
      <c r="I867" s="2" t="s">
        <v>40</v>
      </c>
      <c r="J867" s="2">
        <f>ABS(DF_2[[#This Row],[Quantity_BEFORE]])</f>
        <v>12</v>
      </c>
      <c r="K867" s="2">
        <f>DF_2[[#This Row],[QUANTITY]]*DF_2[[#This Row],[UnitPrice]]</f>
        <v>10.199999999999999</v>
      </c>
    </row>
    <row r="868" spans="2:11" x14ac:dyDescent="0.25">
      <c r="B868" s="2">
        <v>536378</v>
      </c>
      <c r="C868" s="2">
        <v>21094</v>
      </c>
      <c r="D868" s="2" t="s">
        <v>84</v>
      </c>
      <c r="E868" s="2">
        <v>12</v>
      </c>
      <c r="F868" s="8">
        <v>40513.400694444441</v>
      </c>
      <c r="G868" s="2">
        <v>0.85</v>
      </c>
      <c r="H868" s="2">
        <v>14688</v>
      </c>
      <c r="I868" s="2" t="s">
        <v>10</v>
      </c>
      <c r="J868" s="2">
        <f>ABS(DF_2[[#This Row],[Quantity_BEFORE]])</f>
        <v>12</v>
      </c>
      <c r="K868" s="2">
        <f>DF_2[[#This Row],[QUANTITY]]*DF_2[[#This Row],[UnitPrice]]</f>
        <v>10.199999999999999</v>
      </c>
    </row>
    <row r="869" spans="2:11" x14ac:dyDescent="0.25">
      <c r="B869" s="2">
        <v>536382</v>
      </c>
      <c r="C869" s="2">
        <v>10002</v>
      </c>
      <c r="D869" s="2" t="s">
        <v>45</v>
      </c>
      <c r="E869" s="2">
        <v>12</v>
      </c>
      <c r="F869" s="8">
        <v>40513.40625</v>
      </c>
      <c r="G869" s="2">
        <v>0.85</v>
      </c>
      <c r="H869" s="2">
        <v>16098</v>
      </c>
      <c r="I869" s="2" t="s">
        <v>10</v>
      </c>
      <c r="J869" s="2">
        <f>ABS(DF_2[[#This Row],[Quantity_BEFORE]])</f>
        <v>12</v>
      </c>
      <c r="K869" s="2">
        <f>DF_2[[#This Row],[QUANTITY]]*DF_2[[#This Row],[UnitPrice]]</f>
        <v>10.199999999999999</v>
      </c>
    </row>
    <row r="870" spans="2:11" x14ac:dyDescent="0.25">
      <c r="B870" s="2">
        <v>536388</v>
      </c>
      <c r="C870" s="2">
        <v>22922</v>
      </c>
      <c r="D870" s="2" t="s">
        <v>182</v>
      </c>
      <c r="E870" s="2">
        <v>12</v>
      </c>
      <c r="F870" s="8">
        <v>40513.415972222225</v>
      </c>
      <c r="G870" s="2">
        <v>0.85</v>
      </c>
      <c r="H870" s="2">
        <v>16250</v>
      </c>
      <c r="I870" s="2" t="s">
        <v>10</v>
      </c>
      <c r="J870" s="2">
        <f>ABS(DF_2[[#This Row],[Quantity_BEFORE]])</f>
        <v>12</v>
      </c>
      <c r="K870" s="2">
        <f>DF_2[[#This Row],[QUANTITY]]*DF_2[[#This Row],[UnitPrice]]</f>
        <v>10.199999999999999</v>
      </c>
    </row>
    <row r="871" spans="2:11" x14ac:dyDescent="0.25">
      <c r="B871" s="2">
        <v>536388</v>
      </c>
      <c r="C871" s="2">
        <v>22923</v>
      </c>
      <c r="D871" s="2" t="s">
        <v>184</v>
      </c>
      <c r="E871" s="2">
        <v>12</v>
      </c>
      <c r="F871" s="8">
        <v>40513.415972222225</v>
      </c>
      <c r="G871" s="2">
        <v>0.85</v>
      </c>
      <c r="H871" s="2">
        <v>16250</v>
      </c>
      <c r="I871" s="2" t="s">
        <v>10</v>
      </c>
      <c r="J871" s="2">
        <f>ABS(DF_2[[#This Row],[Quantity_BEFORE]])</f>
        <v>12</v>
      </c>
      <c r="K871" s="2">
        <f>DF_2[[#This Row],[QUANTITY]]*DF_2[[#This Row],[UnitPrice]]</f>
        <v>10.199999999999999</v>
      </c>
    </row>
    <row r="872" spans="2:11" x14ac:dyDescent="0.25">
      <c r="B872" s="2">
        <v>536404</v>
      </c>
      <c r="C872" s="2">
        <v>21061</v>
      </c>
      <c r="D872" s="2" t="s">
        <v>337</v>
      </c>
      <c r="E872" s="2">
        <v>12</v>
      </c>
      <c r="F872" s="8">
        <v>40513.478472222225</v>
      </c>
      <c r="G872" s="2">
        <v>0.85</v>
      </c>
      <c r="H872" s="2">
        <v>16218</v>
      </c>
      <c r="I872" s="2" t="s">
        <v>10</v>
      </c>
      <c r="J872" s="2">
        <f>ABS(DF_2[[#This Row],[Quantity_BEFORE]])</f>
        <v>12</v>
      </c>
      <c r="K872" s="2">
        <f>DF_2[[#This Row],[QUANTITY]]*DF_2[[#This Row],[UnitPrice]]</f>
        <v>10.199999999999999</v>
      </c>
    </row>
    <row r="873" spans="2:11" x14ac:dyDescent="0.25">
      <c r="B873" s="2">
        <v>536404</v>
      </c>
      <c r="C873" s="2">
        <v>21063</v>
      </c>
      <c r="D873" s="2" t="s">
        <v>338</v>
      </c>
      <c r="E873" s="2">
        <v>12</v>
      </c>
      <c r="F873" s="8">
        <v>40513.478472222225</v>
      </c>
      <c r="G873" s="2">
        <v>0.85</v>
      </c>
      <c r="H873" s="2">
        <v>16218</v>
      </c>
      <c r="I873" s="2" t="s">
        <v>10</v>
      </c>
      <c r="J873" s="2">
        <f>ABS(DF_2[[#This Row],[Quantity_BEFORE]])</f>
        <v>12</v>
      </c>
      <c r="K873" s="2">
        <f>DF_2[[#This Row],[QUANTITY]]*DF_2[[#This Row],[UnitPrice]]</f>
        <v>10.199999999999999</v>
      </c>
    </row>
    <row r="874" spans="2:11" x14ac:dyDescent="0.25">
      <c r="B874" s="2">
        <v>536404</v>
      </c>
      <c r="C874" s="2">
        <v>21062</v>
      </c>
      <c r="D874" s="2" t="s">
        <v>339</v>
      </c>
      <c r="E874" s="2">
        <v>12</v>
      </c>
      <c r="F874" s="8">
        <v>40513.478472222225</v>
      </c>
      <c r="G874" s="2">
        <v>0.85</v>
      </c>
      <c r="H874" s="2">
        <v>16218</v>
      </c>
      <c r="I874" s="2" t="s">
        <v>10</v>
      </c>
      <c r="J874" s="2">
        <f>ABS(DF_2[[#This Row],[Quantity_BEFORE]])</f>
        <v>12</v>
      </c>
      <c r="K874" s="2">
        <f>DF_2[[#This Row],[QUANTITY]]*DF_2[[#This Row],[UnitPrice]]</f>
        <v>10.199999999999999</v>
      </c>
    </row>
    <row r="875" spans="2:11" x14ac:dyDescent="0.25">
      <c r="B875" s="2">
        <v>536408</v>
      </c>
      <c r="C875" s="2">
        <v>20982</v>
      </c>
      <c r="D875" s="2" t="s">
        <v>353</v>
      </c>
      <c r="E875" s="2">
        <v>12</v>
      </c>
      <c r="F875" s="8">
        <v>40513.486805555556</v>
      </c>
      <c r="G875" s="2">
        <v>0.85</v>
      </c>
      <c r="H875" s="2">
        <v>14307</v>
      </c>
      <c r="I875" s="2" t="s">
        <v>10</v>
      </c>
      <c r="J875" s="2">
        <f>ABS(DF_2[[#This Row],[Quantity_BEFORE]])</f>
        <v>12</v>
      </c>
      <c r="K875" s="2">
        <f>DF_2[[#This Row],[QUANTITY]]*DF_2[[#This Row],[UnitPrice]]</f>
        <v>10.199999999999999</v>
      </c>
    </row>
    <row r="876" spans="2:11" x14ac:dyDescent="0.25">
      <c r="B876" s="2">
        <v>536408</v>
      </c>
      <c r="C876" s="2">
        <v>21544</v>
      </c>
      <c r="D876" s="2" t="s">
        <v>356</v>
      </c>
      <c r="E876" s="2">
        <v>12</v>
      </c>
      <c r="F876" s="8">
        <v>40513.486805555556</v>
      </c>
      <c r="G876" s="2">
        <v>0.85</v>
      </c>
      <c r="H876" s="2">
        <v>14307</v>
      </c>
      <c r="I876" s="2" t="s">
        <v>10</v>
      </c>
      <c r="J876" s="2">
        <f>ABS(DF_2[[#This Row],[Quantity_BEFORE]])</f>
        <v>12</v>
      </c>
      <c r="K876" s="2">
        <f>DF_2[[#This Row],[QUANTITY]]*DF_2[[#This Row],[UnitPrice]]</f>
        <v>10.199999999999999</v>
      </c>
    </row>
    <row r="877" spans="2:11" x14ac:dyDescent="0.25">
      <c r="B877" s="2">
        <v>536408</v>
      </c>
      <c r="C877" s="2">
        <v>22219</v>
      </c>
      <c r="D877" s="2" t="s">
        <v>368</v>
      </c>
      <c r="E877" s="2">
        <v>12</v>
      </c>
      <c r="F877" s="8">
        <v>40513.486805555556</v>
      </c>
      <c r="G877" s="2">
        <v>0.85</v>
      </c>
      <c r="H877" s="2">
        <v>14307</v>
      </c>
      <c r="I877" s="2" t="s">
        <v>10</v>
      </c>
      <c r="J877" s="2">
        <f>ABS(DF_2[[#This Row],[Quantity_BEFORE]])</f>
        <v>12</v>
      </c>
      <c r="K877" s="2">
        <f>DF_2[[#This Row],[QUANTITY]]*DF_2[[#This Row],[UnitPrice]]</f>
        <v>10.199999999999999</v>
      </c>
    </row>
    <row r="878" spans="2:11" x14ac:dyDescent="0.25">
      <c r="B878" s="2">
        <v>536415</v>
      </c>
      <c r="C878" s="2">
        <v>22321</v>
      </c>
      <c r="D878" s="2" t="s">
        <v>470</v>
      </c>
      <c r="E878" s="2">
        <v>12</v>
      </c>
      <c r="F878" s="8">
        <v>40513.497916666667</v>
      </c>
      <c r="G878" s="2">
        <v>0.85</v>
      </c>
      <c r="H878" s="2">
        <v>12838</v>
      </c>
      <c r="I878" s="2" t="s">
        <v>10</v>
      </c>
      <c r="J878" s="2">
        <f>ABS(DF_2[[#This Row],[Quantity_BEFORE]])</f>
        <v>12</v>
      </c>
      <c r="K878" s="2">
        <f>DF_2[[#This Row],[QUANTITY]]*DF_2[[#This Row],[UnitPrice]]</f>
        <v>10.199999999999999</v>
      </c>
    </row>
    <row r="879" spans="2:11" x14ac:dyDescent="0.25">
      <c r="B879" s="2">
        <v>536502</v>
      </c>
      <c r="C879" s="2">
        <v>21441</v>
      </c>
      <c r="D879" s="2" t="s">
        <v>637</v>
      </c>
      <c r="E879" s="2">
        <v>12</v>
      </c>
      <c r="F879" s="8">
        <v>40513.525000000001</v>
      </c>
      <c r="G879" s="2">
        <v>0.85</v>
      </c>
      <c r="H879" s="2">
        <v>16552</v>
      </c>
      <c r="I879" s="2" t="s">
        <v>10</v>
      </c>
      <c r="J879" s="2">
        <f>ABS(DF_2[[#This Row],[Quantity_BEFORE]])</f>
        <v>12</v>
      </c>
      <c r="K879" s="2">
        <f>DF_2[[#This Row],[QUANTITY]]*DF_2[[#This Row],[UnitPrice]]</f>
        <v>10.199999999999999</v>
      </c>
    </row>
    <row r="880" spans="2:11" x14ac:dyDescent="0.25">
      <c r="B880" s="2">
        <v>536378</v>
      </c>
      <c r="C880" s="2">
        <v>20723</v>
      </c>
      <c r="D880" s="2" t="s">
        <v>79</v>
      </c>
      <c r="E880" s="2">
        <v>10</v>
      </c>
      <c r="F880" s="8">
        <v>40513.400694444441</v>
      </c>
      <c r="G880" s="2">
        <v>0.85</v>
      </c>
      <c r="H880" s="2">
        <v>14688</v>
      </c>
      <c r="I880" s="2" t="s">
        <v>10</v>
      </c>
      <c r="J880" s="2">
        <f>ABS(DF_2[[#This Row],[Quantity_BEFORE]])</f>
        <v>10</v>
      </c>
      <c r="K880" s="2">
        <f>DF_2[[#This Row],[QUANTITY]]*DF_2[[#This Row],[UnitPrice]]</f>
        <v>8.5</v>
      </c>
    </row>
    <row r="881" spans="2:11" x14ac:dyDescent="0.25">
      <c r="B881" s="2">
        <v>536446</v>
      </c>
      <c r="C881" s="2">
        <v>16016</v>
      </c>
      <c r="D881" s="2" t="s">
        <v>535</v>
      </c>
      <c r="E881" s="2">
        <v>10</v>
      </c>
      <c r="F881" s="8">
        <v>40513.510416666664</v>
      </c>
      <c r="G881" s="2">
        <v>0.85</v>
      </c>
      <c r="H881" s="2">
        <v>15983</v>
      </c>
      <c r="I881" s="2" t="s">
        <v>10</v>
      </c>
      <c r="J881" s="2">
        <f>ABS(DF_2[[#This Row],[Quantity_BEFORE]])</f>
        <v>10</v>
      </c>
      <c r="K881" s="2">
        <f>DF_2[[#This Row],[QUANTITY]]*DF_2[[#This Row],[UnitPrice]]</f>
        <v>8.5</v>
      </c>
    </row>
    <row r="882" spans="2:11" x14ac:dyDescent="0.25">
      <c r="B882" s="2">
        <v>536401</v>
      </c>
      <c r="C882" s="2">
        <v>20992</v>
      </c>
      <c r="D882" s="2" t="s">
        <v>308</v>
      </c>
      <c r="E882" s="2">
        <v>9</v>
      </c>
      <c r="F882" s="8">
        <v>40513.472916666666</v>
      </c>
      <c r="G882" s="2">
        <v>0.85</v>
      </c>
      <c r="H882" s="2">
        <v>15862</v>
      </c>
      <c r="I882" s="2" t="s">
        <v>10</v>
      </c>
      <c r="J882" s="2">
        <f>ABS(DF_2[[#This Row],[Quantity_BEFORE]])</f>
        <v>9</v>
      </c>
      <c r="K882" s="2">
        <f>DF_2[[#This Row],[QUANTITY]]*DF_2[[#This Row],[UnitPrice]]</f>
        <v>7.6499999999999995</v>
      </c>
    </row>
    <row r="883" spans="2:11" x14ac:dyDescent="0.25">
      <c r="B883" s="2">
        <v>536381</v>
      </c>
      <c r="C883" s="2" t="s">
        <v>120</v>
      </c>
      <c r="D883" s="2" t="s">
        <v>121</v>
      </c>
      <c r="E883" s="2">
        <v>6</v>
      </c>
      <c r="F883" s="8">
        <v>40513.40347222222</v>
      </c>
      <c r="G883" s="2">
        <v>0.85</v>
      </c>
      <c r="H883" s="2">
        <v>15311</v>
      </c>
      <c r="I883" s="2" t="s">
        <v>10</v>
      </c>
      <c r="J883" s="2">
        <f>ABS(DF_2[[#This Row],[Quantity_BEFORE]])</f>
        <v>6</v>
      </c>
      <c r="K883" s="2">
        <f>DF_2[[#This Row],[QUANTITY]]*DF_2[[#This Row],[UnitPrice]]</f>
        <v>5.0999999999999996</v>
      </c>
    </row>
    <row r="884" spans="2:11" x14ac:dyDescent="0.25">
      <c r="B884" s="2">
        <v>536409</v>
      </c>
      <c r="C884" s="2">
        <v>21678</v>
      </c>
      <c r="D884" s="2" t="s">
        <v>403</v>
      </c>
      <c r="E884" s="2">
        <v>6</v>
      </c>
      <c r="F884" s="8">
        <v>40513.489583333336</v>
      </c>
      <c r="G884" s="2">
        <v>0.85</v>
      </c>
      <c r="H884" s="2">
        <v>17908</v>
      </c>
      <c r="I884" s="2" t="s">
        <v>10</v>
      </c>
      <c r="J884" s="2">
        <f>ABS(DF_2[[#This Row],[Quantity_BEFORE]])</f>
        <v>6</v>
      </c>
      <c r="K884" s="2">
        <f>DF_2[[#This Row],[QUANTITY]]*DF_2[[#This Row],[UnitPrice]]</f>
        <v>5.0999999999999996</v>
      </c>
    </row>
    <row r="885" spans="2:11" x14ac:dyDescent="0.25">
      <c r="B885" s="2">
        <v>536409</v>
      </c>
      <c r="C885" s="2">
        <v>21676</v>
      </c>
      <c r="D885" s="2" t="s">
        <v>404</v>
      </c>
      <c r="E885" s="2">
        <v>6</v>
      </c>
      <c r="F885" s="8">
        <v>40513.489583333336</v>
      </c>
      <c r="G885" s="2">
        <v>0.85</v>
      </c>
      <c r="H885" s="2">
        <v>17908</v>
      </c>
      <c r="I885" s="2" t="s">
        <v>10</v>
      </c>
      <c r="J885" s="2">
        <f>ABS(DF_2[[#This Row],[Quantity_BEFORE]])</f>
        <v>6</v>
      </c>
      <c r="K885" s="2">
        <f>DF_2[[#This Row],[QUANTITY]]*DF_2[[#This Row],[UnitPrice]]</f>
        <v>5.0999999999999996</v>
      </c>
    </row>
    <row r="886" spans="2:11" x14ac:dyDescent="0.25">
      <c r="B886" s="2">
        <v>536415</v>
      </c>
      <c r="C886" s="2">
        <v>22130</v>
      </c>
      <c r="D886" s="2" t="s">
        <v>466</v>
      </c>
      <c r="E886" s="2">
        <v>6</v>
      </c>
      <c r="F886" s="8">
        <v>40513.497916666667</v>
      </c>
      <c r="G886" s="2">
        <v>0.85</v>
      </c>
      <c r="H886" s="2">
        <v>12838</v>
      </c>
      <c r="I886" s="2" t="s">
        <v>10</v>
      </c>
      <c r="J886" s="2">
        <f>ABS(DF_2[[#This Row],[Quantity_BEFORE]])</f>
        <v>6</v>
      </c>
      <c r="K886" s="2">
        <f>DF_2[[#This Row],[QUANTITY]]*DF_2[[#This Row],[UnitPrice]]</f>
        <v>5.0999999999999996</v>
      </c>
    </row>
    <row r="887" spans="2:11" x14ac:dyDescent="0.25">
      <c r="B887" s="2">
        <v>536415</v>
      </c>
      <c r="C887" s="2">
        <v>22595</v>
      </c>
      <c r="D887" s="2" t="s">
        <v>473</v>
      </c>
      <c r="E887" s="2">
        <v>6</v>
      </c>
      <c r="F887" s="8">
        <v>40513.497916666667</v>
      </c>
      <c r="G887" s="2">
        <v>0.85</v>
      </c>
      <c r="H887" s="2">
        <v>12838</v>
      </c>
      <c r="I887" s="2" t="s">
        <v>10</v>
      </c>
      <c r="J887" s="2">
        <f>ABS(DF_2[[#This Row],[Quantity_BEFORE]])</f>
        <v>6</v>
      </c>
      <c r="K887" s="2">
        <f>DF_2[[#This Row],[QUANTITY]]*DF_2[[#This Row],[UnitPrice]]</f>
        <v>5.0999999999999996</v>
      </c>
    </row>
    <row r="888" spans="2:11" x14ac:dyDescent="0.25">
      <c r="B888" s="2">
        <v>536464</v>
      </c>
      <c r="C888" s="2">
        <v>22945</v>
      </c>
      <c r="D888" s="2" t="s">
        <v>577</v>
      </c>
      <c r="E888" s="2">
        <v>6</v>
      </c>
      <c r="F888" s="8">
        <v>40513.515972222223</v>
      </c>
      <c r="G888" s="2">
        <v>0.85</v>
      </c>
      <c r="H888" s="2">
        <v>17968</v>
      </c>
      <c r="I888" s="2" t="s">
        <v>10</v>
      </c>
      <c r="J888" s="2">
        <f>ABS(DF_2[[#This Row],[Quantity_BEFORE]])</f>
        <v>6</v>
      </c>
      <c r="K888" s="2">
        <f>DF_2[[#This Row],[QUANTITY]]*DF_2[[#This Row],[UnitPrice]]</f>
        <v>5.0999999999999996</v>
      </c>
    </row>
    <row r="889" spans="2:11" x14ac:dyDescent="0.25">
      <c r="B889" s="2">
        <v>536464</v>
      </c>
      <c r="C889" s="2">
        <v>22945</v>
      </c>
      <c r="D889" s="2" t="s">
        <v>577</v>
      </c>
      <c r="E889" s="2">
        <v>6</v>
      </c>
      <c r="F889" s="8">
        <v>40513.515972222223</v>
      </c>
      <c r="G889" s="2">
        <v>0.85</v>
      </c>
      <c r="H889" s="2">
        <v>17968</v>
      </c>
      <c r="I889" s="2" t="s">
        <v>10</v>
      </c>
      <c r="J889" s="2">
        <f>ABS(DF_2[[#This Row],[Quantity_BEFORE]])</f>
        <v>6</v>
      </c>
      <c r="K889" s="2">
        <f>DF_2[[#This Row],[QUANTITY]]*DF_2[[#This Row],[UnitPrice]]</f>
        <v>5.0999999999999996</v>
      </c>
    </row>
    <row r="890" spans="2:11" x14ac:dyDescent="0.25">
      <c r="B890" s="2">
        <v>536464</v>
      </c>
      <c r="C890" s="2">
        <v>22197</v>
      </c>
      <c r="D890" s="2" t="s">
        <v>208</v>
      </c>
      <c r="E890" s="2">
        <v>6</v>
      </c>
      <c r="F890" s="8">
        <v>40513.515972222223</v>
      </c>
      <c r="G890" s="2">
        <v>0.85</v>
      </c>
      <c r="H890" s="2">
        <v>17968</v>
      </c>
      <c r="I890" s="2" t="s">
        <v>10</v>
      </c>
      <c r="J890" s="2">
        <f>ABS(DF_2[[#This Row],[Quantity_BEFORE]])</f>
        <v>6</v>
      </c>
      <c r="K890" s="2">
        <f>DF_2[[#This Row],[QUANTITY]]*DF_2[[#This Row],[UnitPrice]]</f>
        <v>5.0999999999999996</v>
      </c>
    </row>
    <row r="891" spans="2:11" x14ac:dyDescent="0.25">
      <c r="B891" s="2">
        <v>536412</v>
      </c>
      <c r="C891" s="2">
        <v>22197</v>
      </c>
      <c r="D891" s="2" t="s">
        <v>208</v>
      </c>
      <c r="E891" s="2">
        <v>5</v>
      </c>
      <c r="F891" s="8">
        <v>40513.492361111108</v>
      </c>
      <c r="G891" s="2">
        <v>0.85</v>
      </c>
      <c r="H891" s="2">
        <v>17920</v>
      </c>
      <c r="I891" s="2" t="s">
        <v>10</v>
      </c>
      <c r="J891" s="2">
        <f>ABS(DF_2[[#This Row],[Quantity_BEFORE]])</f>
        <v>5</v>
      </c>
      <c r="K891" s="2">
        <f>DF_2[[#This Row],[QUANTITY]]*DF_2[[#This Row],[UnitPrice]]</f>
        <v>4.25</v>
      </c>
    </row>
    <row r="892" spans="2:11" x14ac:dyDescent="0.25">
      <c r="B892" s="2">
        <v>536415</v>
      </c>
      <c r="C892" s="2">
        <v>22909</v>
      </c>
      <c r="D892" s="2" t="s">
        <v>459</v>
      </c>
      <c r="E892" s="2">
        <v>5</v>
      </c>
      <c r="F892" s="8">
        <v>40513.497916666667</v>
      </c>
      <c r="G892" s="2">
        <v>0.85</v>
      </c>
      <c r="H892" s="2">
        <v>12838</v>
      </c>
      <c r="I892" s="2" t="s">
        <v>10</v>
      </c>
      <c r="J892" s="2">
        <f>ABS(DF_2[[#This Row],[Quantity_BEFORE]])</f>
        <v>5</v>
      </c>
      <c r="K892" s="2">
        <f>DF_2[[#This Row],[QUANTITY]]*DF_2[[#This Row],[UnitPrice]]</f>
        <v>4.25</v>
      </c>
    </row>
    <row r="893" spans="2:11" x14ac:dyDescent="0.25">
      <c r="B893" s="2">
        <v>536415</v>
      </c>
      <c r="C893" s="2">
        <v>22594</v>
      </c>
      <c r="D893" s="2" t="s">
        <v>471</v>
      </c>
      <c r="E893" s="2">
        <v>5</v>
      </c>
      <c r="F893" s="8">
        <v>40513.497916666667</v>
      </c>
      <c r="G893" s="2">
        <v>0.85</v>
      </c>
      <c r="H893" s="2">
        <v>12838</v>
      </c>
      <c r="I893" s="2" t="s">
        <v>10</v>
      </c>
      <c r="J893" s="2">
        <f>ABS(DF_2[[#This Row],[Quantity_BEFORE]])</f>
        <v>5</v>
      </c>
      <c r="K893" s="2">
        <f>DF_2[[#This Row],[QUANTITY]]*DF_2[[#This Row],[UnitPrice]]</f>
        <v>4.25</v>
      </c>
    </row>
    <row r="894" spans="2:11" x14ac:dyDescent="0.25">
      <c r="B894" s="2">
        <v>536446</v>
      </c>
      <c r="C894" s="2">
        <v>10133</v>
      </c>
      <c r="D894" s="2" t="s">
        <v>528</v>
      </c>
      <c r="E894" s="2">
        <v>5</v>
      </c>
      <c r="F894" s="8">
        <v>40513.510416666664</v>
      </c>
      <c r="G894" s="2">
        <v>0.85</v>
      </c>
      <c r="H894" s="2">
        <v>15983</v>
      </c>
      <c r="I894" s="2" t="s">
        <v>10</v>
      </c>
      <c r="J894" s="2">
        <f>ABS(DF_2[[#This Row],[Quantity_BEFORE]])</f>
        <v>5</v>
      </c>
      <c r="K894" s="2">
        <f>DF_2[[#This Row],[QUANTITY]]*DF_2[[#This Row],[UnitPrice]]</f>
        <v>4.25</v>
      </c>
    </row>
    <row r="895" spans="2:11" x14ac:dyDescent="0.25">
      <c r="B895" s="2">
        <v>536464</v>
      </c>
      <c r="C895" s="2">
        <v>22197</v>
      </c>
      <c r="D895" s="2" t="s">
        <v>208</v>
      </c>
      <c r="E895" s="2">
        <v>5</v>
      </c>
      <c r="F895" s="8">
        <v>40513.515972222223</v>
      </c>
      <c r="G895" s="2">
        <v>0.85</v>
      </c>
      <c r="H895" s="2">
        <v>17968</v>
      </c>
      <c r="I895" s="2" t="s">
        <v>10</v>
      </c>
      <c r="J895" s="2">
        <f>ABS(DF_2[[#This Row],[Quantity_BEFORE]])</f>
        <v>5</v>
      </c>
      <c r="K895" s="2">
        <f>DF_2[[#This Row],[QUANTITY]]*DF_2[[#This Row],[UnitPrice]]</f>
        <v>4.25</v>
      </c>
    </row>
    <row r="896" spans="2:11" x14ac:dyDescent="0.25">
      <c r="B896" s="2">
        <v>536464</v>
      </c>
      <c r="C896" s="2" t="s">
        <v>595</v>
      </c>
      <c r="D896" s="2" t="s">
        <v>596</v>
      </c>
      <c r="E896" s="2">
        <v>5</v>
      </c>
      <c r="F896" s="8">
        <v>40513.515972222223</v>
      </c>
      <c r="G896" s="2">
        <v>0.85</v>
      </c>
      <c r="H896" s="2">
        <v>17968</v>
      </c>
      <c r="I896" s="2" t="s">
        <v>10</v>
      </c>
      <c r="J896" s="2">
        <f>ABS(DF_2[[#This Row],[Quantity_BEFORE]])</f>
        <v>5</v>
      </c>
      <c r="K896" s="2">
        <f>DF_2[[#This Row],[QUANTITY]]*DF_2[[#This Row],[UnitPrice]]</f>
        <v>4.25</v>
      </c>
    </row>
    <row r="897" spans="2:11" x14ac:dyDescent="0.25">
      <c r="B897" s="2">
        <v>536415</v>
      </c>
      <c r="C897" s="2">
        <v>22593</v>
      </c>
      <c r="D897" s="2" t="s">
        <v>472</v>
      </c>
      <c r="E897" s="2">
        <v>4</v>
      </c>
      <c r="F897" s="8">
        <v>40513.497916666667</v>
      </c>
      <c r="G897" s="2">
        <v>0.85</v>
      </c>
      <c r="H897" s="2">
        <v>12838</v>
      </c>
      <c r="I897" s="2" t="s">
        <v>10</v>
      </c>
      <c r="J897" s="2">
        <f>ABS(DF_2[[#This Row],[Quantity_BEFORE]])</f>
        <v>4</v>
      </c>
      <c r="K897" s="2">
        <f>DF_2[[#This Row],[QUANTITY]]*DF_2[[#This Row],[UnitPrice]]</f>
        <v>3.4</v>
      </c>
    </row>
    <row r="898" spans="2:11" x14ac:dyDescent="0.25">
      <c r="B898" s="2">
        <v>536415</v>
      </c>
      <c r="C898" s="2">
        <v>22587</v>
      </c>
      <c r="D898" s="2" t="s">
        <v>485</v>
      </c>
      <c r="E898" s="2">
        <v>4</v>
      </c>
      <c r="F898" s="8">
        <v>40513.497916666667</v>
      </c>
      <c r="G898" s="2">
        <v>0.85</v>
      </c>
      <c r="H898" s="2">
        <v>12838</v>
      </c>
      <c r="I898" s="2" t="s">
        <v>10</v>
      </c>
      <c r="J898" s="2">
        <f>ABS(DF_2[[#This Row],[Quantity_BEFORE]])</f>
        <v>4</v>
      </c>
      <c r="K898" s="2">
        <f>DF_2[[#This Row],[QUANTITY]]*DF_2[[#This Row],[UnitPrice]]</f>
        <v>3.4</v>
      </c>
    </row>
    <row r="899" spans="2:11" x14ac:dyDescent="0.25">
      <c r="B899" s="2">
        <v>536415</v>
      </c>
      <c r="C899" s="2">
        <v>21790</v>
      </c>
      <c r="D899" s="2" t="s">
        <v>468</v>
      </c>
      <c r="E899" s="2">
        <v>3</v>
      </c>
      <c r="F899" s="8">
        <v>40513.497916666667</v>
      </c>
      <c r="G899" s="2">
        <v>0.85</v>
      </c>
      <c r="H899" s="2">
        <v>12838</v>
      </c>
      <c r="I899" s="2" t="s">
        <v>10</v>
      </c>
      <c r="J899" s="2">
        <f>ABS(DF_2[[#This Row],[Quantity_BEFORE]])</f>
        <v>3</v>
      </c>
      <c r="K899" s="2">
        <f>DF_2[[#This Row],[QUANTITY]]*DF_2[[#This Row],[UnitPrice]]</f>
        <v>2.5499999999999998</v>
      </c>
    </row>
    <row r="900" spans="2:11" x14ac:dyDescent="0.25">
      <c r="B900" s="2">
        <v>536415</v>
      </c>
      <c r="C900" s="2">
        <v>22566</v>
      </c>
      <c r="D900" s="2" t="s">
        <v>486</v>
      </c>
      <c r="E900" s="2">
        <v>3</v>
      </c>
      <c r="F900" s="8">
        <v>40513.497916666667</v>
      </c>
      <c r="G900" s="2">
        <v>0.85</v>
      </c>
      <c r="H900" s="2">
        <v>12838</v>
      </c>
      <c r="I900" s="2" t="s">
        <v>10</v>
      </c>
      <c r="J900" s="2">
        <f>ABS(DF_2[[#This Row],[Quantity_BEFORE]])</f>
        <v>3</v>
      </c>
      <c r="K900" s="2">
        <f>DF_2[[#This Row],[QUANTITY]]*DF_2[[#This Row],[UnitPrice]]</f>
        <v>2.5499999999999998</v>
      </c>
    </row>
    <row r="901" spans="2:11" x14ac:dyDescent="0.25">
      <c r="B901" s="2">
        <v>536415</v>
      </c>
      <c r="C901" s="2">
        <v>22565</v>
      </c>
      <c r="D901" s="2" t="s">
        <v>487</v>
      </c>
      <c r="E901" s="2">
        <v>3</v>
      </c>
      <c r="F901" s="8">
        <v>40513.497916666667</v>
      </c>
      <c r="G901" s="2">
        <v>0.85</v>
      </c>
      <c r="H901" s="2">
        <v>12838</v>
      </c>
      <c r="I901" s="2" t="s">
        <v>10</v>
      </c>
      <c r="J901" s="2">
        <f>ABS(DF_2[[#This Row],[Quantity_BEFORE]])</f>
        <v>3</v>
      </c>
      <c r="K901" s="2">
        <f>DF_2[[#This Row],[QUANTITY]]*DF_2[[#This Row],[UnitPrice]]</f>
        <v>2.5499999999999998</v>
      </c>
    </row>
    <row r="902" spans="2:11" x14ac:dyDescent="0.25">
      <c r="B902" s="2">
        <v>536464</v>
      </c>
      <c r="C902" s="2" t="s">
        <v>593</v>
      </c>
      <c r="D902" s="2" t="s">
        <v>594</v>
      </c>
      <c r="E902" s="2">
        <v>3</v>
      </c>
      <c r="F902" s="8">
        <v>40513.515972222223</v>
      </c>
      <c r="G902" s="2">
        <v>0.85</v>
      </c>
      <c r="H902" s="2">
        <v>17968</v>
      </c>
      <c r="I902" s="2" t="s">
        <v>10</v>
      </c>
      <c r="J902" s="2">
        <f>ABS(DF_2[[#This Row],[Quantity_BEFORE]])</f>
        <v>3</v>
      </c>
      <c r="K902" s="2">
        <f>DF_2[[#This Row],[QUANTITY]]*DF_2[[#This Row],[UnitPrice]]</f>
        <v>2.5499999999999998</v>
      </c>
    </row>
    <row r="903" spans="2:11" x14ac:dyDescent="0.25">
      <c r="B903" s="2">
        <v>536520</v>
      </c>
      <c r="C903" s="2">
        <v>22197</v>
      </c>
      <c r="D903" s="2" t="s">
        <v>208</v>
      </c>
      <c r="E903" s="2">
        <v>3</v>
      </c>
      <c r="F903" s="8">
        <v>40513.529861111114</v>
      </c>
      <c r="G903" s="2">
        <v>0.85</v>
      </c>
      <c r="H903" s="2">
        <v>14729</v>
      </c>
      <c r="I903" s="2" t="s">
        <v>10</v>
      </c>
      <c r="J903" s="2">
        <f>ABS(DF_2[[#This Row],[Quantity_BEFORE]])</f>
        <v>3</v>
      </c>
      <c r="K903" s="2">
        <f>DF_2[[#This Row],[QUANTITY]]*DF_2[[#This Row],[UnitPrice]]</f>
        <v>2.5499999999999998</v>
      </c>
    </row>
    <row r="904" spans="2:11" x14ac:dyDescent="0.25">
      <c r="B904" s="2">
        <v>536409</v>
      </c>
      <c r="C904" s="2">
        <v>22197</v>
      </c>
      <c r="D904" s="2" t="s">
        <v>208</v>
      </c>
      <c r="E904" s="2">
        <v>2</v>
      </c>
      <c r="F904" s="8">
        <v>40513.489583333336</v>
      </c>
      <c r="G904" s="2">
        <v>0.85</v>
      </c>
      <c r="H904" s="2">
        <v>17908</v>
      </c>
      <c r="I904" s="2" t="s">
        <v>10</v>
      </c>
      <c r="J904" s="2">
        <f>ABS(DF_2[[#This Row],[Quantity_BEFORE]])</f>
        <v>2</v>
      </c>
      <c r="K904" s="2">
        <f>DF_2[[#This Row],[QUANTITY]]*DF_2[[#This Row],[UnitPrice]]</f>
        <v>1.7</v>
      </c>
    </row>
    <row r="905" spans="2:11" x14ac:dyDescent="0.25">
      <c r="B905" s="2">
        <v>536464</v>
      </c>
      <c r="C905" s="2">
        <v>10125</v>
      </c>
      <c r="D905" s="2" t="s">
        <v>581</v>
      </c>
      <c r="E905" s="2">
        <v>2</v>
      </c>
      <c r="F905" s="8">
        <v>40513.515972222223</v>
      </c>
      <c r="G905" s="2">
        <v>0.85</v>
      </c>
      <c r="H905" s="2">
        <v>17968</v>
      </c>
      <c r="I905" s="2" t="s">
        <v>10</v>
      </c>
      <c r="J905" s="2">
        <f>ABS(DF_2[[#This Row],[Quantity_BEFORE]])</f>
        <v>2</v>
      </c>
      <c r="K905" s="2">
        <f>DF_2[[#This Row],[QUANTITY]]*DF_2[[#This Row],[UnitPrice]]</f>
        <v>1.7</v>
      </c>
    </row>
    <row r="906" spans="2:11" x14ac:dyDescent="0.25">
      <c r="B906" s="2">
        <v>536464</v>
      </c>
      <c r="C906" s="2">
        <v>22603</v>
      </c>
      <c r="D906" s="2" t="s">
        <v>584</v>
      </c>
      <c r="E906" s="2">
        <v>2</v>
      </c>
      <c r="F906" s="8">
        <v>40513.515972222223</v>
      </c>
      <c r="G906" s="2">
        <v>0.85</v>
      </c>
      <c r="H906" s="2">
        <v>17968</v>
      </c>
      <c r="I906" s="2" t="s">
        <v>10</v>
      </c>
      <c r="J906" s="2">
        <f>ABS(DF_2[[#This Row],[Quantity_BEFORE]])</f>
        <v>2</v>
      </c>
      <c r="K906" s="2">
        <f>DF_2[[#This Row],[QUANTITY]]*DF_2[[#This Row],[UnitPrice]]</f>
        <v>1.7</v>
      </c>
    </row>
    <row r="907" spans="2:11" x14ac:dyDescent="0.25">
      <c r="B907" s="2">
        <v>536464</v>
      </c>
      <c r="C907" s="2" t="s">
        <v>593</v>
      </c>
      <c r="D907" s="2" t="s">
        <v>594</v>
      </c>
      <c r="E907" s="2">
        <v>2</v>
      </c>
      <c r="F907" s="8">
        <v>40513.515972222223</v>
      </c>
      <c r="G907" s="2">
        <v>0.85</v>
      </c>
      <c r="H907" s="2">
        <v>17968</v>
      </c>
      <c r="I907" s="2" t="s">
        <v>10</v>
      </c>
      <c r="J907" s="2">
        <f>ABS(DF_2[[#This Row],[Quantity_BEFORE]])</f>
        <v>2</v>
      </c>
      <c r="K907" s="2">
        <f>DF_2[[#This Row],[QUANTITY]]*DF_2[[#This Row],[UnitPrice]]</f>
        <v>1.7</v>
      </c>
    </row>
    <row r="908" spans="2:11" x14ac:dyDescent="0.25">
      <c r="B908" s="2">
        <v>536488</v>
      </c>
      <c r="C908" s="2">
        <v>22651</v>
      </c>
      <c r="D908" s="2" t="s">
        <v>619</v>
      </c>
      <c r="E908" s="2">
        <v>2</v>
      </c>
      <c r="F908" s="8">
        <v>40513.521527777775</v>
      </c>
      <c r="G908" s="2">
        <v>0.85</v>
      </c>
      <c r="H908" s="2">
        <v>17897</v>
      </c>
      <c r="I908" s="2" t="s">
        <v>10</v>
      </c>
      <c r="J908" s="2">
        <f>ABS(DF_2[[#This Row],[Quantity_BEFORE]])</f>
        <v>2</v>
      </c>
      <c r="K908" s="2">
        <f>DF_2[[#This Row],[QUANTITY]]*DF_2[[#This Row],[UnitPrice]]</f>
        <v>1.7</v>
      </c>
    </row>
    <row r="909" spans="2:11" x14ac:dyDescent="0.25">
      <c r="B909" s="2">
        <v>536381</v>
      </c>
      <c r="C909" s="2">
        <v>22262</v>
      </c>
      <c r="D909" s="2" t="s">
        <v>109</v>
      </c>
      <c r="E909" s="2">
        <v>1</v>
      </c>
      <c r="F909" s="8">
        <v>40513.40347222222</v>
      </c>
      <c r="G909" s="2">
        <v>0.85</v>
      </c>
      <c r="H909" s="2">
        <v>15311</v>
      </c>
      <c r="I909" s="2" t="s">
        <v>10</v>
      </c>
      <c r="J909" s="2">
        <f>ABS(DF_2[[#This Row],[Quantity_BEFORE]])</f>
        <v>1</v>
      </c>
      <c r="K909" s="2">
        <f>DF_2[[#This Row],[QUANTITY]]*DF_2[[#This Row],[UnitPrice]]</f>
        <v>0.85</v>
      </c>
    </row>
    <row r="910" spans="2:11" x14ac:dyDescent="0.25">
      <c r="B910" s="2">
        <v>536381</v>
      </c>
      <c r="C910" s="2">
        <v>22261</v>
      </c>
      <c r="D910" s="2" t="s">
        <v>123</v>
      </c>
      <c r="E910" s="2">
        <v>1</v>
      </c>
      <c r="F910" s="8">
        <v>40513.40347222222</v>
      </c>
      <c r="G910" s="2">
        <v>0.85</v>
      </c>
      <c r="H910" s="2">
        <v>15311</v>
      </c>
      <c r="I910" s="2" t="s">
        <v>10</v>
      </c>
      <c r="J910" s="2">
        <f>ABS(DF_2[[#This Row],[Quantity_BEFORE]])</f>
        <v>1</v>
      </c>
      <c r="K910" s="2">
        <f>DF_2[[#This Row],[QUANTITY]]*DF_2[[#This Row],[UnitPrice]]</f>
        <v>0.85</v>
      </c>
    </row>
    <row r="911" spans="2:11" x14ac:dyDescent="0.25">
      <c r="B911" s="2">
        <v>536381</v>
      </c>
      <c r="C911" s="2">
        <v>84832</v>
      </c>
      <c r="D911" s="2" t="s">
        <v>124</v>
      </c>
      <c r="E911" s="2">
        <v>1</v>
      </c>
      <c r="F911" s="8">
        <v>40513.40347222222</v>
      </c>
      <c r="G911" s="2">
        <v>0.85</v>
      </c>
      <c r="H911" s="2">
        <v>15311</v>
      </c>
      <c r="I911" s="2" t="s">
        <v>10</v>
      </c>
      <c r="J911" s="2">
        <f>ABS(DF_2[[#This Row],[Quantity_BEFORE]])</f>
        <v>1</v>
      </c>
      <c r="K911" s="2">
        <f>DF_2[[#This Row],[QUANTITY]]*DF_2[[#This Row],[UnitPrice]]</f>
        <v>0.85</v>
      </c>
    </row>
    <row r="912" spans="2:11" x14ac:dyDescent="0.25">
      <c r="B912" s="2">
        <v>536401</v>
      </c>
      <c r="C912" s="2">
        <v>22851</v>
      </c>
      <c r="D912" s="2" t="s">
        <v>294</v>
      </c>
      <c r="E912" s="2">
        <v>1</v>
      </c>
      <c r="F912" s="8">
        <v>40513.472916666666</v>
      </c>
      <c r="G912" s="2">
        <v>0.85</v>
      </c>
      <c r="H912" s="2">
        <v>15862</v>
      </c>
      <c r="I912" s="2" t="s">
        <v>10</v>
      </c>
      <c r="J912" s="2">
        <f>ABS(DF_2[[#This Row],[Quantity_BEFORE]])</f>
        <v>1</v>
      </c>
      <c r="K912" s="2">
        <f>DF_2[[#This Row],[QUANTITY]]*DF_2[[#This Row],[UnitPrice]]</f>
        <v>0.85</v>
      </c>
    </row>
    <row r="913" spans="2:11" x14ac:dyDescent="0.25">
      <c r="B913" s="2">
        <v>536409</v>
      </c>
      <c r="C913" s="2">
        <v>20723</v>
      </c>
      <c r="D913" s="2" t="s">
        <v>79</v>
      </c>
      <c r="E913" s="2">
        <v>1</v>
      </c>
      <c r="F913" s="8">
        <v>40513.489583333336</v>
      </c>
      <c r="G913" s="2">
        <v>0.85</v>
      </c>
      <c r="H913" s="2">
        <v>17908</v>
      </c>
      <c r="I913" s="2" t="s">
        <v>10</v>
      </c>
      <c r="J913" s="2">
        <f>ABS(DF_2[[#This Row],[Quantity_BEFORE]])</f>
        <v>1</v>
      </c>
      <c r="K913" s="2">
        <f>DF_2[[#This Row],[QUANTITY]]*DF_2[[#This Row],[UnitPrice]]</f>
        <v>0.85</v>
      </c>
    </row>
    <row r="914" spans="2:11" x14ac:dyDescent="0.25">
      <c r="B914" s="2">
        <v>536464</v>
      </c>
      <c r="C914" s="2">
        <v>22573</v>
      </c>
      <c r="D914" s="2" t="s">
        <v>582</v>
      </c>
      <c r="E914" s="2">
        <v>1</v>
      </c>
      <c r="F914" s="8">
        <v>40513.515972222223</v>
      </c>
      <c r="G914" s="2">
        <v>0.85</v>
      </c>
      <c r="H914" s="2">
        <v>17968</v>
      </c>
      <c r="I914" s="2" t="s">
        <v>10</v>
      </c>
      <c r="J914" s="2">
        <f>ABS(DF_2[[#This Row],[Quantity_BEFORE]])</f>
        <v>1</v>
      </c>
      <c r="K914" s="2">
        <f>DF_2[[#This Row],[QUANTITY]]*DF_2[[#This Row],[UnitPrice]]</f>
        <v>0.85</v>
      </c>
    </row>
    <row r="915" spans="2:11" x14ac:dyDescent="0.25">
      <c r="B915" s="2">
        <v>536464</v>
      </c>
      <c r="C915" s="2">
        <v>22577</v>
      </c>
      <c r="D915" s="2" t="s">
        <v>583</v>
      </c>
      <c r="E915" s="2">
        <v>1</v>
      </c>
      <c r="F915" s="8">
        <v>40513.515972222223</v>
      </c>
      <c r="G915" s="2">
        <v>0.85</v>
      </c>
      <c r="H915" s="2">
        <v>17968</v>
      </c>
      <c r="I915" s="2" t="s">
        <v>10</v>
      </c>
      <c r="J915" s="2">
        <f>ABS(DF_2[[#This Row],[Quantity_BEFORE]])</f>
        <v>1</v>
      </c>
      <c r="K915" s="2">
        <f>DF_2[[#This Row],[QUANTITY]]*DF_2[[#This Row],[UnitPrice]]</f>
        <v>0.85</v>
      </c>
    </row>
    <row r="916" spans="2:11" x14ac:dyDescent="0.25">
      <c r="B916" s="2">
        <v>536464</v>
      </c>
      <c r="C916" s="2" t="s">
        <v>595</v>
      </c>
      <c r="D916" s="2" t="s">
        <v>596</v>
      </c>
      <c r="E916" s="2">
        <v>1</v>
      </c>
      <c r="F916" s="8">
        <v>40513.515972222223</v>
      </c>
      <c r="G916" s="2">
        <v>0.85</v>
      </c>
      <c r="H916" s="2">
        <v>17968</v>
      </c>
      <c r="I916" s="2" t="s">
        <v>10</v>
      </c>
      <c r="J916" s="2">
        <f>ABS(DF_2[[#This Row],[Quantity_BEFORE]])</f>
        <v>1</v>
      </c>
      <c r="K916" s="2">
        <f>DF_2[[#This Row],[QUANTITY]]*DF_2[[#This Row],[UnitPrice]]</f>
        <v>0.85</v>
      </c>
    </row>
    <row r="917" spans="2:11" x14ac:dyDescent="0.25">
      <c r="B917" s="2">
        <v>536464</v>
      </c>
      <c r="C917" s="2">
        <v>72818</v>
      </c>
      <c r="D917" s="2" t="s">
        <v>604</v>
      </c>
      <c r="E917" s="2">
        <v>1</v>
      </c>
      <c r="F917" s="8">
        <v>40513.515972222223</v>
      </c>
      <c r="G917" s="2">
        <v>0.85</v>
      </c>
      <c r="H917" s="2">
        <v>17968</v>
      </c>
      <c r="I917" s="2" t="s">
        <v>10</v>
      </c>
      <c r="J917" s="2">
        <f>ABS(DF_2[[#This Row],[Quantity_BEFORE]])</f>
        <v>1</v>
      </c>
      <c r="K917" s="2">
        <f>DF_2[[#This Row],[QUANTITY]]*DF_2[[#This Row],[UnitPrice]]</f>
        <v>0.85</v>
      </c>
    </row>
    <row r="918" spans="2:11" x14ac:dyDescent="0.25">
      <c r="B918" s="2">
        <v>536488</v>
      </c>
      <c r="C918" s="2">
        <v>22909</v>
      </c>
      <c r="D918" s="2" t="s">
        <v>459</v>
      </c>
      <c r="E918" s="2">
        <v>1</v>
      </c>
      <c r="F918" s="8">
        <v>40513.521527777775</v>
      </c>
      <c r="G918" s="2">
        <v>0.85</v>
      </c>
      <c r="H918" s="2">
        <v>17897</v>
      </c>
      <c r="I918" s="2" t="s">
        <v>10</v>
      </c>
      <c r="J918" s="2">
        <f>ABS(DF_2[[#This Row],[Quantity_BEFORE]])</f>
        <v>1</v>
      </c>
      <c r="K918" s="2">
        <f>DF_2[[#This Row],[QUANTITY]]*DF_2[[#This Row],[UnitPrice]]</f>
        <v>0.85</v>
      </c>
    </row>
    <row r="919" spans="2:11" x14ac:dyDescent="0.25">
      <c r="B919" s="2">
        <v>536520</v>
      </c>
      <c r="C919" s="2">
        <v>22754</v>
      </c>
      <c r="D919" s="2" t="s">
        <v>655</v>
      </c>
      <c r="E919" s="2">
        <v>1</v>
      </c>
      <c r="F919" s="8">
        <v>40513.529861111114</v>
      </c>
      <c r="G919" s="2">
        <v>0.85</v>
      </c>
      <c r="H919" s="2">
        <v>14729</v>
      </c>
      <c r="I919" s="2" t="s">
        <v>10</v>
      </c>
      <c r="J919" s="2">
        <f>ABS(DF_2[[#This Row],[Quantity_BEFORE]])</f>
        <v>1</v>
      </c>
      <c r="K919" s="2">
        <f>DF_2[[#This Row],[QUANTITY]]*DF_2[[#This Row],[UnitPrice]]</f>
        <v>0.85</v>
      </c>
    </row>
    <row r="920" spans="2:11" x14ac:dyDescent="0.25">
      <c r="B920" s="2">
        <v>536477</v>
      </c>
      <c r="C920" s="2">
        <v>22595</v>
      </c>
      <c r="D920" s="2" t="s">
        <v>473</v>
      </c>
      <c r="E920" s="2">
        <v>144</v>
      </c>
      <c r="F920" s="8">
        <v>40513.518750000003</v>
      </c>
      <c r="G920" s="2">
        <v>0.72</v>
      </c>
      <c r="H920" s="2">
        <v>16210</v>
      </c>
      <c r="I920" s="2" t="s">
        <v>10</v>
      </c>
      <c r="J920" s="2">
        <f>ABS(DF_2[[#This Row],[Quantity_BEFORE]])</f>
        <v>144</v>
      </c>
      <c r="K920" s="2">
        <f>DF_2[[#This Row],[QUANTITY]]*DF_2[[#This Row],[UnitPrice]]</f>
        <v>103.67999999999999</v>
      </c>
    </row>
    <row r="921" spans="2:11" x14ac:dyDescent="0.25">
      <c r="B921" s="2">
        <v>536477</v>
      </c>
      <c r="C921" s="2">
        <v>22593</v>
      </c>
      <c r="D921" s="2" t="s">
        <v>472</v>
      </c>
      <c r="E921" s="2">
        <v>144</v>
      </c>
      <c r="F921" s="8">
        <v>40513.518750000003</v>
      </c>
      <c r="G921" s="2">
        <v>0.72</v>
      </c>
      <c r="H921" s="2">
        <v>16210</v>
      </c>
      <c r="I921" s="2" t="s">
        <v>10</v>
      </c>
      <c r="J921" s="2">
        <f>ABS(DF_2[[#This Row],[Quantity_BEFORE]])</f>
        <v>144</v>
      </c>
      <c r="K921" s="2">
        <f>DF_2[[#This Row],[QUANTITY]]*DF_2[[#This Row],[UnitPrice]]</f>
        <v>103.67999999999999</v>
      </c>
    </row>
    <row r="922" spans="2:11" x14ac:dyDescent="0.25">
      <c r="B922" s="2">
        <v>536390</v>
      </c>
      <c r="C922" s="2">
        <v>22197</v>
      </c>
      <c r="D922" s="2" t="s">
        <v>208</v>
      </c>
      <c r="E922" s="2">
        <v>100</v>
      </c>
      <c r="F922" s="8">
        <v>40513.429861111108</v>
      </c>
      <c r="G922" s="2">
        <v>0.72</v>
      </c>
      <c r="H922" s="2">
        <v>17511</v>
      </c>
      <c r="I922" s="2" t="s">
        <v>10</v>
      </c>
      <c r="J922" s="2">
        <f>ABS(DF_2[[#This Row],[Quantity_BEFORE]])</f>
        <v>100</v>
      </c>
      <c r="K922" s="2">
        <f>DF_2[[#This Row],[QUANTITY]]*DF_2[[#This Row],[UnitPrice]]</f>
        <v>72</v>
      </c>
    </row>
    <row r="923" spans="2:11" x14ac:dyDescent="0.25">
      <c r="B923" s="2">
        <v>536477</v>
      </c>
      <c r="C923" s="2">
        <v>22571</v>
      </c>
      <c r="D923" s="2" t="s">
        <v>610</v>
      </c>
      <c r="E923" s="2">
        <v>96</v>
      </c>
      <c r="F923" s="8">
        <v>40513.518750000003</v>
      </c>
      <c r="G923" s="2">
        <v>0.72</v>
      </c>
      <c r="H923" s="2">
        <v>16210</v>
      </c>
      <c r="I923" s="2" t="s">
        <v>10</v>
      </c>
      <c r="J923" s="2">
        <f>ABS(DF_2[[#This Row],[Quantity_BEFORE]])</f>
        <v>96</v>
      </c>
      <c r="K923" s="2">
        <f>DF_2[[#This Row],[QUANTITY]]*DF_2[[#This Row],[UnitPrice]]</f>
        <v>69.12</v>
      </c>
    </row>
    <row r="924" spans="2:11" x14ac:dyDescent="0.25">
      <c r="B924" s="2">
        <v>536390</v>
      </c>
      <c r="C924" s="2">
        <v>22962</v>
      </c>
      <c r="D924" s="2" t="s">
        <v>201</v>
      </c>
      <c r="E924" s="2">
        <v>48</v>
      </c>
      <c r="F924" s="8">
        <v>40513.429861111108</v>
      </c>
      <c r="G924" s="2">
        <v>0.72</v>
      </c>
      <c r="H924" s="2">
        <v>17511</v>
      </c>
      <c r="I924" s="2" t="s">
        <v>10</v>
      </c>
      <c r="J924" s="2">
        <f>ABS(DF_2[[#This Row],[Quantity_BEFORE]])</f>
        <v>48</v>
      </c>
      <c r="K924" s="2">
        <f>DF_2[[#This Row],[QUANTITY]]*DF_2[[#This Row],[UnitPrice]]</f>
        <v>34.56</v>
      </c>
    </row>
    <row r="925" spans="2:11" x14ac:dyDescent="0.25">
      <c r="B925" s="2">
        <v>536390</v>
      </c>
      <c r="C925" s="2">
        <v>22963</v>
      </c>
      <c r="D925" s="2" t="s">
        <v>202</v>
      </c>
      <c r="E925" s="2">
        <v>48</v>
      </c>
      <c r="F925" s="8">
        <v>40513.429861111108</v>
      </c>
      <c r="G925" s="2">
        <v>0.72</v>
      </c>
      <c r="H925" s="2">
        <v>17511</v>
      </c>
      <c r="I925" s="2" t="s">
        <v>10</v>
      </c>
      <c r="J925" s="2">
        <f>ABS(DF_2[[#This Row],[Quantity_BEFORE]])</f>
        <v>48</v>
      </c>
      <c r="K925" s="2">
        <f>DF_2[[#This Row],[QUANTITY]]*DF_2[[#This Row],[UnitPrice]]</f>
        <v>34.56</v>
      </c>
    </row>
    <row r="926" spans="2:11" x14ac:dyDescent="0.25">
      <c r="B926" s="2">
        <v>536384</v>
      </c>
      <c r="C926" s="2">
        <v>84755</v>
      </c>
      <c r="D926" s="2" t="s">
        <v>154</v>
      </c>
      <c r="E926" s="2">
        <v>48</v>
      </c>
      <c r="F926" s="8">
        <v>40513.411805555559</v>
      </c>
      <c r="G926" s="2">
        <v>0.65</v>
      </c>
      <c r="H926" s="2">
        <v>18074</v>
      </c>
      <c r="I926" s="2" t="s">
        <v>10</v>
      </c>
      <c r="J926" s="2">
        <f>ABS(DF_2[[#This Row],[Quantity_BEFORE]])</f>
        <v>48</v>
      </c>
      <c r="K926" s="2">
        <f>DF_2[[#This Row],[QUANTITY]]*DF_2[[#This Row],[UnitPrice]]</f>
        <v>31.200000000000003</v>
      </c>
    </row>
    <row r="927" spans="2:11" x14ac:dyDescent="0.25">
      <c r="B927" s="2">
        <v>536390</v>
      </c>
      <c r="C927" s="2">
        <v>21086</v>
      </c>
      <c r="D927" s="2" t="s">
        <v>211</v>
      </c>
      <c r="E927" s="2">
        <v>48</v>
      </c>
      <c r="F927" s="8">
        <v>40513.429861111108</v>
      </c>
      <c r="G927" s="2">
        <v>0.65</v>
      </c>
      <c r="H927" s="2">
        <v>17511</v>
      </c>
      <c r="I927" s="2" t="s">
        <v>10</v>
      </c>
      <c r="J927" s="2">
        <f>ABS(DF_2[[#This Row],[Quantity_BEFORE]])</f>
        <v>48</v>
      </c>
      <c r="K927" s="2">
        <f>DF_2[[#This Row],[QUANTITY]]*DF_2[[#This Row],[UnitPrice]]</f>
        <v>31.200000000000003</v>
      </c>
    </row>
    <row r="928" spans="2:11" x14ac:dyDescent="0.25">
      <c r="B928" s="2">
        <v>536370</v>
      </c>
      <c r="C928" s="2">
        <v>22492</v>
      </c>
      <c r="D928" s="2" t="s">
        <v>58</v>
      </c>
      <c r="E928" s="2">
        <v>36</v>
      </c>
      <c r="F928" s="8">
        <v>40513.364583333336</v>
      </c>
      <c r="G928" s="2">
        <v>0.65</v>
      </c>
      <c r="H928" s="2">
        <v>12583</v>
      </c>
      <c r="I928" s="2" t="s">
        <v>40</v>
      </c>
      <c r="J928" s="2">
        <f>ABS(DF_2[[#This Row],[Quantity_BEFORE]])</f>
        <v>36</v>
      </c>
      <c r="K928" s="2">
        <f>DF_2[[#This Row],[QUANTITY]]*DF_2[[#This Row],[UnitPrice]]</f>
        <v>23.400000000000002</v>
      </c>
    </row>
    <row r="929" spans="2:11" x14ac:dyDescent="0.25">
      <c r="B929" s="2">
        <v>536408</v>
      </c>
      <c r="C929" s="2">
        <v>22492</v>
      </c>
      <c r="D929" s="2" t="s">
        <v>58</v>
      </c>
      <c r="E929" s="2">
        <v>36</v>
      </c>
      <c r="F929" s="8">
        <v>40513.486805555556</v>
      </c>
      <c r="G929" s="2">
        <v>0.65</v>
      </c>
      <c r="H929" s="2">
        <v>14307</v>
      </c>
      <c r="I929" s="2" t="s">
        <v>10</v>
      </c>
      <c r="J929" s="2">
        <f>ABS(DF_2[[#This Row],[Quantity_BEFORE]])</f>
        <v>36</v>
      </c>
      <c r="K929" s="2">
        <f>DF_2[[#This Row],[QUANTITY]]*DF_2[[#This Row],[UnitPrice]]</f>
        <v>23.400000000000002</v>
      </c>
    </row>
    <row r="930" spans="2:11" x14ac:dyDescent="0.25">
      <c r="B930" s="2">
        <v>536370</v>
      </c>
      <c r="C930" s="2">
        <v>21883</v>
      </c>
      <c r="D930" s="2" t="s">
        <v>44</v>
      </c>
      <c r="E930" s="2">
        <v>24</v>
      </c>
      <c r="F930" s="8">
        <v>40513.364583333336</v>
      </c>
      <c r="G930" s="2">
        <v>0.65</v>
      </c>
      <c r="H930" s="2">
        <v>12583</v>
      </c>
      <c r="I930" s="2" t="s">
        <v>40</v>
      </c>
      <c r="J930" s="2">
        <f>ABS(DF_2[[#This Row],[Quantity_BEFORE]])</f>
        <v>24</v>
      </c>
      <c r="K930" s="2">
        <f>DF_2[[#This Row],[QUANTITY]]*DF_2[[#This Row],[UnitPrice]]</f>
        <v>15.600000000000001</v>
      </c>
    </row>
    <row r="931" spans="2:11" x14ac:dyDescent="0.25">
      <c r="B931" s="2">
        <v>536392</v>
      </c>
      <c r="C931" s="2">
        <v>22338</v>
      </c>
      <c r="D931" s="2" t="s">
        <v>234</v>
      </c>
      <c r="E931" s="2">
        <v>24</v>
      </c>
      <c r="F931" s="8">
        <v>40513.436805555553</v>
      </c>
      <c r="G931" s="2">
        <v>0.65</v>
      </c>
      <c r="H931" s="2">
        <v>13705</v>
      </c>
      <c r="I931" s="2" t="s">
        <v>10</v>
      </c>
      <c r="J931" s="2">
        <f>ABS(DF_2[[#This Row],[Quantity_BEFORE]])</f>
        <v>24</v>
      </c>
      <c r="K931" s="2">
        <f>DF_2[[#This Row],[QUANTITY]]*DF_2[[#This Row],[UnitPrice]]</f>
        <v>15.600000000000001</v>
      </c>
    </row>
    <row r="932" spans="2:11" x14ac:dyDescent="0.25">
      <c r="B932" s="2">
        <v>536409</v>
      </c>
      <c r="C932" s="2">
        <v>21326</v>
      </c>
      <c r="D932" s="2" t="s">
        <v>411</v>
      </c>
      <c r="E932" s="2">
        <v>12</v>
      </c>
      <c r="F932" s="8">
        <v>40513.489583333336</v>
      </c>
      <c r="G932" s="2">
        <v>0.65</v>
      </c>
      <c r="H932" s="2">
        <v>17908</v>
      </c>
      <c r="I932" s="2" t="s">
        <v>10</v>
      </c>
      <c r="J932" s="2">
        <f>ABS(DF_2[[#This Row],[Quantity_BEFORE]])</f>
        <v>12</v>
      </c>
      <c r="K932" s="2">
        <f>DF_2[[#This Row],[QUANTITY]]*DF_2[[#This Row],[UnitPrice]]</f>
        <v>7.8000000000000007</v>
      </c>
    </row>
    <row r="933" spans="2:11" x14ac:dyDescent="0.25">
      <c r="B933" s="2">
        <v>536412</v>
      </c>
      <c r="C933" s="2">
        <v>21880</v>
      </c>
      <c r="D933" s="2" t="s">
        <v>432</v>
      </c>
      <c r="E933" s="2">
        <v>10</v>
      </c>
      <c r="F933" s="8">
        <v>40513.492361111108</v>
      </c>
      <c r="G933" s="2">
        <v>0.65</v>
      </c>
      <c r="H933" s="2">
        <v>17920</v>
      </c>
      <c r="I933" s="2" t="s">
        <v>10</v>
      </c>
      <c r="J933" s="2">
        <f>ABS(DF_2[[#This Row],[Quantity_BEFORE]])</f>
        <v>10</v>
      </c>
      <c r="K933" s="2">
        <f>DF_2[[#This Row],[QUANTITY]]*DF_2[[#This Row],[UnitPrice]]</f>
        <v>6.5</v>
      </c>
    </row>
    <row r="934" spans="2:11" x14ac:dyDescent="0.25">
      <c r="B934" s="2">
        <v>536520</v>
      </c>
      <c r="C934" s="2">
        <v>22920</v>
      </c>
      <c r="D934" s="2" t="s">
        <v>658</v>
      </c>
      <c r="E934" s="2">
        <v>3</v>
      </c>
      <c r="F934" s="8">
        <v>40513.529861111114</v>
      </c>
      <c r="G934" s="2">
        <v>0.65</v>
      </c>
      <c r="H934" s="2">
        <v>14729</v>
      </c>
      <c r="I934" s="2" t="s">
        <v>10</v>
      </c>
      <c r="J934" s="2">
        <f>ABS(DF_2[[#This Row],[Quantity_BEFORE]])</f>
        <v>3</v>
      </c>
      <c r="K934" s="2">
        <f>DF_2[[#This Row],[QUANTITY]]*DF_2[[#This Row],[UnitPrice]]</f>
        <v>1.9500000000000002</v>
      </c>
    </row>
    <row r="935" spans="2:11" x14ac:dyDescent="0.25">
      <c r="B935" s="2">
        <v>536520</v>
      </c>
      <c r="C935" s="2">
        <v>22919</v>
      </c>
      <c r="D935" s="2" t="s">
        <v>656</v>
      </c>
      <c r="E935" s="2">
        <v>2</v>
      </c>
      <c r="F935" s="8">
        <v>40513.529861111114</v>
      </c>
      <c r="G935" s="2">
        <v>0.65</v>
      </c>
      <c r="H935" s="2">
        <v>14729</v>
      </c>
      <c r="I935" s="2" t="s">
        <v>10</v>
      </c>
      <c r="J935" s="2">
        <f>ABS(DF_2[[#This Row],[Quantity_BEFORE]])</f>
        <v>2</v>
      </c>
      <c r="K935" s="2">
        <f>DF_2[[#This Row],[QUANTITY]]*DF_2[[#This Row],[UnitPrice]]</f>
        <v>1.3</v>
      </c>
    </row>
    <row r="936" spans="2:11" x14ac:dyDescent="0.25">
      <c r="B936" s="2">
        <v>536520</v>
      </c>
      <c r="C936" s="2">
        <v>22921</v>
      </c>
      <c r="D936" s="2" t="s">
        <v>659</v>
      </c>
      <c r="E936" s="2">
        <v>2</v>
      </c>
      <c r="F936" s="8">
        <v>40513.529861111114</v>
      </c>
      <c r="G936" s="2">
        <v>0.65</v>
      </c>
      <c r="H936" s="2">
        <v>14729</v>
      </c>
      <c r="I936" s="2" t="s">
        <v>10</v>
      </c>
      <c r="J936" s="2">
        <f>ABS(DF_2[[#This Row],[Quantity_BEFORE]])</f>
        <v>2</v>
      </c>
      <c r="K936" s="2">
        <f>DF_2[[#This Row],[QUANTITY]]*DF_2[[#This Row],[UnitPrice]]</f>
        <v>1.3</v>
      </c>
    </row>
    <row r="937" spans="2:11" x14ac:dyDescent="0.25">
      <c r="B937" s="2">
        <v>536520</v>
      </c>
      <c r="C937" s="2">
        <v>22918</v>
      </c>
      <c r="D937" s="2" t="s">
        <v>660</v>
      </c>
      <c r="E937" s="2">
        <v>2</v>
      </c>
      <c r="F937" s="8">
        <v>40513.529861111114</v>
      </c>
      <c r="G937" s="2">
        <v>0.65</v>
      </c>
      <c r="H937" s="2">
        <v>14729</v>
      </c>
      <c r="I937" s="2" t="s">
        <v>10</v>
      </c>
      <c r="J937" s="2">
        <f>ABS(DF_2[[#This Row],[Quantity_BEFORE]])</f>
        <v>2</v>
      </c>
      <c r="K937" s="2">
        <f>DF_2[[#This Row],[QUANTITY]]*DF_2[[#This Row],[UnitPrice]]</f>
        <v>1.3</v>
      </c>
    </row>
    <row r="938" spans="2:11" x14ac:dyDescent="0.25">
      <c r="B938" s="2">
        <v>536520</v>
      </c>
      <c r="C938" s="2">
        <v>22917</v>
      </c>
      <c r="D938" s="2" t="s">
        <v>657</v>
      </c>
      <c r="E938" s="2">
        <v>1</v>
      </c>
      <c r="F938" s="8">
        <v>40513.529861111114</v>
      </c>
      <c r="G938" s="2">
        <v>0.65</v>
      </c>
      <c r="H938" s="2">
        <v>14729</v>
      </c>
      <c r="I938" s="2" t="s">
        <v>10</v>
      </c>
      <c r="J938" s="2">
        <f>ABS(DF_2[[#This Row],[Quantity_BEFORE]])</f>
        <v>1</v>
      </c>
      <c r="K938" s="2">
        <f>DF_2[[#This Row],[QUANTITY]]*DF_2[[#This Row],[UnitPrice]]</f>
        <v>0.65</v>
      </c>
    </row>
    <row r="939" spans="2:11" x14ac:dyDescent="0.25">
      <c r="B939" s="2">
        <v>536520</v>
      </c>
      <c r="C939" s="2">
        <v>22916</v>
      </c>
      <c r="D939" s="2" t="s">
        <v>661</v>
      </c>
      <c r="E939" s="2">
        <v>1</v>
      </c>
      <c r="F939" s="8">
        <v>40513.529861111114</v>
      </c>
      <c r="G939" s="2">
        <v>0.65</v>
      </c>
      <c r="H939" s="2">
        <v>14729</v>
      </c>
      <c r="I939" s="2" t="s">
        <v>10</v>
      </c>
      <c r="J939" s="2">
        <f>ABS(DF_2[[#This Row],[Quantity_BEFORE]])</f>
        <v>1</v>
      </c>
      <c r="K939" s="2">
        <f>DF_2[[#This Row],[QUANTITY]]*DF_2[[#This Row],[UnitPrice]]</f>
        <v>0.65</v>
      </c>
    </row>
    <row r="940" spans="2:11" x14ac:dyDescent="0.25">
      <c r="B940" s="2">
        <v>536390</v>
      </c>
      <c r="C940" s="2" t="s">
        <v>204</v>
      </c>
      <c r="D940" s="2" t="s">
        <v>205</v>
      </c>
      <c r="E940" s="2">
        <v>144</v>
      </c>
      <c r="F940" s="8">
        <v>40513.429861111108</v>
      </c>
      <c r="G940" s="2">
        <v>0.64</v>
      </c>
      <c r="H940" s="2">
        <v>17511</v>
      </c>
      <c r="I940" s="2" t="s">
        <v>10</v>
      </c>
      <c r="J940" s="2">
        <f>ABS(DF_2[[#This Row],[Quantity_BEFORE]])</f>
        <v>144</v>
      </c>
      <c r="K940" s="2">
        <f>DF_2[[#This Row],[QUANTITY]]*DF_2[[#This Row],[UnitPrice]]</f>
        <v>92.16</v>
      </c>
    </row>
    <row r="941" spans="2:11" x14ac:dyDescent="0.25">
      <c r="B941" s="2">
        <v>536390</v>
      </c>
      <c r="C941" s="2">
        <v>21080</v>
      </c>
      <c r="D941" s="2" t="s">
        <v>210</v>
      </c>
      <c r="E941" s="2">
        <v>96</v>
      </c>
      <c r="F941" s="8">
        <v>40513.429861111108</v>
      </c>
      <c r="G941" s="2">
        <v>0.64</v>
      </c>
      <c r="H941" s="2">
        <v>17511</v>
      </c>
      <c r="I941" s="2" t="s">
        <v>10</v>
      </c>
      <c r="J941" s="2">
        <f>ABS(DF_2[[#This Row],[Quantity_BEFORE]])</f>
        <v>96</v>
      </c>
      <c r="K941" s="2">
        <f>DF_2[[#This Row],[QUANTITY]]*DF_2[[#This Row],[UnitPrice]]</f>
        <v>61.44</v>
      </c>
    </row>
    <row r="942" spans="2:11" x14ac:dyDescent="0.25">
      <c r="B942" s="2">
        <v>536390</v>
      </c>
      <c r="C942" s="2">
        <v>21094</v>
      </c>
      <c r="D942" s="2" t="s">
        <v>84</v>
      </c>
      <c r="E942" s="2">
        <v>96</v>
      </c>
      <c r="F942" s="8">
        <v>40513.429861111108</v>
      </c>
      <c r="G942" s="2">
        <v>0.64</v>
      </c>
      <c r="H942" s="2">
        <v>17511</v>
      </c>
      <c r="I942" s="2" t="s">
        <v>10</v>
      </c>
      <c r="J942" s="2">
        <f>ABS(DF_2[[#This Row],[Quantity_BEFORE]])</f>
        <v>96</v>
      </c>
      <c r="K942" s="2">
        <f>DF_2[[#This Row],[QUANTITY]]*DF_2[[#This Row],[UnitPrice]]</f>
        <v>61.44</v>
      </c>
    </row>
    <row r="943" spans="2:11" x14ac:dyDescent="0.25">
      <c r="B943" s="2">
        <v>536508</v>
      </c>
      <c r="C943" s="2">
        <v>21326</v>
      </c>
      <c r="D943" s="2" t="s">
        <v>411</v>
      </c>
      <c r="E943" s="2">
        <v>144</v>
      </c>
      <c r="F943" s="8">
        <v>40513.526388888888</v>
      </c>
      <c r="G943" s="2">
        <v>0.55000000000000004</v>
      </c>
      <c r="H943" s="2">
        <v>17181</v>
      </c>
      <c r="I943" s="2" t="s">
        <v>10</v>
      </c>
      <c r="J943" s="2">
        <f>ABS(DF_2[[#This Row],[Quantity_BEFORE]])</f>
        <v>144</v>
      </c>
      <c r="K943" s="2">
        <f>DF_2[[#This Row],[QUANTITY]]*DF_2[[#This Row],[UnitPrice]]</f>
        <v>79.2</v>
      </c>
    </row>
    <row r="944" spans="2:11" x14ac:dyDescent="0.25">
      <c r="B944" s="2">
        <v>536378</v>
      </c>
      <c r="C944" s="2">
        <v>21975</v>
      </c>
      <c r="D944" s="2" t="s">
        <v>89</v>
      </c>
      <c r="E944" s="2">
        <v>24</v>
      </c>
      <c r="F944" s="8">
        <v>40513.400694444441</v>
      </c>
      <c r="G944" s="2">
        <v>0.55000000000000004</v>
      </c>
      <c r="H944" s="2">
        <v>14688</v>
      </c>
      <c r="I944" s="2" t="s">
        <v>10</v>
      </c>
      <c r="J944" s="2">
        <f>ABS(DF_2[[#This Row],[Quantity_BEFORE]])</f>
        <v>24</v>
      </c>
      <c r="K944" s="2">
        <f>DF_2[[#This Row],[QUANTITY]]*DF_2[[#This Row],[UnitPrice]]</f>
        <v>13.200000000000001</v>
      </c>
    </row>
    <row r="945" spans="2:11" x14ac:dyDescent="0.25">
      <c r="B945" s="2">
        <v>536378</v>
      </c>
      <c r="C945" s="2">
        <v>21977</v>
      </c>
      <c r="D945" s="2" t="s">
        <v>90</v>
      </c>
      <c r="E945" s="2">
        <v>24</v>
      </c>
      <c r="F945" s="8">
        <v>40513.400694444441</v>
      </c>
      <c r="G945" s="2">
        <v>0.55000000000000004</v>
      </c>
      <c r="H945" s="2">
        <v>14688</v>
      </c>
      <c r="I945" s="2" t="s">
        <v>10</v>
      </c>
      <c r="J945" s="2">
        <f>ABS(DF_2[[#This Row],[Quantity_BEFORE]])</f>
        <v>24</v>
      </c>
      <c r="K945" s="2">
        <f>DF_2[[#This Row],[QUANTITY]]*DF_2[[#This Row],[UnitPrice]]</f>
        <v>13.200000000000001</v>
      </c>
    </row>
    <row r="946" spans="2:11" x14ac:dyDescent="0.25">
      <c r="B946" s="2">
        <v>536378</v>
      </c>
      <c r="C946" s="2">
        <v>84991</v>
      </c>
      <c r="D946" s="2" t="s">
        <v>91</v>
      </c>
      <c r="E946" s="2">
        <v>24</v>
      </c>
      <c r="F946" s="8">
        <v>40513.400694444441</v>
      </c>
      <c r="G946" s="2">
        <v>0.55000000000000004</v>
      </c>
      <c r="H946" s="2">
        <v>14688</v>
      </c>
      <c r="I946" s="2" t="s">
        <v>10</v>
      </c>
      <c r="J946" s="2">
        <f>ABS(DF_2[[#This Row],[Quantity_BEFORE]])</f>
        <v>24</v>
      </c>
      <c r="K946" s="2">
        <f>DF_2[[#This Row],[QUANTITY]]*DF_2[[#This Row],[UnitPrice]]</f>
        <v>13.200000000000001</v>
      </c>
    </row>
    <row r="947" spans="2:11" x14ac:dyDescent="0.25">
      <c r="B947" s="2">
        <v>536395</v>
      </c>
      <c r="C947" s="2">
        <v>21977</v>
      </c>
      <c r="D947" s="2" t="s">
        <v>90</v>
      </c>
      <c r="E947" s="2">
        <v>24</v>
      </c>
      <c r="F947" s="8">
        <v>40513.449305555558</v>
      </c>
      <c r="G947" s="2">
        <v>0.55000000000000004</v>
      </c>
      <c r="H947" s="2">
        <v>13767</v>
      </c>
      <c r="I947" s="2" t="s">
        <v>10</v>
      </c>
      <c r="J947" s="2">
        <f>ABS(DF_2[[#This Row],[Quantity_BEFORE]])</f>
        <v>24</v>
      </c>
      <c r="K947" s="2">
        <f>DF_2[[#This Row],[QUANTITY]]*DF_2[[#This Row],[UnitPrice]]</f>
        <v>13.200000000000001</v>
      </c>
    </row>
    <row r="948" spans="2:11" x14ac:dyDescent="0.25">
      <c r="B948" s="2">
        <v>536395</v>
      </c>
      <c r="C948" s="2">
        <v>84991</v>
      </c>
      <c r="D948" s="2" t="s">
        <v>91</v>
      </c>
      <c r="E948" s="2">
        <v>24</v>
      </c>
      <c r="F948" s="8">
        <v>40513.449305555558</v>
      </c>
      <c r="G948" s="2">
        <v>0.55000000000000004</v>
      </c>
      <c r="H948" s="2">
        <v>13767</v>
      </c>
      <c r="I948" s="2" t="s">
        <v>10</v>
      </c>
      <c r="J948" s="2">
        <f>ABS(DF_2[[#This Row],[Quantity_BEFORE]])</f>
        <v>24</v>
      </c>
      <c r="K948" s="2">
        <f>DF_2[[#This Row],[QUANTITY]]*DF_2[[#This Row],[UnitPrice]]</f>
        <v>13.200000000000001</v>
      </c>
    </row>
    <row r="949" spans="2:11" x14ac:dyDescent="0.25">
      <c r="B949" s="2">
        <v>536395</v>
      </c>
      <c r="C949" s="2">
        <v>21212</v>
      </c>
      <c r="D949" s="2" t="s">
        <v>88</v>
      </c>
      <c r="E949" s="2">
        <v>24</v>
      </c>
      <c r="F949" s="8">
        <v>40513.449305555558</v>
      </c>
      <c r="G949" s="2">
        <v>0.55000000000000004</v>
      </c>
      <c r="H949" s="2">
        <v>13767</v>
      </c>
      <c r="I949" s="2" t="s">
        <v>10</v>
      </c>
      <c r="J949" s="2">
        <f>ABS(DF_2[[#This Row],[Quantity_BEFORE]])</f>
        <v>24</v>
      </c>
      <c r="K949" s="2">
        <f>DF_2[[#This Row],[QUANTITY]]*DF_2[[#This Row],[UnitPrice]]</f>
        <v>13.200000000000001</v>
      </c>
    </row>
    <row r="950" spans="2:11" x14ac:dyDescent="0.25">
      <c r="B950" s="2">
        <v>536404</v>
      </c>
      <c r="C950" s="2">
        <v>21213</v>
      </c>
      <c r="D950" s="2" t="s">
        <v>343</v>
      </c>
      <c r="E950" s="2">
        <v>24</v>
      </c>
      <c r="F950" s="8">
        <v>40513.478472222225</v>
      </c>
      <c r="G950" s="2">
        <v>0.55000000000000004</v>
      </c>
      <c r="H950" s="2">
        <v>16218</v>
      </c>
      <c r="I950" s="2" t="s">
        <v>10</v>
      </c>
      <c r="J950" s="2">
        <f>ABS(DF_2[[#This Row],[Quantity_BEFORE]])</f>
        <v>24</v>
      </c>
      <c r="K950" s="2">
        <f>DF_2[[#This Row],[QUANTITY]]*DF_2[[#This Row],[UnitPrice]]</f>
        <v>13.200000000000001</v>
      </c>
    </row>
    <row r="951" spans="2:11" x14ac:dyDescent="0.25">
      <c r="B951" s="2">
        <v>536404</v>
      </c>
      <c r="C951" s="2">
        <v>22417</v>
      </c>
      <c r="D951" s="2" t="s">
        <v>344</v>
      </c>
      <c r="E951" s="2">
        <v>24</v>
      </c>
      <c r="F951" s="8">
        <v>40513.478472222225</v>
      </c>
      <c r="G951" s="2">
        <v>0.55000000000000004</v>
      </c>
      <c r="H951" s="2">
        <v>16218</v>
      </c>
      <c r="I951" s="2" t="s">
        <v>10</v>
      </c>
      <c r="J951" s="2">
        <f>ABS(DF_2[[#This Row],[Quantity_BEFORE]])</f>
        <v>24</v>
      </c>
      <c r="K951" s="2">
        <f>DF_2[[#This Row],[QUANTITY]]*DF_2[[#This Row],[UnitPrice]]</f>
        <v>13.200000000000001</v>
      </c>
    </row>
    <row r="952" spans="2:11" x14ac:dyDescent="0.25">
      <c r="B952" s="2">
        <v>536404</v>
      </c>
      <c r="C952" s="2">
        <v>21212</v>
      </c>
      <c r="D952" s="2" t="s">
        <v>88</v>
      </c>
      <c r="E952" s="2">
        <v>24</v>
      </c>
      <c r="F952" s="8">
        <v>40513.478472222225</v>
      </c>
      <c r="G952" s="2">
        <v>0.55000000000000004</v>
      </c>
      <c r="H952" s="2">
        <v>16218</v>
      </c>
      <c r="I952" s="2" t="s">
        <v>10</v>
      </c>
      <c r="J952" s="2">
        <f>ABS(DF_2[[#This Row],[Quantity_BEFORE]])</f>
        <v>24</v>
      </c>
      <c r="K952" s="2">
        <f>DF_2[[#This Row],[QUANTITY]]*DF_2[[#This Row],[UnitPrice]]</f>
        <v>13.200000000000001</v>
      </c>
    </row>
    <row r="953" spans="2:11" x14ac:dyDescent="0.25">
      <c r="B953" s="2">
        <v>536404</v>
      </c>
      <c r="C953" s="2">
        <v>84992</v>
      </c>
      <c r="D953" s="2" t="s">
        <v>345</v>
      </c>
      <c r="E953" s="2">
        <v>24</v>
      </c>
      <c r="F953" s="8">
        <v>40513.478472222225</v>
      </c>
      <c r="G953" s="2">
        <v>0.55000000000000004</v>
      </c>
      <c r="H953" s="2">
        <v>16218</v>
      </c>
      <c r="I953" s="2" t="s">
        <v>10</v>
      </c>
      <c r="J953" s="2">
        <f>ABS(DF_2[[#This Row],[Quantity_BEFORE]])</f>
        <v>24</v>
      </c>
      <c r="K953" s="2">
        <f>DF_2[[#This Row],[QUANTITY]]*DF_2[[#This Row],[UnitPrice]]</f>
        <v>13.200000000000001</v>
      </c>
    </row>
    <row r="954" spans="2:11" x14ac:dyDescent="0.25">
      <c r="B954" s="2">
        <v>536404</v>
      </c>
      <c r="C954" s="2">
        <v>21975</v>
      </c>
      <c r="D954" s="2" t="s">
        <v>89</v>
      </c>
      <c r="E954" s="2">
        <v>24</v>
      </c>
      <c r="F954" s="8">
        <v>40513.478472222225</v>
      </c>
      <c r="G954" s="2">
        <v>0.55000000000000004</v>
      </c>
      <c r="H954" s="2">
        <v>16218</v>
      </c>
      <c r="I954" s="2" t="s">
        <v>10</v>
      </c>
      <c r="J954" s="2">
        <f>ABS(DF_2[[#This Row],[Quantity_BEFORE]])</f>
        <v>24</v>
      </c>
      <c r="K954" s="2">
        <f>DF_2[[#This Row],[QUANTITY]]*DF_2[[#This Row],[UnitPrice]]</f>
        <v>13.200000000000001</v>
      </c>
    </row>
    <row r="955" spans="2:11" x14ac:dyDescent="0.25">
      <c r="B955" s="2">
        <v>536408</v>
      </c>
      <c r="C955" s="2">
        <v>21212</v>
      </c>
      <c r="D955" s="2" t="s">
        <v>88</v>
      </c>
      <c r="E955" s="2">
        <v>24</v>
      </c>
      <c r="F955" s="8">
        <v>40513.486805555556</v>
      </c>
      <c r="G955" s="2">
        <v>0.55000000000000004</v>
      </c>
      <c r="H955" s="2">
        <v>14307</v>
      </c>
      <c r="I955" s="2" t="s">
        <v>10</v>
      </c>
      <c r="J955" s="2">
        <f>ABS(DF_2[[#This Row],[Quantity_BEFORE]])</f>
        <v>24</v>
      </c>
      <c r="K955" s="2">
        <f>DF_2[[#This Row],[QUANTITY]]*DF_2[[#This Row],[UnitPrice]]</f>
        <v>13.200000000000001</v>
      </c>
    </row>
    <row r="956" spans="2:11" x14ac:dyDescent="0.25">
      <c r="B956" s="2">
        <v>536460</v>
      </c>
      <c r="C956" s="2">
        <v>84992</v>
      </c>
      <c r="D956" s="2" t="s">
        <v>345</v>
      </c>
      <c r="E956" s="2">
        <v>24</v>
      </c>
      <c r="F956" s="8">
        <v>40513.515277777777</v>
      </c>
      <c r="G956" s="2">
        <v>0.55000000000000004</v>
      </c>
      <c r="H956" s="2">
        <v>14849</v>
      </c>
      <c r="I956" s="2" t="s">
        <v>10</v>
      </c>
      <c r="J956" s="2">
        <f>ABS(DF_2[[#This Row],[Quantity_BEFORE]])</f>
        <v>24</v>
      </c>
      <c r="K956" s="2">
        <f>DF_2[[#This Row],[QUANTITY]]*DF_2[[#This Row],[UnitPrice]]</f>
        <v>13.200000000000001</v>
      </c>
    </row>
    <row r="957" spans="2:11" x14ac:dyDescent="0.25">
      <c r="B957" s="2">
        <v>536460</v>
      </c>
      <c r="C957" s="2">
        <v>21977</v>
      </c>
      <c r="D957" s="2" t="s">
        <v>90</v>
      </c>
      <c r="E957" s="2">
        <v>24</v>
      </c>
      <c r="F957" s="8">
        <v>40513.515277777777</v>
      </c>
      <c r="G957" s="2">
        <v>0.55000000000000004</v>
      </c>
      <c r="H957" s="2">
        <v>14849</v>
      </c>
      <c r="I957" s="2" t="s">
        <v>10</v>
      </c>
      <c r="J957" s="2">
        <f>ABS(DF_2[[#This Row],[Quantity_BEFORE]])</f>
        <v>24</v>
      </c>
      <c r="K957" s="2">
        <f>DF_2[[#This Row],[QUANTITY]]*DF_2[[#This Row],[UnitPrice]]</f>
        <v>13.200000000000001</v>
      </c>
    </row>
    <row r="958" spans="2:11" x14ac:dyDescent="0.25">
      <c r="B958" s="2">
        <v>536415</v>
      </c>
      <c r="C958" s="2">
        <v>22952</v>
      </c>
      <c r="D958" s="2" t="s">
        <v>456</v>
      </c>
      <c r="E958" s="2">
        <v>10</v>
      </c>
      <c r="F958" s="8">
        <v>40513.497916666667</v>
      </c>
      <c r="G958" s="2">
        <v>0.55000000000000004</v>
      </c>
      <c r="H958" s="2">
        <v>12838</v>
      </c>
      <c r="I958" s="2" t="s">
        <v>10</v>
      </c>
      <c r="J958" s="2">
        <f>ABS(DF_2[[#This Row],[Quantity_BEFORE]])</f>
        <v>10</v>
      </c>
      <c r="K958" s="2">
        <f>DF_2[[#This Row],[QUANTITY]]*DF_2[[#This Row],[UnitPrice]]</f>
        <v>5.5</v>
      </c>
    </row>
    <row r="959" spans="2:11" x14ac:dyDescent="0.25">
      <c r="B959" s="2">
        <v>536401</v>
      </c>
      <c r="C959" s="2">
        <v>84991</v>
      </c>
      <c r="D959" s="2" t="s">
        <v>91</v>
      </c>
      <c r="E959" s="2">
        <v>3</v>
      </c>
      <c r="F959" s="8">
        <v>40513.472916666666</v>
      </c>
      <c r="G959" s="2">
        <v>0.55000000000000004</v>
      </c>
      <c r="H959" s="2">
        <v>15862</v>
      </c>
      <c r="I959" s="2" t="s">
        <v>10</v>
      </c>
      <c r="J959" s="2">
        <f>ABS(DF_2[[#This Row],[Quantity_BEFORE]])</f>
        <v>3</v>
      </c>
      <c r="K959" s="2">
        <f>DF_2[[#This Row],[QUANTITY]]*DF_2[[#This Row],[UnitPrice]]</f>
        <v>1.6500000000000001</v>
      </c>
    </row>
    <row r="960" spans="2:11" x14ac:dyDescent="0.25">
      <c r="B960" s="2">
        <v>536415</v>
      </c>
      <c r="C960" s="2">
        <v>21977</v>
      </c>
      <c r="D960" s="2" t="s">
        <v>90</v>
      </c>
      <c r="E960" s="2">
        <v>3</v>
      </c>
      <c r="F960" s="8">
        <v>40513.497916666667</v>
      </c>
      <c r="G960" s="2">
        <v>0.55000000000000004</v>
      </c>
      <c r="H960" s="2">
        <v>12838</v>
      </c>
      <c r="I960" s="2" t="s">
        <v>10</v>
      </c>
      <c r="J960" s="2">
        <f>ABS(DF_2[[#This Row],[Quantity_BEFORE]])</f>
        <v>3</v>
      </c>
      <c r="K960" s="2">
        <f>DF_2[[#This Row],[QUANTITY]]*DF_2[[#This Row],[UnitPrice]]</f>
        <v>1.6500000000000001</v>
      </c>
    </row>
    <row r="961" spans="2:11" x14ac:dyDescent="0.25">
      <c r="B961" s="2">
        <v>536401</v>
      </c>
      <c r="C961" s="2">
        <v>82581</v>
      </c>
      <c r="D961" s="2" t="s">
        <v>289</v>
      </c>
      <c r="E961" s="2">
        <v>2</v>
      </c>
      <c r="F961" s="8">
        <v>40513.472916666666</v>
      </c>
      <c r="G961" s="2">
        <v>0.55000000000000004</v>
      </c>
      <c r="H961" s="2">
        <v>15862</v>
      </c>
      <c r="I961" s="2" t="s">
        <v>10</v>
      </c>
      <c r="J961" s="2">
        <f>ABS(DF_2[[#This Row],[Quantity_BEFORE]])</f>
        <v>2</v>
      </c>
      <c r="K961" s="2">
        <f>DF_2[[#This Row],[QUANTITY]]*DF_2[[#This Row],[UnitPrice]]</f>
        <v>1.1000000000000001</v>
      </c>
    </row>
    <row r="962" spans="2:11" x14ac:dyDescent="0.25">
      <c r="B962" s="2">
        <v>536415</v>
      </c>
      <c r="C962" s="2">
        <v>21212</v>
      </c>
      <c r="D962" s="2" t="s">
        <v>88</v>
      </c>
      <c r="E962" s="2">
        <v>2</v>
      </c>
      <c r="F962" s="8">
        <v>40513.497916666667</v>
      </c>
      <c r="G962" s="2">
        <v>0.55000000000000004</v>
      </c>
      <c r="H962" s="2">
        <v>12838</v>
      </c>
      <c r="I962" s="2" t="s">
        <v>10</v>
      </c>
      <c r="J962" s="2">
        <f>ABS(DF_2[[#This Row],[Quantity_BEFORE]])</f>
        <v>2</v>
      </c>
      <c r="K962" s="2">
        <f>DF_2[[#This Row],[QUANTITY]]*DF_2[[#This Row],[UnitPrice]]</f>
        <v>1.1000000000000001</v>
      </c>
    </row>
    <row r="963" spans="2:11" x14ac:dyDescent="0.25">
      <c r="B963" s="2">
        <v>536415</v>
      </c>
      <c r="C963" s="2">
        <v>21976</v>
      </c>
      <c r="D963" s="2" t="s">
        <v>481</v>
      </c>
      <c r="E963" s="2">
        <v>2</v>
      </c>
      <c r="F963" s="8">
        <v>40513.497916666667</v>
      </c>
      <c r="G963" s="2">
        <v>0.55000000000000004</v>
      </c>
      <c r="H963" s="2">
        <v>12838</v>
      </c>
      <c r="I963" s="2" t="s">
        <v>10</v>
      </c>
      <c r="J963" s="2">
        <f>ABS(DF_2[[#This Row],[Quantity_BEFORE]])</f>
        <v>2</v>
      </c>
      <c r="K963" s="2">
        <f>DF_2[[#This Row],[QUANTITY]]*DF_2[[#This Row],[UnitPrice]]</f>
        <v>1.1000000000000001</v>
      </c>
    </row>
    <row r="964" spans="2:11" x14ac:dyDescent="0.25">
      <c r="B964" s="2">
        <v>536415</v>
      </c>
      <c r="C964" s="2">
        <v>22951</v>
      </c>
      <c r="D964" s="2" t="s">
        <v>482</v>
      </c>
      <c r="E964" s="2">
        <v>2</v>
      </c>
      <c r="F964" s="8">
        <v>40513.497916666667</v>
      </c>
      <c r="G964" s="2">
        <v>0.55000000000000004</v>
      </c>
      <c r="H964" s="2">
        <v>12838</v>
      </c>
      <c r="I964" s="2" t="s">
        <v>10</v>
      </c>
      <c r="J964" s="2">
        <f>ABS(DF_2[[#This Row],[Quantity_BEFORE]])</f>
        <v>2</v>
      </c>
      <c r="K964" s="2">
        <f>DF_2[[#This Row],[QUANTITY]]*DF_2[[#This Row],[UnitPrice]]</f>
        <v>1.1000000000000001</v>
      </c>
    </row>
    <row r="965" spans="2:11" x14ac:dyDescent="0.25">
      <c r="B965" s="2">
        <v>536464</v>
      </c>
      <c r="C965" s="2">
        <v>22952</v>
      </c>
      <c r="D965" s="2" t="s">
        <v>456</v>
      </c>
      <c r="E965" s="2">
        <v>2</v>
      </c>
      <c r="F965" s="8">
        <v>40513.515972222223</v>
      </c>
      <c r="G965" s="2">
        <v>0.55000000000000004</v>
      </c>
      <c r="H965" s="2">
        <v>17968</v>
      </c>
      <c r="I965" s="2" t="s">
        <v>10</v>
      </c>
      <c r="J965" s="2">
        <f>ABS(DF_2[[#This Row],[Quantity_BEFORE]])</f>
        <v>2</v>
      </c>
      <c r="K965" s="2">
        <f>DF_2[[#This Row],[QUANTITY]]*DF_2[[#This Row],[UnitPrice]]</f>
        <v>1.1000000000000001</v>
      </c>
    </row>
    <row r="966" spans="2:11" x14ac:dyDescent="0.25">
      <c r="B966" s="2">
        <v>536464</v>
      </c>
      <c r="C966" s="2">
        <v>21212</v>
      </c>
      <c r="D966" s="2" t="s">
        <v>88</v>
      </c>
      <c r="E966" s="2">
        <v>2</v>
      </c>
      <c r="F966" s="8">
        <v>40513.515972222223</v>
      </c>
      <c r="G966" s="2">
        <v>0.55000000000000004</v>
      </c>
      <c r="H966" s="2">
        <v>17968</v>
      </c>
      <c r="I966" s="2" t="s">
        <v>10</v>
      </c>
      <c r="J966" s="2">
        <f>ABS(DF_2[[#This Row],[Quantity_BEFORE]])</f>
        <v>2</v>
      </c>
      <c r="K966" s="2">
        <f>DF_2[[#This Row],[QUANTITY]]*DF_2[[#This Row],[UnitPrice]]</f>
        <v>1.1000000000000001</v>
      </c>
    </row>
    <row r="967" spans="2:11" x14ac:dyDescent="0.25">
      <c r="B967" s="2">
        <v>536401</v>
      </c>
      <c r="C967" s="2">
        <v>82580</v>
      </c>
      <c r="D967" s="2" t="s">
        <v>287</v>
      </c>
      <c r="E967" s="2">
        <v>1</v>
      </c>
      <c r="F967" s="8">
        <v>40513.472916666666</v>
      </c>
      <c r="G967" s="2">
        <v>0.55000000000000004</v>
      </c>
      <c r="H967" s="2">
        <v>15862</v>
      </c>
      <c r="I967" s="2" t="s">
        <v>10</v>
      </c>
      <c r="J967" s="2">
        <f>ABS(DF_2[[#This Row],[Quantity_BEFORE]])</f>
        <v>1</v>
      </c>
      <c r="K967" s="2">
        <f>DF_2[[#This Row],[QUANTITY]]*DF_2[[#This Row],[UnitPrice]]</f>
        <v>0.55000000000000004</v>
      </c>
    </row>
    <row r="968" spans="2:11" x14ac:dyDescent="0.25">
      <c r="B968" s="2">
        <v>536401</v>
      </c>
      <c r="C968" s="2">
        <v>82578</v>
      </c>
      <c r="D968" s="2" t="s">
        <v>288</v>
      </c>
      <c r="E968" s="2">
        <v>1</v>
      </c>
      <c r="F968" s="8">
        <v>40513.472916666666</v>
      </c>
      <c r="G968" s="2">
        <v>0.55000000000000004</v>
      </c>
      <c r="H968" s="2">
        <v>15862</v>
      </c>
      <c r="I968" s="2" t="s">
        <v>10</v>
      </c>
      <c r="J968" s="2">
        <f>ABS(DF_2[[#This Row],[Quantity_BEFORE]])</f>
        <v>1</v>
      </c>
      <c r="K968" s="2">
        <f>DF_2[[#This Row],[QUANTITY]]*DF_2[[#This Row],[UnitPrice]]</f>
        <v>0.55000000000000004</v>
      </c>
    </row>
    <row r="969" spans="2:11" x14ac:dyDescent="0.25">
      <c r="B969" s="2">
        <v>536464</v>
      </c>
      <c r="C969" s="2">
        <v>21977</v>
      </c>
      <c r="D969" s="2" t="s">
        <v>90</v>
      </c>
      <c r="E969" s="2">
        <v>1</v>
      </c>
      <c r="F969" s="8">
        <v>40513.515972222223</v>
      </c>
      <c r="G969" s="2">
        <v>0.55000000000000004</v>
      </c>
      <c r="H969" s="2">
        <v>17968</v>
      </c>
      <c r="I969" s="2" t="s">
        <v>10</v>
      </c>
      <c r="J969" s="2">
        <f>ABS(DF_2[[#This Row],[Quantity_BEFORE]])</f>
        <v>1</v>
      </c>
      <c r="K969" s="2">
        <f>DF_2[[#This Row],[QUANTITY]]*DF_2[[#This Row],[UnitPrice]]</f>
        <v>0.55000000000000004</v>
      </c>
    </row>
    <row r="970" spans="2:11" x14ac:dyDescent="0.25">
      <c r="B970" s="2">
        <v>536464</v>
      </c>
      <c r="C970" s="2">
        <v>21212</v>
      </c>
      <c r="D970" s="2" t="s">
        <v>88</v>
      </c>
      <c r="E970" s="2">
        <v>1</v>
      </c>
      <c r="F970" s="8">
        <v>40513.515972222223</v>
      </c>
      <c r="G970" s="2">
        <v>0.55000000000000004</v>
      </c>
      <c r="H970" s="2">
        <v>17968</v>
      </c>
      <c r="I970" s="2" t="s">
        <v>10</v>
      </c>
      <c r="J970" s="2">
        <f>ABS(DF_2[[#This Row],[Quantity_BEFORE]])</f>
        <v>1</v>
      </c>
      <c r="K970" s="2">
        <f>DF_2[[#This Row],[QUANTITY]]*DF_2[[#This Row],[UnitPrice]]</f>
        <v>0.55000000000000004</v>
      </c>
    </row>
    <row r="971" spans="2:11" x14ac:dyDescent="0.25">
      <c r="B971" s="2">
        <v>536378</v>
      </c>
      <c r="C971" s="2">
        <v>21212</v>
      </c>
      <c r="D971" s="2" t="s">
        <v>88</v>
      </c>
      <c r="E971" s="2">
        <v>120</v>
      </c>
      <c r="F971" s="8">
        <v>40513.400694444441</v>
      </c>
      <c r="G971" s="2">
        <v>0.42</v>
      </c>
      <c r="H971" s="2">
        <v>14688</v>
      </c>
      <c r="I971" s="2" t="s">
        <v>10</v>
      </c>
      <c r="J971" s="2">
        <f>ABS(DF_2[[#This Row],[Quantity_BEFORE]])</f>
        <v>120</v>
      </c>
      <c r="K971" s="2">
        <f>DF_2[[#This Row],[QUANTITY]]*DF_2[[#This Row],[UnitPrice]]</f>
        <v>50.4</v>
      </c>
    </row>
    <row r="972" spans="2:11" x14ac:dyDescent="0.25">
      <c r="B972" s="2">
        <v>536446</v>
      </c>
      <c r="C972" s="2">
        <v>85172</v>
      </c>
      <c r="D972" s="2" t="s">
        <v>522</v>
      </c>
      <c r="E972" s="2">
        <v>32</v>
      </c>
      <c r="F972" s="8">
        <v>40513.510416666664</v>
      </c>
      <c r="G972" s="2">
        <v>0.42</v>
      </c>
      <c r="H972" s="2">
        <v>15983</v>
      </c>
      <c r="I972" s="2" t="s">
        <v>10</v>
      </c>
      <c r="J972" s="2">
        <f>ABS(DF_2[[#This Row],[Quantity_BEFORE]])</f>
        <v>32</v>
      </c>
      <c r="K972" s="2">
        <f>DF_2[[#This Row],[QUANTITY]]*DF_2[[#This Row],[UnitPrice]]</f>
        <v>13.44</v>
      </c>
    </row>
    <row r="973" spans="2:11" x14ac:dyDescent="0.25">
      <c r="B973" s="2">
        <v>536408</v>
      </c>
      <c r="C973" s="2">
        <v>22706</v>
      </c>
      <c r="D973" s="2" t="s">
        <v>371</v>
      </c>
      <c r="E973" s="2">
        <v>25</v>
      </c>
      <c r="F973" s="8">
        <v>40513.486805555556</v>
      </c>
      <c r="G973" s="2">
        <v>0.42</v>
      </c>
      <c r="H973" s="2">
        <v>14307</v>
      </c>
      <c r="I973" s="2" t="s">
        <v>10</v>
      </c>
      <c r="J973" s="2">
        <f>ABS(DF_2[[#This Row],[Quantity_BEFORE]])</f>
        <v>25</v>
      </c>
      <c r="K973" s="2">
        <f>DF_2[[#This Row],[QUANTITY]]*DF_2[[#This Row],[UnitPrice]]</f>
        <v>10.5</v>
      </c>
    </row>
    <row r="974" spans="2:11" x14ac:dyDescent="0.25">
      <c r="B974" s="2">
        <v>536370</v>
      </c>
      <c r="C974" s="2">
        <v>22540</v>
      </c>
      <c r="D974" s="2" t="s">
        <v>56</v>
      </c>
      <c r="E974" s="2">
        <v>24</v>
      </c>
      <c r="F974" s="8">
        <v>40513.364583333336</v>
      </c>
      <c r="G974" s="2">
        <v>0.42</v>
      </c>
      <c r="H974" s="2">
        <v>12583</v>
      </c>
      <c r="I974" s="2" t="s">
        <v>40</v>
      </c>
      <c r="J974" s="2">
        <f>ABS(DF_2[[#This Row],[Quantity_BEFORE]])</f>
        <v>24</v>
      </c>
      <c r="K974" s="2">
        <f>DF_2[[#This Row],[QUANTITY]]*DF_2[[#This Row],[UnitPrice]]</f>
        <v>10.08</v>
      </c>
    </row>
    <row r="975" spans="2:11" x14ac:dyDescent="0.25">
      <c r="B975" s="2">
        <v>536370</v>
      </c>
      <c r="C975" s="2">
        <v>22544</v>
      </c>
      <c r="D975" s="2" t="s">
        <v>57</v>
      </c>
      <c r="E975" s="2">
        <v>24</v>
      </c>
      <c r="F975" s="8">
        <v>40513.364583333336</v>
      </c>
      <c r="G975" s="2">
        <v>0.42</v>
      </c>
      <c r="H975" s="2">
        <v>12583</v>
      </c>
      <c r="I975" s="2" t="s">
        <v>40</v>
      </c>
      <c r="J975" s="2">
        <f>ABS(DF_2[[#This Row],[Quantity_BEFORE]])</f>
        <v>24</v>
      </c>
      <c r="K975" s="2">
        <f>DF_2[[#This Row],[QUANTITY]]*DF_2[[#This Row],[UnitPrice]]</f>
        <v>10.08</v>
      </c>
    </row>
    <row r="976" spans="2:11" x14ac:dyDescent="0.25">
      <c r="B976" s="2">
        <v>536394</v>
      </c>
      <c r="C976" s="2">
        <v>21506</v>
      </c>
      <c r="D976" s="2" t="s">
        <v>236</v>
      </c>
      <c r="E976" s="2">
        <v>24</v>
      </c>
      <c r="F976" s="8">
        <v>40513.443749999999</v>
      </c>
      <c r="G976" s="2">
        <v>0.42</v>
      </c>
      <c r="H976" s="2">
        <v>13408</v>
      </c>
      <c r="I976" s="2" t="s">
        <v>10</v>
      </c>
      <c r="J976" s="2">
        <f>ABS(DF_2[[#This Row],[Quantity_BEFORE]])</f>
        <v>24</v>
      </c>
      <c r="K976" s="2">
        <f>DF_2[[#This Row],[QUANTITY]]*DF_2[[#This Row],[UnitPrice]]</f>
        <v>10.08</v>
      </c>
    </row>
    <row r="977" spans="2:11" x14ac:dyDescent="0.25">
      <c r="B977" s="2">
        <v>536408</v>
      </c>
      <c r="C977" s="2">
        <v>22537</v>
      </c>
      <c r="D977" s="2" t="s">
        <v>351</v>
      </c>
      <c r="E977" s="2">
        <v>24</v>
      </c>
      <c r="F977" s="8">
        <v>40513.486805555556</v>
      </c>
      <c r="G977" s="2">
        <v>0.42</v>
      </c>
      <c r="H977" s="2">
        <v>14307</v>
      </c>
      <c r="I977" s="2" t="s">
        <v>10</v>
      </c>
      <c r="J977" s="2">
        <f>ABS(DF_2[[#This Row],[Quantity_BEFORE]])</f>
        <v>24</v>
      </c>
      <c r="K977" s="2">
        <f>DF_2[[#This Row],[QUANTITY]]*DF_2[[#This Row],[UnitPrice]]</f>
        <v>10.08</v>
      </c>
    </row>
    <row r="978" spans="2:11" x14ac:dyDescent="0.25">
      <c r="B978" s="2">
        <v>536408</v>
      </c>
      <c r="C978" s="2">
        <v>22533</v>
      </c>
      <c r="D978" s="2" t="s">
        <v>352</v>
      </c>
      <c r="E978" s="2">
        <v>24</v>
      </c>
      <c r="F978" s="8">
        <v>40513.486805555556</v>
      </c>
      <c r="G978" s="2">
        <v>0.42</v>
      </c>
      <c r="H978" s="2">
        <v>14307</v>
      </c>
      <c r="I978" s="2" t="s">
        <v>10</v>
      </c>
      <c r="J978" s="2">
        <f>ABS(DF_2[[#This Row],[Quantity_BEFORE]])</f>
        <v>24</v>
      </c>
      <c r="K978" s="2">
        <f>DF_2[[#This Row],[QUANTITY]]*DF_2[[#This Row],[UnitPrice]]</f>
        <v>10.08</v>
      </c>
    </row>
    <row r="979" spans="2:11" x14ac:dyDescent="0.25">
      <c r="B979" s="2">
        <v>536446</v>
      </c>
      <c r="C979" s="2">
        <v>22152</v>
      </c>
      <c r="D979" s="2" t="s">
        <v>540</v>
      </c>
      <c r="E979" s="2">
        <v>24</v>
      </c>
      <c r="F979" s="8">
        <v>40513.510416666664</v>
      </c>
      <c r="G979" s="2">
        <v>0.42</v>
      </c>
      <c r="H979" s="2">
        <v>15983</v>
      </c>
      <c r="I979" s="2" t="s">
        <v>10</v>
      </c>
      <c r="J979" s="2">
        <f>ABS(DF_2[[#This Row],[Quantity_BEFORE]])</f>
        <v>24</v>
      </c>
      <c r="K979" s="2">
        <f>DF_2[[#This Row],[QUANTITY]]*DF_2[[#This Row],[UnitPrice]]</f>
        <v>10.08</v>
      </c>
    </row>
    <row r="980" spans="2:11" x14ac:dyDescent="0.25">
      <c r="B980" s="2">
        <v>536446</v>
      </c>
      <c r="C980" s="2">
        <v>85172</v>
      </c>
      <c r="D980" s="2" t="s">
        <v>522</v>
      </c>
      <c r="E980" s="2">
        <v>16</v>
      </c>
      <c r="F980" s="8">
        <v>40513.510416666664</v>
      </c>
      <c r="G980" s="2">
        <v>0.42</v>
      </c>
      <c r="H980" s="2">
        <v>15983</v>
      </c>
      <c r="I980" s="2" t="s">
        <v>10</v>
      </c>
      <c r="J980" s="2">
        <f>ABS(DF_2[[#This Row],[Quantity_BEFORE]])</f>
        <v>16</v>
      </c>
      <c r="K980" s="2">
        <f>DF_2[[#This Row],[QUANTITY]]*DF_2[[#This Row],[UnitPrice]]</f>
        <v>6.72</v>
      </c>
    </row>
    <row r="981" spans="2:11" x14ac:dyDescent="0.25">
      <c r="B981" s="2">
        <v>536520</v>
      </c>
      <c r="C981" s="2">
        <v>22151</v>
      </c>
      <c r="D981" s="2" t="s">
        <v>648</v>
      </c>
      <c r="E981" s="2">
        <v>14</v>
      </c>
      <c r="F981" s="8">
        <v>40513.529861111114</v>
      </c>
      <c r="G981" s="2">
        <v>0.42</v>
      </c>
      <c r="H981" s="2">
        <v>14729</v>
      </c>
      <c r="I981" s="2" t="s">
        <v>10</v>
      </c>
      <c r="J981" s="2">
        <f>ABS(DF_2[[#This Row],[Quantity_BEFORE]])</f>
        <v>14</v>
      </c>
      <c r="K981" s="2">
        <f>DF_2[[#This Row],[QUANTITY]]*DF_2[[#This Row],[UnitPrice]]</f>
        <v>5.88</v>
      </c>
    </row>
    <row r="982" spans="2:11" x14ac:dyDescent="0.25">
      <c r="B982" s="2">
        <v>536388</v>
      </c>
      <c r="C982" s="2">
        <v>22915</v>
      </c>
      <c r="D982" s="2" t="s">
        <v>181</v>
      </c>
      <c r="E982" s="2">
        <v>12</v>
      </c>
      <c r="F982" s="8">
        <v>40513.415972222225</v>
      </c>
      <c r="G982" s="2">
        <v>0.42</v>
      </c>
      <c r="H982" s="2">
        <v>16250</v>
      </c>
      <c r="I982" s="2" t="s">
        <v>10</v>
      </c>
      <c r="J982" s="2">
        <f>ABS(DF_2[[#This Row],[Quantity_BEFORE]])</f>
        <v>12</v>
      </c>
      <c r="K982" s="2">
        <f>DF_2[[#This Row],[QUANTITY]]*DF_2[[#This Row],[UnitPrice]]</f>
        <v>5.04</v>
      </c>
    </row>
    <row r="983" spans="2:11" x14ac:dyDescent="0.25">
      <c r="B983" s="2">
        <v>536408</v>
      </c>
      <c r="C983" s="2">
        <v>22716</v>
      </c>
      <c r="D983" s="2" t="s">
        <v>370</v>
      </c>
      <c r="E983" s="2">
        <v>12</v>
      </c>
      <c r="F983" s="8">
        <v>40513.486805555556</v>
      </c>
      <c r="G983" s="2">
        <v>0.42</v>
      </c>
      <c r="H983" s="2">
        <v>14307</v>
      </c>
      <c r="I983" s="2" t="s">
        <v>10</v>
      </c>
      <c r="J983" s="2">
        <f>ABS(DF_2[[#This Row],[Quantity_BEFORE]])</f>
        <v>12</v>
      </c>
      <c r="K983" s="2">
        <f>DF_2[[#This Row],[QUANTITY]]*DF_2[[#This Row],[UnitPrice]]</f>
        <v>5.04</v>
      </c>
    </row>
    <row r="984" spans="2:11" x14ac:dyDescent="0.25">
      <c r="B984" s="2">
        <v>536408</v>
      </c>
      <c r="C984" s="2">
        <v>22714</v>
      </c>
      <c r="D984" s="2" t="s">
        <v>375</v>
      </c>
      <c r="E984" s="2">
        <v>12</v>
      </c>
      <c r="F984" s="8">
        <v>40513.486805555556</v>
      </c>
      <c r="G984" s="2">
        <v>0.42</v>
      </c>
      <c r="H984" s="2">
        <v>14307</v>
      </c>
      <c r="I984" s="2" t="s">
        <v>10</v>
      </c>
      <c r="J984" s="2">
        <f>ABS(DF_2[[#This Row],[Quantity_BEFORE]])</f>
        <v>12</v>
      </c>
      <c r="K984" s="2">
        <f>DF_2[[#This Row],[QUANTITY]]*DF_2[[#This Row],[UnitPrice]]</f>
        <v>5.04</v>
      </c>
    </row>
    <row r="985" spans="2:11" x14ac:dyDescent="0.25">
      <c r="B985" s="2">
        <v>536488</v>
      </c>
      <c r="C985" s="2">
        <v>22713</v>
      </c>
      <c r="D985" s="2" t="s">
        <v>620</v>
      </c>
      <c r="E985" s="2">
        <v>12</v>
      </c>
      <c r="F985" s="8">
        <v>40513.521527777775</v>
      </c>
      <c r="G985" s="2">
        <v>0.42</v>
      </c>
      <c r="H985" s="2">
        <v>17897</v>
      </c>
      <c r="I985" s="2" t="s">
        <v>10</v>
      </c>
      <c r="J985" s="2">
        <f>ABS(DF_2[[#This Row],[Quantity_BEFORE]])</f>
        <v>12</v>
      </c>
      <c r="K985" s="2">
        <f>DF_2[[#This Row],[QUANTITY]]*DF_2[[#This Row],[UnitPrice]]</f>
        <v>5.04</v>
      </c>
    </row>
    <row r="986" spans="2:11" x14ac:dyDescent="0.25">
      <c r="B986" s="2">
        <v>536500</v>
      </c>
      <c r="C986" s="2">
        <v>22712</v>
      </c>
      <c r="D986" s="2" t="s">
        <v>631</v>
      </c>
      <c r="E986" s="2">
        <v>12</v>
      </c>
      <c r="F986" s="8">
        <v>40513.524305555555</v>
      </c>
      <c r="G986" s="2">
        <v>0.42</v>
      </c>
      <c r="H986" s="2">
        <v>17377</v>
      </c>
      <c r="I986" s="2" t="s">
        <v>10</v>
      </c>
      <c r="J986" s="2">
        <f>ABS(DF_2[[#This Row],[Quantity_BEFORE]])</f>
        <v>12</v>
      </c>
      <c r="K986" s="2">
        <f>DF_2[[#This Row],[QUANTITY]]*DF_2[[#This Row],[UnitPrice]]</f>
        <v>5.04</v>
      </c>
    </row>
    <row r="987" spans="2:11" x14ac:dyDescent="0.25">
      <c r="B987" s="2">
        <v>536500</v>
      </c>
      <c r="C987" s="2">
        <v>22983</v>
      </c>
      <c r="D987" s="2" t="s">
        <v>632</v>
      </c>
      <c r="E987" s="2">
        <v>12</v>
      </c>
      <c r="F987" s="8">
        <v>40513.524305555555</v>
      </c>
      <c r="G987" s="2">
        <v>0.42</v>
      </c>
      <c r="H987" s="2">
        <v>17377</v>
      </c>
      <c r="I987" s="2" t="s">
        <v>10</v>
      </c>
      <c r="J987" s="2">
        <f>ABS(DF_2[[#This Row],[Quantity_BEFORE]])</f>
        <v>12</v>
      </c>
      <c r="K987" s="2">
        <f>DF_2[[#This Row],[QUANTITY]]*DF_2[[#This Row],[UnitPrice]]</f>
        <v>5.04</v>
      </c>
    </row>
    <row r="988" spans="2:11" x14ac:dyDescent="0.25">
      <c r="B988" s="2">
        <v>536500</v>
      </c>
      <c r="C988" s="2">
        <v>22024</v>
      </c>
      <c r="D988" s="2" t="s">
        <v>633</v>
      </c>
      <c r="E988" s="2">
        <v>12</v>
      </c>
      <c r="F988" s="8">
        <v>40513.524305555555</v>
      </c>
      <c r="G988" s="2">
        <v>0.42</v>
      </c>
      <c r="H988" s="2">
        <v>17377</v>
      </c>
      <c r="I988" s="2" t="s">
        <v>10</v>
      </c>
      <c r="J988" s="2">
        <f>ABS(DF_2[[#This Row],[Quantity_BEFORE]])</f>
        <v>12</v>
      </c>
      <c r="K988" s="2">
        <f>DF_2[[#This Row],[QUANTITY]]*DF_2[[#This Row],[UnitPrice]]</f>
        <v>5.04</v>
      </c>
    </row>
    <row r="989" spans="2:11" x14ac:dyDescent="0.25">
      <c r="B989" s="2">
        <v>536520</v>
      </c>
      <c r="C989" s="2">
        <v>22152</v>
      </c>
      <c r="D989" s="2" t="s">
        <v>540</v>
      </c>
      <c r="E989" s="2">
        <v>12</v>
      </c>
      <c r="F989" s="8">
        <v>40513.529861111114</v>
      </c>
      <c r="G989" s="2">
        <v>0.42</v>
      </c>
      <c r="H989" s="2">
        <v>14729</v>
      </c>
      <c r="I989" s="2" t="s">
        <v>10</v>
      </c>
      <c r="J989" s="2">
        <f>ABS(DF_2[[#This Row],[Quantity_BEFORE]])</f>
        <v>12</v>
      </c>
      <c r="K989" s="2">
        <f>DF_2[[#This Row],[QUANTITY]]*DF_2[[#This Row],[UnitPrice]]</f>
        <v>5.04</v>
      </c>
    </row>
    <row r="990" spans="2:11" x14ac:dyDescent="0.25">
      <c r="B990" s="2">
        <v>536520</v>
      </c>
      <c r="C990" s="2" t="s">
        <v>677</v>
      </c>
      <c r="D990" s="2" t="s">
        <v>678</v>
      </c>
      <c r="E990" s="2">
        <v>12</v>
      </c>
      <c r="F990" s="8">
        <v>40513.529861111114</v>
      </c>
      <c r="G990" s="2">
        <v>0.42</v>
      </c>
      <c r="H990" s="2">
        <v>14729</v>
      </c>
      <c r="I990" s="2" t="s">
        <v>10</v>
      </c>
      <c r="J990" s="2">
        <f>ABS(DF_2[[#This Row],[Quantity_BEFORE]])</f>
        <v>12</v>
      </c>
      <c r="K990" s="2">
        <f>DF_2[[#This Row],[QUANTITY]]*DF_2[[#This Row],[UnitPrice]]</f>
        <v>5.04</v>
      </c>
    </row>
    <row r="991" spans="2:11" x14ac:dyDescent="0.25">
      <c r="B991" s="2">
        <v>536446</v>
      </c>
      <c r="C991" s="2">
        <v>16014</v>
      </c>
      <c r="D991" s="2" t="s">
        <v>536</v>
      </c>
      <c r="E991" s="2">
        <v>10</v>
      </c>
      <c r="F991" s="8">
        <v>40513.510416666664</v>
      </c>
      <c r="G991" s="2">
        <v>0.42</v>
      </c>
      <c r="H991" s="2">
        <v>15983</v>
      </c>
      <c r="I991" s="2" t="s">
        <v>10</v>
      </c>
      <c r="J991" s="2">
        <f>ABS(DF_2[[#This Row],[Quantity_BEFORE]])</f>
        <v>10</v>
      </c>
      <c r="K991" s="2">
        <f>DF_2[[#This Row],[QUANTITY]]*DF_2[[#This Row],[UnitPrice]]</f>
        <v>4.2</v>
      </c>
    </row>
    <row r="992" spans="2:11" x14ac:dyDescent="0.25">
      <c r="B992" s="2">
        <v>536409</v>
      </c>
      <c r="C992" s="2">
        <v>22153</v>
      </c>
      <c r="D992" s="2" t="s">
        <v>418</v>
      </c>
      <c r="E992" s="2">
        <v>6</v>
      </c>
      <c r="F992" s="8">
        <v>40513.489583333336</v>
      </c>
      <c r="G992" s="2">
        <v>0.42</v>
      </c>
      <c r="H992" s="2">
        <v>17908</v>
      </c>
      <c r="I992" s="2" t="s">
        <v>10</v>
      </c>
      <c r="J992" s="2">
        <f>ABS(DF_2[[#This Row],[Quantity_BEFORE]])</f>
        <v>6</v>
      </c>
      <c r="K992" s="2">
        <f>DF_2[[#This Row],[QUANTITY]]*DF_2[[#This Row],[UnitPrice]]</f>
        <v>2.52</v>
      </c>
    </row>
    <row r="993" spans="2:11" x14ac:dyDescent="0.25">
      <c r="B993" s="2">
        <v>536415</v>
      </c>
      <c r="C993" s="2">
        <v>22534</v>
      </c>
      <c r="D993" s="2" t="s">
        <v>491</v>
      </c>
      <c r="E993" s="2">
        <v>3</v>
      </c>
      <c r="F993" s="8">
        <v>40513.497916666667</v>
      </c>
      <c r="G993" s="2">
        <v>0.42</v>
      </c>
      <c r="H993" s="2">
        <v>12838</v>
      </c>
      <c r="I993" s="2" t="s">
        <v>10</v>
      </c>
      <c r="J993" s="2">
        <f>ABS(DF_2[[#This Row],[Quantity_BEFORE]])</f>
        <v>3</v>
      </c>
      <c r="K993" s="2">
        <f>DF_2[[#This Row],[QUANTITY]]*DF_2[[#This Row],[UnitPrice]]</f>
        <v>1.26</v>
      </c>
    </row>
    <row r="994" spans="2:11" x14ac:dyDescent="0.25">
      <c r="B994" s="2">
        <v>536415</v>
      </c>
      <c r="C994" s="2">
        <v>22531</v>
      </c>
      <c r="D994" s="2" t="s">
        <v>400</v>
      </c>
      <c r="E994" s="2">
        <v>3</v>
      </c>
      <c r="F994" s="8">
        <v>40513.497916666667</v>
      </c>
      <c r="G994" s="2">
        <v>0.42</v>
      </c>
      <c r="H994" s="2">
        <v>12838</v>
      </c>
      <c r="I994" s="2" t="s">
        <v>10</v>
      </c>
      <c r="J994" s="2">
        <f>ABS(DF_2[[#This Row],[Quantity_BEFORE]])</f>
        <v>3</v>
      </c>
      <c r="K994" s="2">
        <f>DF_2[[#This Row],[QUANTITY]]*DF_2[[#This Row],[UnitPrice]]</f>
        <v>1.26</v>
      </c>
    </row>
    <row r="995" spans="2:11" x14ac:dyDescent="0.25">
      <c r="B995" s="2">
        <v>536415</v>
      </c>
      <c r="C995" s="2">
        <v>22529</v>
      </c>
      <c r="D995" s="2" t="s">
        <v>492</v>
      </c>
      <c r="E995" s="2">
        <v>3</v>
      </c>
      <c r="F995" s="8">
        <v>40513.497916666667</v>
      </c>
      <c r="G995" s="2">
        <v>0.42</v>
      </c>
      <c r="H995" s="2">
        <v>12838</v>
      </c>
      <c r="I995" s="2" t="s">
        <v>10</v>
      </c>
      <c r="J995" s="2">
        <f>ABS(DF_2[[#This Row],[Quantity_BEFORE]])</f>
        <v>3</v>
      </c>
      <c r="K995" s="2">
        <f>DF_2[[#This Row],[QUANTITY]]*DF_2[[#This Row],[UnitPrice]]</f>
        <v>1.26</v>
      </c>
    </row>
    <row r="996" spans="2:11" x14ac:dyDescent="0.25">
      <c r="B996" s="2">
        <v>536415</v>
      </c>
      <c r="C996" s="2">
        <v>22530</v>
      </c>
      <c r="D996" s="2" t="s">
        <v>493</v>
      </c>
      <c r="E996" s="2">
        <v>3</v>
      </c>
      <c r="F996" s="8">
        <v>40513.497916666667</v>
      </c>
      <c r="G996" s="2">
        <v>0.42</v>
      </c>
      <c r="H996" s="2">
        <v>12838</v>
      </c>
      <c r="I996" s="2" t="s">
        <v>10</v>
      </c>
      <c r="J996" s="2">
        <f>ABS(DF_2[[#This Row],[Quantity_BEFORE]])</f>
        <v>3</v>
      </c>
      <c r="K996" s="2">
        <f>DF_2[[#This Row],[QUANTITY]]*DF_2[[#This Row],[UnitPrice]]</f>
        <v>1.26</v>
      </c>
    </row>
    <row r="997" spans="2:11" x14ac:dyDescent="0.25">
      <c r="B997" s="2">
        <v>536415</v>
      </c>
      <c r="C997" s="2">
        <v>21916</v>
      </c>
      <c r="D997" s="2" t="s">
        <v>484</v>
      </c>
      <c r="E997" s="2">
        <v>2</v>
      </c>
      <c r="F997" s="8">
        <v>40513.497916666667</v>
      </c>
      <c r="G997" s="2">
        <v>0.42</v>
      </c>
      <c r="H997" s="2">
        <v>12838</v>
      </c>
      <c r="I997" s="2" t="s">
        <v>10</v>
      </c>
      <c r="J997" s="2">
        <f>ABS(DF_2[[#This Row],[Quantity_BEFORE]])</f>
        <v>2</v>
      </c>
      <c r="K997" s="2">
        <f>DF_2[[#This Row],[QUANTITY]]*DF_2[[#This Row],[UnitPrice]]</f>
        <v>0.84</v>
      </c>
    </row>
    <row r="998" spans="2:11" x14ac:dyDescent="0.25">
      <c r="B998" s="2">
        <v>536409</v>
      </c>
      <c r="C998" s="2">
        <v>22531</v>
      </c>
      <c r="D998" s="2" t="s">
        <v>400</v>
      </c>
      <c r="E998" s="2">
        <v>1</v>
      </c>
      <c r="F998" s="8">
        <v>40513.489583333336</v>
      </c>
      <c r="G998" s="2">
        <v>0.42</v>
      </c>
      <c r="H998" s="2">
        <v>17908</v>
      </c>
      <c r="I998" s="2" t="s">
        <v>10</v>
      </c>
      <c r="J998" s="2">
        <f>ABS(DF_2[[#This Row],[Quantity_BEFORE]])</f>
        <v>1</v>
      </c>
      <c r="K998" s="2">
        <f>DF_2[[#This Row],[QUANTITY]]*DF_2[[#This Row],[UnitPrice]]</f>
        <v>0.42</v>
      </c>
    </row>
    <row r="999" spans="2:11" x14ac:dyDescent="0.25">
      <c r="B999" s="2">
        <v>536464</v>
      </c>
      <c r="C999" s="2" t="s">
        <v>572</v>
      </c>
      <c r="D999" s="2" t="s">
        <v>573</v>
      </c>
      <c r="E999" s="2">
        <v>1</v>
      </c>
      <c r="F999" s="8">
        <v>40513.515972222223</v>
      </c>
      <c r="G999" s="2">
        <v>0.42</v>
      </c>
      <c r="H999" s="2">
        <v>17968</v>
      </c>
      <c r="I999" s="2" t="s">
        <v>10</v>
      </c>
      <c r="J999" s="2">
        <f>ABS(DF_2[[#This Row],[Quantity_BEFORE]])</f>
        <v>1</v>
      </c>
      <c r="K999" s="2">
        <f>DF_2[[#This Row],[QUANTITY]]*DF_2[[#This Row],[UnitPrice]]</f>
        <v>0.42</v>
      </c>
    </row>
    <row r="1000" spans="2:11" x14ac:dyDescent="0.25">
      <c r="B1000" s="2">
        <v>536378</v>
      </c>
      <c r="C1000" s="2" t="s">
        <v>96</v>
      </c>
      <c r="D1000" s="2" t="s">
        <v>97</v>
      </c>
      <c r="E1000" s="2">
        <v>96</v>
      </c>
      <c r="F1000" s="8">
        <v>40513.400694444441</v>
      </c>
      <c r="G1000" s="2">
        <v>0.38</v>
      </c>
      <c r="H1000" s="2">
        <v>14688</v>
      </c>
      <c r="I1000" s="2" t="s">
        <v>10</v>
      </c>
      <c r="J1000" s="2">
        <f>ABS(DF_2[[#This Row],[Quantity_BEFORE]])</f>
        <v>96</v>
      </c>
      <c r="K1000" s="2">
        <f>DF_2[[#This Row],[QUANTITY]]*DF_2[[#This Row],[UnitPrice]]</f>
        <v>36.480000000000004</v>
      </c>
    </row>
    <row r="1001" spans="2:11" x14ac:dyDescent="0.25">
      <c r="B1001" s="2">
        <v>536390</v>
      </c>
      <c r="C1001" s="2">
        <v>21786</v>
      </c>
      <c r="D1001" s="2" t="s">
        <v>212</v>
      </c>
      <c r="E1001" s="2">
        <v>144</v>
      </c>
      <c r="F1001" s="8">
        <v>40513.429861111108</v>
      </c>
      <c r="G1001" s="2">
        <v>0.32</v>
      </c>
      <c r="H1001" s="2">
        <v>17511</v>
      </c>
      <c r="I1001" s="2" t="s">
        <v>10</v>
      </c>
      <c r="J1001" s="2">
        <f>ABS(DF_2[[#This Row],[Quantity_BEFORE]])</f>
        <v>144</v>
      </c>
      <c r="K1001" s="2">
        <f>DF_2[[#This Row],[QUANTITY]]*DF_2[[#This Row],[UnitPrice]]</f>
        <v>46.08</v>
      </c>
    </row>
    <row r="1002" spans="2:11" x14ac:dyDescent="0.25">
      <c r="B1002" s="2" t="s">
        <v>218</v>
      </c>
      <c r="C1002" s="2">
        <v>21984</v>
      </c>
      <c r="D1002" s="2" t="s">
        <v>220</v>
      </c>
      <c r="E1002" s="2">
        <v>-24</v>
      </c>
      <c r="F1002" s="8">
        <v>40513.433333333334</v>
      </c>
      <c r="G1002" s="2">
        <v>0.28999999999999998</v>
      </c>
      <c r="H1002" s="2">
        <v>17548</v>
      </c>
      <c r="I1002" s="2" t="s">
        <v>10</v>
      </c>
      <c r="J1002" s="2">
        <f>ABS(DF_2[[#This Row],[Quantity_BEFORE]])</f>
        <v>24</v>
      </c>
      <c r="K1002" s="2">
        <f>DF_2[[#This Row],[QUANTITY]]*DF_2[[#This Row],[UnitPrice]]</f>
        <v>6.9599999999999991</v>
      </c>
    </row>
    <row r="1003" spans="2:11" x14ac:dyDescent="0.25">
      <c r="B1003" s="2" t="s">
        <v>218</v>
      </c>
      <c r="C1003" s="2">
        <v>21983</v>
      </c>
      <c r="D1003" s="2" t="s">
        <v>221</v>
      </c>
      <c r="E1003" s="2">
        <v>-24</v>
      </c>
      <c r="F1003" s="8">
        <v>40513.433333333334</v>
      </c>
      <c r="G1003" s="2">
        <v>0.28999999999999998</v>
      </c>
      <c r="H1003" s="2">
        <v>17548</v>
      </c>
      <c r="I1003" s="2" t="s">
        <v>10</v>
      </c>
      <c r="J1003" s="2">
        <f>ABS(DF_2[[#This Row],[Quantity_BEFORE]])</f>
        <v>24</v>
      </c>
      <c r="K1003" s="2">
        <f>DF_2[[#This Row],[QUANTITY]]*DF_2[[#This Row],[UnitPrice]]</f>
        <v>6.9599999999999991</v>
      </c>
    </row>
    <row r="1004" spans="2:11" x14ac:dyDescent="0.25">
      <c r="B1004" s="2" t="s">
        <v>218</v>
      </c>
      <c r="C1004" s="2">
        <v>21980</v>
      </c>
      <c r="D1004" s="2" t="s">
        <v>222</v>
      </c>
      <c r="E1004" s="2">
        <v>-24</v>
      </c>
      <c r="F1004" s="8">
        <v>40513.433333333334</v>
      </c>
      <c r="G1004" s="2">
        <v>0.28999999999999998</v>
      </c>
      <c r="H1004" s="2">
        <v>17548</v>
      </c>
      <c r="I1004" s="2" t="s">
        <v>10</v>
      </c>
      <c r="J1004" s="2">
        <f>ABS(DF_2[[#This Row],[Quantity_BEFORE]])</f>
        <v>24</v>
      </c>
      <c r="K1004" s="2">
        <f>DF_2[[#This Row],[QUANTITY]]*DF_2[[#This Row],[UnitPrice]]</f>
        <v>6.9599999999999991</v>
      </c>
    </row>
    <row r="1005" spans="2:11" x14ac:dyDescent="0.25">
      <c r="B1005" s="2">
        <v>536398</v>
      </c>
      <c r="C1005" s="2">
        <v>21980</v>
      </c>
      <c r="D1005" s="2" t="s">
        <v>222</v>
      </c>
      <c r="E1005" s="2">
        <v>24</v>
      </c>
      <c r="F1005" s="8">
        <v>40513.452777777777</v>
      </c>
      <c r="G1005" s="2">
        <v>0.28999999999999998</v>
      </c>
      <c r="H1005" s="2">
        <v>13448</v>
      </c>
      <c r="I1005" s="2" t="s">
        <v>10</v>
      </c>
      <c r="J1005" s="2">
        <f>ABS(DF_2[[#This Row],[Quantity_BEFORE]])</f>
        <v>24</v>
      </c>
      <c r="K1005" s="2">
        <f>DF_2[[#This Row],[QUANTITY]]*DF_2[[#This Row],[UnitPrice]]</f>
        <v>6.9599999999999991</v>
      </c>
    </row>
    <row r="1006" spans="2:11" x14ac:dyDescent="0.25">
      <c r="B1006" s="2">
        <v>536409</v>
      </c>
      <c r="C1006" s="2">
        <v>21980</v>
      </c>
      <c r="D1006" s="2" t="s">
        <v>222</v>
      </c>
      <c r="E1006" s="2">
        <v>12</v>
      </c>
      <c r="F1006" s="8">
        <v>40513.489583333336</v>
      </c>
      <c r="G1006" s="2">
        <v>0.28999999999999998</v>
      </c>
      <c r="H1006" s="2">
        <v>17908</v>
      </c>
      <c r="I1006" s="2" t="s">
        <v>10</v>
      </c>
      <c r="J1006" s="2">
        <f>ABS(DF_2[[#This Row],[Quantity_BEFORE]])</f>
        <v>12</v>
      </c>
      <c r="K1006" s="2">
        <f>DF_2[[#This Row],[QUANTITY]]*DF_2[[#This Row],[UnitPrice]]</f>
        <v>3.4799999999999995</v>
      </c>
    </row>
    <row r="1007" spans="2:11" x14ac:dyDescent="0.25">
      <c r="B1007" s="2">
        <v>536415</v>
      </c>
      <c r="C1007" s="2">
        <v>21986</v>
      </c>
      <c r="D1007" s="2" t="s">
        <v>474</v>
      </c>
      <c r="E1007" s="2">
        <v>12</v>
      </c>
      <c r="F1007" s="8">
        <v>40513.497916666667</v>
      </c>
      <c r="G1007" s="2">
        <v>0.28999999999999998</v>
      </c>
      <c r="H1007" s="2">
        <v>12838</v>
      </c>
      <c r="I1007" s="2" t="s">
        <v>10</v>
      </c>
      <c r="J1007" s="2">
        <f>ABS(DF_2[[#This Row],[Quantity_BEFORE]])</f>
        <v>12</v>
      </c>
      <c r="K1007" s="2">
        <f>DF_2[[#This Row],[QUANTITY]]*DF_2[[#This Row],[UnitPrice]]</f>
        <v>3.4799999999999995</v>
      </c>
    </row>
    <row r="1008" spans="2:11" x14ac:dyDescent="0.25">
      <c r="B1008" s="2">
        <v>536415</v>
      </c>
      <c r="C1008" s="2">
        <v>22616</v>
      </c>
      <c r="D1008" s="2" t="s">
        <v>476</v>
      </c>
      <c r="E1008" s="2">
        <v>12</v>
      </c>
      <c r="F1008" s="8">
        <v>40513.497916666667</v>
      </c>
      <c r="G1008" s="2">
        <v>0.28999999999999998</v>
      </c>
      <c r="H1008" s="2">
        <v>12838</v>
      </c>
      <c r="I1008" s="2" t="s">
        <v>10</v>
      </c>
      <c r="J1008" s="2">
        <f>ABS(DF_2[[#This Row],[Quantity_BEFORE]])</f>
        <v>12</v>
      </c>
      <c r="K1008" s="2">
        <f>DF_2[[#This Row],[QUANTITY]]*DF_2[[#This Row],[UnitPrice]]</f>
        <v>3.4799999999999995</v>
      </c>
    </row>
    <row r="1009" spans="2:11" x14ac:dyDescent="0.25">
      <c r="B1009" s="2">
        <v>536500</v>
      </c>
      <c r="C1009" s="2">
        <v>22616</v>
      </c>
      <c r="D1009" s="2" t="s">
        <v>476</v>
      </c>
      <c r="E1009" s="2">
        <v>12</v>
      </c>
      <c r="F1009" s="8">
        <v>40513.524305555555</v>
      </c>
      <c r="G1009" s="2">
        <v>0.28999999999999998</v>
      </c>
      <c r="H1009" s="2">
        <v>17377</v>
      </c>
      <c r="I1009" s="2" t="s">
        <v>10</v>
      </c>
      <c r="J1009" s="2">
        <f>ABS(DF_2[[#This Row],[Quantity_BEFORE]])</f>
        <v>12</v>
      </c>
      <c r="K1009" s="2">
        <f>DF_2[[#This Row],[QUANTITY]]*DF_2[[#This Row],[UnitPrice]]</f>
        <v>3.4799999999999995</v>
      </c>
    </row>
    <row r="1010" spans="2:11" x14ac:dyDescent="0.25">
      <c r="B1010" s="2">
        <v>536520</v>
      </c>
      <c r="C1010" s="2">
        <v>21985</v>
      </c>
      <c r="D1010" s="2" t="s">
        <v>570</v>
      </c>
      <c r="E1010" s="2">
        <v>12</v>
      </c>
      <c r="F1010" s="8">
        <v>40513.529861111114</v>
      </c>
      <c r="G1010" s="2">
        <v>0.28999999999999998</v>
      </c>
      <c r="H1010" s="2">
        <v>14729</v>
      </c>
      <c r="I1010" s="2" t="s">
        <v>10</v>
      </c>
      <c r="J1010" s="2">
        <f>ABS(DF_2[[#This Row],[Quantity_BEFORE]])</f>
        <v>12</v>
      </c>
      <c r="K1010" s="2">
        <f>DF_2[[#This Row],[QUANTITY]]*DF_2[[#This Row],[UnitPrice]]</f>
        <v>3.4799999999999995</v>
      </c>
    </row>
    <row r="1011" spans="2:11" x14ac:dyDescent="0.25">
      <c r="B1011" s="2">
        <v>536464</v>
      </c>
      <c r="C1011" s="2">
        <v>21985</v>
      </c>
      <c r="D1011" s="2" t="s">
        <v>570</v>
      </c>
      <c r="E1011" s="2">
        <v>1</v>
      </c>
      <c r="F1011" s="8">
        <v>40513.515972222223</v>
      </c>
      <c r="G1011" s="2">
        <v>0.28999999999999998</v>
      </c>
      <c r="H1011" s="2">
        <v>17968</v>
      </c>
      <c r="I1011" s="2" t="s">
        <v>10</v>
      </c>
      <c r="J1011" s="2">
        <f>ABS(DF_2[[#This Row],[Quantity_BEFORE]])</f>
        <v>1</v>
      </c>
      <c r="K1011" s="2">
        <f>DF_2[[#This Row],[QUANTITY]]*DF_2[[#This Row],[UnitPrice]]</f>
        <v>0.28999999999999998</v>
      </c>
    </row>
    <row r="1012" spans="2:11" x14ac:dyDescent="0.25">
      <c r="B1012" s="2">
        <v>536464</v>
      </c>
      <c r="C1012" s="2">
        <v>21980</v>
      </c>
      <c r="D1012" s="2" t="s">
        <v>222</v>
      </c>
      <c r="E1012" s="2">
        <v>1</v>
      </c>
      <c r="F1012" s="8">
        <v>40513.515972222223</v>
      </c>
      <c r="G1012" s="2">
        <v>0.28999999999999998</v>
      </c>
      <c r="H1012" s="2">
        <v>17968</v>
      </c>
      <c r="I1012" s="2" t="s">
        <v>10</v>
      </c>
      <c r="J1012" s="2">
        <f>ABS(DF_2[[#This Row],[Quantity_BEFORE]])</f>
        <v>1</v>
      </c>
      <c r="K1012" s="2">
        <f>DF_2[[#This Row],[QUANTITY]]*DF_2[[#This Row],[UnitPrice]]</f>
        <v>0.28999999999999998</v>
      </c>
    </row>
    <row r="1013" spans="2:11" x14ac:dyDescent="0.25">
      <c r="B1013" s="2">
        <v>536437</v>
      </c>
      <c r="C1013" s="2">
        <v>17021</v>
      </c>
      <c r="D1013" s="2" t="s">
        <v>519</v>
      </c>
      <c r="E1013" s="2">
        <v>600</v>
      </c>
      <c r="F1013" s="8">
        <v>40513.508333333331</v>
      </c>
      <c r="G1013" s="2">
        <v>0.24</v>
      </c>
      <c r="H1013" s="2">
        <v>13694</v>
      </c>
      <c r="I1013" s="2" t="s">
        <v>10</v>
      </c>
      <c r="J1013" s="2">
        <f>ABS(DF_2[[#This Row],[Quantity_BEFORE]])</f>
        <v>600</v>
      </c>
      <c r="K1013" s="2">
        <f>DF_2[[#This Row],[QUANTITY]]*DF_2[[#This Row],[UnitPrice]]</f>
        <v>144</v>
      </c>
    </row>
    <row r="1014" spans="2:11" x14ac:dyDescent="0.25">
      <c r="B1014" s="2">
        <v>536408</v>
      </c>
      <c r="C1014" s="2">
        <v>16237</v>
      </c>
      <c r="D1014" s="2" t="s">
        <v>374</v>
      </c>
      <c r="E1014" s="2">
        <v>30</v>
      </c>
      <c r="F1014" s="8">
        <v>40513.486805555556</v>
      </c>
      <c r="G1014" s="2">
        <v>0.21</v>
      </c>
      <c r="H1014" s="2">
        <v>14307</v>
      </c>
      <c r="I1014" s="2" t="s">
        <v>10</v>
      </c>
      <c r="J1014" s="2">
        <f>ABS(DF_2[[#This Row],[Quantity_BEFORE]])</f>
        <v>30</v>
      </c>
      <c r="K1014" s="2">
        <f>DF_2[[#This Row],[QUANTITY]]*DF_2[[#This Row],[UnitPrice]]</f>
        <v>6.3</v>
      </c>
    </row>
    <row r="1015" spans="2:11" x14ac:dyDescent="0.25">
      <c r="B1015" s="2">
        <v>536409</v>
      </c>
      <c r="C1015" s="2">
        <v>16238</v>
      </c>
      <c r="D1015" s="2" t="s">
        <v>407</v>
      </c>
      <c r="E1015" s="2">
        <v>28</v>
      </c>
      <c r="F1015" s="8">
        <v>40513.489583333336</v>
      </c>
      <c r="G1015" s="2">
        <v>0.21</v>
      </c>
      <c r="H1015" s="2">
        <v>17908</v>
      </c>
      <c r="I1015" s="2" t="s">
        <v>10</v>
      </c>
      <c r="J1015" s="2">
        <f>ABS(DF_2[[#This Row],[Quantity_BEFORE]])</f>
        <v>28</v>
      </c>
      <c r="K1015" s="2">
        <f>DF_2[[#This Row],[QUANTITY]]*DF_2[[#This Row],[UnitPrice]]</f>
        <v>5.88</v>
      </c>
    </row>
    <row r="1016" spans="2:11" x14ac:dyDescent="0.25">
      <c r="B1016" s="2">
        <v>536409</v>
      </c>
      <c r="C1016" s="2">
        <v>20668</v>
      </c>
      <c r="D1016" s="2" t="s">
        <v>207</v>
      </c>
      <c r="E1016" s="2">
        <v>24</v>
      </c>
      <c r="F1016" s="8">
        <v>40513.489583333336</v>
      </c>
      <c r="G1016" s="2">
        <v>0.12</v>
      </c>
      <c r="H1016" s="2">
        <v>17908</v>
      </c>
      <c r="I1016" s="2" t="s">
        <v>10</v>
      </c>
      <c r="J1016" s="2">
        <f>ABS(DF_2[[#This Row],[Quantity_BEFORE]])</f>
        <v>24</v>
      </c>
      <c r="K1016" s="2">
        <f>DF_2[[#This Row],[QUANTITY]]*DF_2[[#This Row],[UnitPrice]]</f>
        <v>2.88</v>
      </c>
    </row>
    <row r="1017" spans="2:11" x14ac:dyDescent="0.25">
      <c r="B1017" s="2">
        <v>536390</v>
      </c>
      <c r="C1017" s="2">
        <v>20668</v>
      </c>
      <c r="D1017" s="2" t="s">
        <v>207</v>
      </c>
      <c r="E1017" s="2">
        <v>288</v>
      </c>
      <c r="F1017" s="8">
        <v>40513.429861111108</v>
      </c>
      <c r="G1017" s="2">
        <v>0.1</v>
      </c>
      <c r="H1017" s="2">
        <v>17511</v>
      </c>
      <c r="I1017" s="2" t="s">
        <v>10</v>
      </c>
      <c r="J1017" s="2">
        <f>ABS(DF_2[[#This Row],[Quantity_BEFORE]])</f>
        <v>288</v>
      </c>
      <c r="K1017" s="2">
        <f>DF_2[[#This Row],[QUANTITY]]*DF_2[[#This Row],[UnitPrice]]</f>
        <v>28.8</v>
      </c>
    </row>
    <row r="1018" spans="2:11" x14ac:dyDescent="0.25">
      <c r="B1018" s="2">
        <v>536414</v>
      </c>
      <c r="C1018" s="2">
        <v>22139</v>
      </c>
      <c r="D1018" s="2"/>
      <c r="E1018" s="2">
        <v>56</v>
      </c>
      <c r="F1018" s="8">
        <v>40513.494444444441</v>
      </c>
      <c r="G1018" s="2">
        <v>0</v>
      </c>
      <c r="H1018" s="2"/>
      <c r="I1018" s="2" t="s">
        <v>10</v>
      </c>
      <c r="J1018" s="2">
        <f>ABS(DF_2[[#This Row],[Quantity_BEFORE]])</f>
        <v>56</v>
      </c>
      <c r="K1018" s="2">
        <f>DF_2[[#This Row],[QUANTITY]]*DF_2[[#This Row],[UnitPrice]]</f>
        <v>0</v>
      </c>
    </row>
  </sheetData>
  <mergeCells count="1">
    <mergeCell ref="B1:K1"/>
  </mergeCells>
  <conditionalFormatting sqref="I3:I1048576">
    <cfRule type="colorScale" priority="14">
      <colorScale>
        <cfvo type="min"/>
        <cfvo type="percentile" val="50"/>
        <cfvo type="max"/>
        <color rgb="FF63BE7B"/>
        <color rgb="FFFFEB84"/>
        <color rgb="FFF8696B"/>
      </colorScale>
    </cfRule>
  </conditionalFormatting>
  <conditionalFormatting sqref="K1019:K1048576">
    <cfRule type="top10" dxfId="157" priority="9" rank="10"/>
    <cfRule type="colorScale" priority="13">
      <colorScale>
        <cfvo type="min"/>
        <cfvo type="percentile" val="50"/>
        <cfvo type="max"/>
        <color rgb="FFF8696B"/>
        <color rgb="FFFFEB84"/>
        <color rgb="FF63BE7B"/>
      </colorScale>
    </cfRule>
  </conditionalFormatting>
  <conditionalFormatting sqref="J3:J1048576">
    <cfRule type="dataBar" priority="11">
      <dataBar>
        <cfvo type="min"/>
        <cfvo type="max"/>
        <color rgb="FF638EC6"/>
      </dataBar>
      <extLst>
        <ext xmlns:x14="http://schemas.microsoft.com/office/spreadsheetml/2009/9/main" uri="{B025F937-C7B1-47D3-B67F-A62EFF666E3E}">
          <x14:id>{3D7FC1CB-623A-409F-972D-350AB55233CF}</x14:id>
        </ext>
      </extLst>
    </cfRule>
  </conditionalFormatting>
  <conditionalFormatting sqref="K2">
    <cfRule type="top10" dxfId="156" priority="10" rank="10"/>
  </conditionalFormatting>
  <conditionalFormatting sqref="K3:K1018">
    <cfRule type="colorScale" priority="4">
      <colorScale>
        <cfvo type="min"/>
        <cfvo type="percentile" val="50"/>
        <cfvo type="max"/>
        <color rgb="FF63BE7B"/>
        <color rgb="FFFFEB84"/>
        <color rgb="FFF8696B"/>
      </colorScale>
    </cfRule>
  </conditionalFormatting>
  <conditionalFormatting sqref="J3:J1018">
    <cfRule type="duplicateValues" dxfId="155" priority="3"/>
  </conditionalFormatting>
  <conditionalFormatting sqref="G3:G1018">
    <cfRule type="dataBar" priority="1">
      <dataBar>
        <cfvo type="min"/>
        <cfvo type="max"/>
        <color rgb="FF63C384"/>
      </dataBar>
      <extLst>
        <ext xmlns:x14="http://schemas.microsoft.com/office/spreadsheetml/2009/9/main" uri="{B025F937-C7B1-47D3-B67F-A62EFF666E3E}">
          <x14:id>{FD66856D-BB08-4F0F-A6BA-34F101221AAF}</x14:id>
        </ext>
      </extLst>
    </cfRule>
    <cfRule type="iconSet" priority="2">
      <iconSet iconSet="5Arrows">
        <cfvo type="percent" val="0"/>
        <cfvo type="percent" val="20"/>
        <cfvo type="percent" val="40"/>
        <cfvo type="percent" val="60"/>
        <cfvo type="percent" val="80"/>
      </iconSe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3D7FC1CB-623A-409F-972D-350AB55233CF}">
            <x14:dataBar minLength="0" maxLength="100" gradient="0">
              <x14:cfvo type="autoMin"/>
              <x14:cfvo type="autoMax"/>
              <x14:negativeFillColor rgb="FFFF0000"/>
              <x14:axisColor rgb="FF000000"/>
            </x14:dataBar>
          </x14:cfRule>
          <xm:sqref>J3:J1048576</xm:sqref>
        </x14:conditionalFormatting>
        <x14:conditionalFormatting xmlns:xm="http://schemas.microsoft.com/office/excel/2006/main">
          <x14:cfRule type="dataBar" id="{FD66856D-BB08-4F0F-A6BA-34F101221AAF}">
            <x14:dataBar minLength="0" maxLength="100" border="1" negativeBarBorderColorSameAsPositive="0">
              <x14:cfvo type="autoMin"/>
              <x14:cfvo type="autoMax"/>
              <x14:borderColor rgb="FF63C384"/>
              <x14:negativeFillColor rgb="FFFF0000"/>
              <x14:negativeBorderColor rgb="FFFF0000"/>
              <x14:axisColor rgb="FF000000"/>
            </x14:dataBar>
          </x14:cfRule>
          <xm:sqref>G3:G1018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6021F-3526-4305-8A66-27D286F3128B}">
  <dimension ref="A1:AB7"/>
  <sheetViews>
    <sheetView tabSelected="1" workbookViewId="0">
      <selection activeCell="L9" sqref="L9"/>
    </sheetView>
  </sheetViews>
  <sheetFormatPr defaultRowHeight="15" x14ac:dyDescent="0.25"/>
  <cols>
    <col min="1" max="1" width="9.140625" style="15"/>
    <col min="2" max="2" width="15.42578125" bestFit="1" customWidth="1"/>
    <col min="3" max="3" width="16.140625" bestFit="1" customWidth="1"/>
    <col min="4" max="4" width="1.42578125" bestFit="1" customWidth="1"/>
    <col min="5" max="5" width="15.42578125" bestFit="1" customWidth="1"/>
    <col min="6" max="6" width="6.140625" bestFit="1" customWidth="1"/>
    <col min="7" max="8" width="16" bestFit="1" customWidth="1"/>
    <col min="9" max="10" width="5" bestFit="1" customWidth="1"/>
    <col min="11" max="11" width="4" bestFit="1" customWidth="1"/>
    <col min="12" max="13" width="5" bestFit="1" customWidth="1"/>
    <col min="14" max="14" width="4" bestFit="1" customWidth="1"/>
    <col min="15" max="18" width="5" bestFit="1" customWidth="1"/>
    <col min="19" max="20" width="4" bestFit="1" customWidth="1"/>
    <col min="21" max="22" width="5" bestFit="1" customWidth="1"/>
    <col min="23" max="23" width="4" bestFit="1" customWidth="1"/>
    <col min="24" max="24" width="5" bestFit="1" customWidth="1"/>
    <col min="25" max="25" width="4" bestFit="1" customWidth="1"/>
    <col min="26" max="28" width="5" bestFit="1" customWidth="1"/>
    <col min="29" max="29" width="4" bestFit="1" customWidth="1"/>
    <col min="30" max="32" width="5" bestFit="1" customWidth="1"/>
    <col min="33" max="33" width="4" bestFit="1" customWidth="1"/>
    <col min="34" max="35" width="5" bestFit="1" customWidth="1"/>
    <col min="36" max="36" width="4" bestFit="1" customWidth="1"/>
    <col min="37" max="38" width="5" bestFit="1" customWidth="1"/>
    <col min="39" max="40" width="4" bestFit="1" customWidth="1"/>
    <col min="41" max="47" width="5" bestFit="1" customWidth="1"/>
    <col min="48" max="50" width="4" bestFit="1" customWidth="1"/>
    <col min="51" max="52" width="5" bestFit="1" customWidth="1"/>
    <col min="53" max="53" width="4" bestFit="1" customWidth="1"/>
    <col min="54" max="54" width="5" bestFit="1" customWidth="1"/>
    <col min="55" max="56" width="4" bestFit="1" customWidth="1"/>
    <col min="57" max="58" width="5" bestFit="1" customWidth="1"/>
    <col min="59" max="60" width="4" bestFit="1" customWidth="1"/>
    <col min="61" max="63" width="5" bestFit="1" customWidth="1"/>
    <col min="64" max="64" width="4" bestFit="1" customWidth="1"/>
    <col min="65" max="65" width="5" bestFit="1" customWidth="1"/>
    <col min="66" max="67" width="4" bestFit="1" customWidth="1"/>
    <col min="68" max="69" width="5" bestFit="1" customWidth="1"/>
    <col min="70" max="71" width="4" bestFit="1" customWidth="1"/>
    <col min="72" max="73" width="5" bestFit="1" customWidth="1"/>
    <col min="74" max="75" width="4" bestFit="1" customWidth="1"/>
    <col min="76" max="76" width="5" bestFit="1" customWidth="1"/>
    <col min="77" max="77" width="6" bestFit="1" customWidth="1"/>
    <col min="78" max="79" width="5" bestFit="1" customWidth="1"/>
    <col min="80" max="80" width="6" bestFit="1" customWidth="1"/>
    <col min="81" max="81" width="5" bestFit="1" customWidth="1"/>
    <col min="82" max="82" width="6" bestFit="1" customWidth="1"/>
    <col min="83" max="83" width="5" bestFit="1" customWidth="1"/>
    <col min="84" max="84" width="6" bestFit="1" customWidth="1"/>
    <col min="85" max="87" width="5" bestFit="1" customWidth="1"/>
    <col min="88" max="88" width="6" bestFit="1" customWidth="1"/>
    <col min="89" max="91" width="5" bestFit="1" customWidth="1"/>
    <col min="92" max="92" width="6" bestFit="1" customWidth="1"/>
    <col min="93" max="93" width="5" bestFit="1" customWidth="1"/>
    <col min="94" max="94" width="6" bestFit="1" customWidth="1"/>
    <col min="95" max="95" width="5" bestFit="1" customWidth="1"/>
    <col min="96" max="96" width="6" bestFit="1" customWidth="1"/>
    <col min="97" max="98" width="5" bestFit="1" customWidth="1"/>
    <col min="99" max="99" width="6" bestFit="1" customWidth="1"/>
    <col min="100" max="100" width="5" bestFit="1" customWidth="1"/>
    <col min="101" max="102" width="6" bestFit="1" customWidth="1"/>
    <col min="103" max="103" width="3" bestFit="1" customWidth="1"/>
    <col min="104" max="111" width="5" bestFit="1" customWidth="1"/>
    <col min="112" max="112" width="6" bestFit="1" customWidth="1"/>
    <col min="113" max="113" width="3" bestFit="1" customWidth="1"/>
    <col min="114" max="115" width="5" bestFit="1" customWidth="1"/>
    <col min="116" max="118" width="6" bestFit="1" customWidth="1"/>
    <col min="119" max="122" width="5" bestFit="1" customWidth="1"/>
    <col min="123" max="123" width="6" bestFit="1" customWidth="1"/>
    <col min="124" max="124" width="3" bestFit="1" customWidth="1"/>
    <col min="125" max="125" width="5" bestFit="1" customWidth="1"/>
    <col min="126" max="127" width="6" bestFit="1" customWidth="1"/>
    <col min="128" max="128" width="5" bestFit="1" customWidth="1"/>
    <col min="129" max="129" width="6" bestFit="1" customWidth="1"/>
    <col min="130" max="131" width="3" bestFit="1" customWidth="1"/>
    <col min="132" max="132" width="5" bestFit="1" customWidth="1"/>
    <col min="133" max="133" width="6" bestFit="1" customWidth="1"/>
    <col min="134" max="137" width="5" bestFit="1" customWidth="1"/>
    <col min="138" max="138" width="6" bestFit="1" customWidth="1"/>
    <col min="139" max="141" width="5" bestFit="1" customWidth="1"/>
    <col min="142" max="142" width="3" bestFit="1" customWidth="1"/>
    <col min="143" max="144" width="6" bestFit="1" customWidth="1"/>
    <col min="145" max="151" width="5" bestFit="1" customWidth="1"/>
    <col min="152" max="152" width="3" bestFit="1" customWidth="1"/>
    <col min="153" max="157" width="5" bestFit="1" customWidth="1"/>
    <col min="158" max="159" width="3" bestFit="1" customWidth="1"/>
    <col min="160" max="160" width="6" bestFit="1" customWidth="1"/>
    <col min="161" max="163" width="5" bestFit="1" customWidth="1"/>
    <col min="164" max="164" width="6" bestFit="1" customWidth="1"/>
    <col min="165" max="165" width="5" bestFit="1" customWidth="1"/>
    <col min="166" max="166" width="6" bestFit="1" customWidth="1"/>
    <col min="167" max="169" width="5" bestFit="1" customWidth="1"/>
    <col min="170" max="170" width="6" bestFit="1" customWidth="1"/>
    <col min="171" max="173" width="5" bestFit="1" customWidth="1"/>
    <col min="174" max="174" width="6" bestFit="1" customWidth="1"/>
    <col min="175" max="175" width="3" bestFit="1" customWidth="1"/>
    <col min="176" max="176" width="6" bestFit="1" customWidth="1"/>
    <col min="177" max="179" width="5" bestFit="1" customWidth="1"/>
    <col min="180" max="180" width="3" bestFit="1" customWidth="1"/>
    <col min="181" max="181" width="5" bestFit="1" customWidth="1"/>
    <col min="182" max="182" width="3" bestFit="1" customWidth="1"/>
    <col min="183" max="183" width="6" bestFit="1" customWidth="1"/>
    <col min="184" max="184" width="5" bestFit="1" customWidth="1"/>
    <col min="185" max="185" width="3" bestFit="1" customWidth="1"/>
    <col min="186" max="186" width="5" bestFit="1" customWidth="1"/>
    <col min="187" max="187" width="3" bestFit="1" customWidth="1"/>
    <col min="188" max="188" width="6" bestFit="1" customWidth="1"/>
    <col min="189" max="190" width="5" bestFit="1" customWidth="1"/>
    <col min="191" max="191" width="3" bestFit="1" customWidth="1"/>
    <col min="192" max="192" width="6" bestFit="1" customWidth="1"/>
    <col min="193" max="193" width="5" bestFit="1" customWidth="1"/>
    <col min="194" max="194" width="6" bestFit="1" customWidth="1"/>
    <col min="195" max="196" width="5" bestFit="1" customWidth="1"/>
    <col min="197" max="197" width="3" bestFit="1" customWidth="1"/>
    <col min="198" max="199" width="5" bestFit="1" customWidth="1"/>
    <col min="200" max="200" width="6" bestFit="1" customWidth="1"/>
    <col min="201" max="202" width="5" bestFit="1" customWidth="1"/>
    <col min="203" max="203" width="6" bestFit="1" customWidth="1"/>
    <col min="204" max="206" width="5" bestFit="1" customWidth="1"/>
    <col min="207" max="207" width="3" bestFit="1" customWidth="1"/>
    <col min="208" max="208" width="6" bestFit="1" customWidth="1"/>
    <col min="209" max="209" width="5" bestFit="1" customWidth="1"/>
    <col min="210" max="211" width="6" bestFit="1" customWidth="1"/>
    <col min="212" max="212" width="4" bestFit="1" customWidth="1"/>
    <col min="213" max="213" width="7" bestFit="1" customWidth="1"/>
    <col min="214" max="214" width="4" bestFit="1" customWidth="1"/>
    <col min="215" max="215" width="7" bestFit="1" customWidth="1"/>
    <col min="216" max="217" width="4" bestFit="1" customWidth="1"/>
    <col min="218" max="218" width="6" bestFit="1" customWidth="1"/>
    <col min="219" max="219" width="4" bestFit="1" customWidth="1"/>
    <col min="220" max="223" width="6" bestFit="1" customWidth="1"/>
    <col min="224" max="226" width="4" bestFit="1" customWidth="1"/>
    <col min="227" max="227" width="6" bestFit="1" customWidth="1"/>
    <col min="228" max="228" width="7" bestFit="1" customWidth="1"/>
    <col min="229" max="230" width="6" bestFit="1" customWidth="1"/>
    <col min="231" max="231" width="4" bestFit="1" customWidth="1"/>
    <col min="232" max="232" width="6" bestFit="1" customWidth="1"/>
    <col min="233" max="235" width="7" bestFit="1" customWidth="1"/>
    <col min="236" max="236" width="11.28515625" bestFit="1" customWidth="1"/>
  </cols>
  <sheetData>
    <row r="1" spans="1:28" s="20" customFormat="1" ht="48.75" customHeight="1" x14ac:dyDescent="0.7">
      <c r="A1" s="21">
        <v>3</v>
      </c>
      <c r="B1" s="25" t="s">
        <v>701</v>
      </c>
      <c r="C1" s="26"/>
      <c r="D1" s="26"/>
      <c r="E1" s="26"/>
      <c r="F1" s="26"/>
      <c r="G1" s="26"/>
      <c r="H1" s="26"/>
      <c r="I1" s="26"/>
      <c r="J1" s="26"/>
      <c r="K1" s="26"/>
      <c r="L1" s="26"/>
      <c r="M1" s="26"/>
      <c r="N1" s="26"/>
      <c r="O1" s="26"/>
      <c r="P1" s="26"/>
      <c r="Q1" s="26"/>
      <c r="R1" s="26"/>
      <c r="S1" s="26"/>
      <c r="T1" s="26"/>
      <c r="U1" s="26"/>
      <c r="V1" s="26"/>
      <c r="W1" s="26"/>
      <c r="X1" s="26"/>
      <c r="Y1" s="26"/>
      <c r="Z1" s="26"/>
      <c r="AA1" s="26"/>
      <c r="AB1" s="26"/>
    </row>
    <row r="3" spans="1:28" x14ac:dyDescent="0.25">
      <c r="E3" s="16" t="s">
        <v>697</v>
      </c>
      <c r="F3" s="17" t="s">
        <v>700</v>
      </c>
      <c r="G3" s="17" t="s">
        <v>698</v>
      </c>
    </row>
    <row r="4" spans="1:28" ht="18.75" x14ac:dyDescent="0.3">
      <c r="E4" s="18" t="s">
        <v>10</v>
      </c>
      <c r="F4" s="19">
        <v>5.0999999999999996</v>
      </c>
      <c r="G4" s="19">
        <v>0.85</v>
      </c>
    </row>
    <row r="5" spans="1:28" ht="18.75" x14ac:dyDescent="0.3"/>
    <row r="6" spans="1:28" ht="18.75" x14ac:dyDescent="0.3"/>
    <row r="7" spans="1:28" ht="18.75" x14ac:dyDescent="0.3"/>
  </sheetData>
  <mergeCells count="1">
    <mergeCell ref="B1:AB1"/>
  </mergeCells>
  <conditionalFormatting sqref="D8:D1048576">
    <cfRule type="dataBar" priority="3">
      <dataBar>
        <cfvo type="min"/>
        <cfvo type="max"/>
        <color rgb="FF63C384"/>
      </dataBar>
      <extLst>
        <ext xmlns:x14="http://schemas.microsoft.com/office/spreadsheetml/2009/9/main" uri="{B025F937-C7B1-47D3-B67F-A62EFF666E3E}">
          <x14:id>{43765F26-1504-4AF9-8F81-D6BE50CB1BE9}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43765F26-1504-4AF9-8F81-D6BE50CB1BE9}">
            <x14:dataBar minLength="0" maxLength="100" gradient="0">
              <x14:cfvo type="autoMin"/>
              <x14:cfvo type="autoMax"/>
              <x14:negativeFillColor rgb="FFFF0000"/>
              <x14:axisColor rgb="FF000000"/>
            </x14:dataBar>
          </x14:cfRule>
          <xm:sqref>D8:D1048576</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online-retail</vt:lpstr>
      <vt:lpstr>TABLE</vt:lpstr>
      <vt:lpstr>QUICK STATISTICS</vt:lpstr>
      <vt:lpstr>EDA</vt:lpstr>
      <vt:lpstr>SALES ANALYSIS BY 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2022-01-20T05:41:56Z</dcterms:created>
  <dcterms:modified xsi:type="dcterms:W3CDTF">2022-01-21T11:54:47Z</dcterms:modified>
</cp:coreProperties>
</file>